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charts/chart3.xml" ContentType="application/vnd.openxmlformats-officedocument.drawingml.chart+xml"/>
  <Override PartName="/xl/theme/themeOverride1.xml" ContentType="application/vnd.openxmlformats-officedocument.themeOverride+xml"/>
  <Override PartName="/xl/drawings/drawing6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theme/themeOverride2.xml" ContentType="application/vnd.openxmlformats-officedocument.themeOverride+xml"/>
  <Override PartName="/xl/drawings/drawing9.xml" ContentType="application/vnd.openxmlformats-officedocument.drawingml.chartshap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10.xml" ContentType="application/vnd.openxmlformats-officedocument.drawingml.chartshapes+xml"/>
  <Override PartName="/xl/charts/chart9.xml" ContentType="application/vnd.openxmlformats-officedocument.drawingml.chart+xml"/>
  <Override PartName="/xl/drawings/drawing11.xml" ContentType="application/vnd.openxmlformats-officedocument.drawingml.chartshapes+xml"/>
  <Override PartName="/xl/charts/chart10.xml" ContentType="application/vnd.openxmlformats-officedocument.drawingml.chart+xml"/>
  <Override PartName="/xl/drawings/drawing12.xml" ContentType="application/vnd.openxmlformats-officedocument.drawingml.chartshap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480" windowWidth="20490" windowHeight="8115" tabRatio="541" activeTab="1"/>
  </bookViews>
  <sheets>
    <sheet name="Masters" sheetId="6" r:id="rId1"/>
    <sheet name="Data" sheetId="1" r:id="rId2"/>
    <sheet name="Log" sheetId="3" r:id="rId3"/>
    <sheet name="FilteredData" sheetId="5" state="hidden" r:id="rId4"/>
    <sheet name="Reporting" sheetId="8" r:id="rId5"/>
    <sheet name="Presentation" sheetId="11" r:id="rId6"/>
    <sheet name="Emp_Reg" sheetId="9" state="hidden" r:id="rId7"/>
    <sheet name="Reg_NotReg" sheetId="10" state="hidden" r:id="rId8"/>
  </sheets>
  <externalReferences>
    <externalReference r:id="rId9"/>
  </externalReferences>
  <definedNames>
    <definedName name="_xlnm._FilterDatabase" localSheetId="1" hidden="1">Data!$A$1:$AH$996</definedName>
    <definedName name="_xlnm._FilterDatabase" localSheetId="6" hidden="1">Emp_Reg!$A$1:$J$102</definedName>
    <definedName name="_xlnm._FilterDatabase" localSheetId="7" hidden="1">Reg_NotReg!$A$1:$G$90</definedName>
    <definedName name="BudgetCategory">[1]!BudgetCategoryLookup[Budget Category Lookup]</definedName>
    <definedName name="_xlnm.Criteria" localSheetId="1">Data!$AB$3:$AB$996</definedName>
    <definedName name="_xlnm.Extract" localSheetId="1">Data!#REF!</definedName>
    <definedName name="SearchCell">#REF!</definedName>
    <definedName name="SearchColumn" localSheetId="2">INDIRECT("Data!"&amp;ADDRESS(2, MATCH(#REF!,Log!$1:$1,0))&amp;":"&amp;ADDRESS(COUNTA(Log!$A:$A), MATCH(#REF!,Log!$1:$1,0)))</definedName>
    <definedName name="SearchColumn">INDIRECT("Data!"&amp;ADDRESS(2, MATCH(#REF!,Data!$1:$1,0))&amp;":"&amp;ADDRESS(COUNTA(Data!$A:$A), MATCH(#REF!,Data!$1:$1,0)))</definedName>
    <definedName name="year">Data!$AG$3:$AG$1193</definedName>
  </definedNames>
  <calcPr calcId="145621"/>
</workbook>
</file>

<file path=xl/calcChain.xml><?xml version="1.0" encoding="utf-8"?>
<calcChain xmlns="http://schemas.openxmlformats.org/spreadsheetml/2006/main">
  <c r="AB3" i="1" l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2" i="1"/>
  <c r="B30" i="8" l="1"/>
  <c r="B31" i="8"/>
  <c r="B32" i="8"/>
  <c r="B33" i="8"/>
  <c r="B34" i="8"/>
  <c r="D66" i="8" l="1"/>
  <c r="E66" i="8"/>
  <c r="F66" i="8"/>
  <c r="G66" i="8"/>
  <c r="H66" i="8"/>
  <c r="I66" i="8"/>
  <c r="J66" i="8"/>
  <c r="D67" i="8"/>
  <c r="E67" i="8"/>
  <c r="F67" i="8"/>
  <c r="G67" i="8"/>
  <c r="H67" i="8"/>
  <c r="I67" i="8"/>
  <c r="J67" i="8"/>
  <c r="C67" i="8"/>
  <c r="C66" i="8"/>
  <c r="J65" i="8" l="1"/>
  <c r="D36" i="8"/>
  <c r="D30" i="8"/>
  <c r="H65" i="8" l="1"/>
  <c r="J102" i="9"/>
  <c r="I102" i="9"/>
  <c r="H102" i="9"/>
  <c r="G102" i="9"/>
  <c r="J101" i="9"/>
  <c r="I101" i="9"/>
  <c r="H101" i="9"/>
  <c r="G101" i="9"/>
  <c r="J100" i="9"/>
  <c r="I100" i="9"/>
  <c r="H100" i="9"/>
  <c r="G100" i="9"/>
  <c r="J99" i="9"/>
  <c r="I99" i="9"/>
  <c r="H99" i="9"/>
  <c r="G99" i="9"/>
  <c r="J98" i="9"/>
  <c r="I98" i="9"/>
  <c r="H98" i="9"/>
  <c r="G98" i="9"/>
  <c r="J97" i="9"/>
  <c r="I97" i="9"/>
  <c r="H97" i="9"/>
  <c r="G97" i="9"/>
  <c r="J96" i="9"/>
  <c r="I96" i="9"/>
  <c r="H96" i="9"/>
  <c r="G96" i="9"/>
  <c r="J95" i="9"/>
  <c r="I95" i="9"/>
  <c r="H95" i="9"/>
  <c r="G95" i="9"/>
  <c r="J94" i="9"/>
  <c r="I94" i="9"/>
  <c r="H94" i="9"/>
  <c r="G94" i="9"/>
  <c r="J93" i="9"/>
  <c r="I93" i="9"/>
  <c r="H93" i="9"/>
  <c r="G93" i="9"/>
  <c r="J92" i="9"/>
  <c r="I92" i="9"/>
  <c r="H92" i="9"/>
  <c r="G92" i="9"/>
  <c r="J91" i="9"/>
  <c r="I91" i="9"/>
  <c r="H91" i="9"/>
  <c r="G91" i="9"/>
  <c r="J90" i="9"/>
  <c r="I90" i="9"/>
  <c r="H90" i="9"/>
  <c r="G90" i="9"/>
  <c r="J89" i="9"/>
  <c r="I89" i="9"/>
  <c r="H89" i="9"/>
  <c r="G89" i="9"/>
  <c r="J88" i="9"/>
  <c r="I88" i="9"/>
  <c r="H88" i="9"/>
  <c r="G88" i="9"/>
  <c r="J87" i="9"/>
  <c r="I87" i="9"/>
  <c r="H87" i="9"/>
  <c r="G87" i="9"/>
  <c r="J86" i="9"/>
  <c r="I86" i="9"/>
  <c r="H86" i="9"/>
  <c r="G86" i="9"/>
  <c r="J85" i="9"/>
  <c r="I85" i="9"/>
  <c r="H85" i="9"/>
  <c r="G85" i="9"/>
  <c r="J84" i="9"/>
  <c r="I84" i="9"/>
  <c r="H84" i="9"/>
  <c r="G84" i="9"/>
  <c r="J83" i="9"/>
  <c r="I83" i="9"/>
  <c r="H83" i="9"/>
  <c r="G83" i="9"/>
  <c r="J82" i="9"/>
  <c r="I82" i="9"/>
  <c r="H82" i="9"/>
  <c r="G82" i="9"/>
  <c r="J81" i="9"/>
  <c r="I81" i="9"/>
  <c r="H81" i="9"/>
  <c r="G81" i="9"/>
  <c r="J80" i="9"/>
  <c r="I80" i="9"/>
  <c r="H80" i="9"/>
  <c r="G80" i="9"/>
  <c r="J79" i="9"/>
  <c r="I79" i="9"/>
  <c r="H79" i="9"/>
  <c r="G79" i="9"/>
  <c r="J78" i="9"/>
  <c r="I78" i="9"/>
  <c r="H78" i="9"/>
  <c r="G78" i="9"/>
  <c r="J77" i="9"/>
  <c r="I77" i="9"/>
  <c r="H77" i="9"/>
  <c r="G77" i="9"/>
  <c r="J76" i="9"/>
  <c r="I76" i="9"/>
  <c r="H76" i="9"/>
  <c r="G76" i="9"/>
  <c r="J75" i="9"/>
  <c r="I75" i="9"/>
  <c r="H75" i="9"/>
  <c r="G75" i="9"/>
  <c r="J74" i="9"/>
  <c r="I74" i="9"/>
  <c r="H74" i="9"/>
  <c r="G74" i="9"/>
  <c r="J73" i="9"/>
  <c r="I73" i="9"/>
  <c r="H73" i="9"/>
  <c r="G73" i="9"/>
  <c r="J72" i="9"/>
  <c r="I72" i="9"/>
  <c r="H72" i="9"/>
  <c r="G72" i="9"/>
  <c r="J71" i="9"/>
  <c r="I71" i="9"/>
  <c r="H71" i="9"/>
  <c r="G71" i="9"/>
  <c r="J70" i="9"/>
  <c r="I70" i="9"/>
  <c r="H70" i="9"/>
  <c r="G70" i="9"/>
  <c r="J69" i="9"/>
  <c r="I69" i="9"/>
  <c r="H69" i="9"/>
  <c r="G69" i="9"/>
  <c r="J68" i="9"/>
  <c r="I68" i="9"/>
  <c r="H68" i="9"/>
  <c r="G68" i="9"/>
  <c r="J67" i="9"/>
  <c r="I67" i="9"/>
  <c r="H67" i="9"/>
  <c r="G67" i="9"/>
  <c r="J66" i="9"/>
  <c r="I66" i="9"/>
  <c r="H66" i="9"/>
  <c r="G66" i="9"/>
  <c r="J65" i="9"/>
  <c r="I65" i="9"/>
  <c r="H65" i="9"/>
  <c r="G65" i="9"/>
  <c r="J64" i="9"/>
  <c r="I64" i="9"/>
  <c r="H64" i="9"/>
  <c r="G64" i="9"/>
  <c r="J63" i="9"/>
  <c r="I63" i="9"/>
  <c r="H63" i="9"/>
  <c r="G63" i="9"/>
  <c r="J62" i="9"/>
  <c r="I62" i="9"/>
  <c r="H62" i="9"/>
  <c r="G62" i="9"/>
  <c r="J61" i="9"/>
  <c r="I61" i="9"/>
  <c r="H61" i="9"/>
  <c r="G61" i="9"/>
  <c r="J60" i="9"/>
  <c r="I60" i="9"/>
  <c r="H60" i="9"/>
  <c r="G60" i="9"/>
  <c r="J59" i="9"/>
  <c r="I59" i="9"/>
  <c r="H59" i="9"/>
  <c r="G59" i="9"/>
  <c r="J58" i="9"/>
  <c r="I58" i="9"/>
  <c r="H58" i="9"/>
  <c r="G58" i="9"/>
  <c r="J57" i="9"/>
  <c r="I57" i="9"/>
  <c r="H57" i="9"/>
  <c r="G57" i="9"/>
  <c r="J56" i="9"/>
  <c r="I56" i="9"/>
  <c r="H56" i="9"/>
  <c r="G56" i="9"/>
  <c r="J55" i="9"/>
  <c r="I55" i="9"/>
  <c r="H55" i="9"/>
  <c r="G55" i="9"/>
  <c r="J54" i="9"/>
  <c r="I54" i="9"/>
  <c r="H54" i="9"/>
  <c r="G54" i="9"/>
  <c r="J53" i="9"/>
  <c r="I53" i="9"/>
  <c r="H53" i="9"/>
  <c r="G53" i="9"/>
  <c r="J52" i="9"/>
  <c r="I52" i="9"/>
  <c r="H52" i="9"/>
  <c r="G52" i="9"/>
  <c r="J51" i="9"/>
  <c r="I51" i="9"/>
  <c r="H51" i="9"/>
  <c r="G51" i="9"/>
  <c r="J50" i="9"/>
  <c r="I50" i="9"/>
  <c r="H50" i="9"/>
  <c r="G50" i="9"/>
  <c r="J49" i="9"/>
  <c r="I49" i="9"/>
  <c r="H49" i="9"/>
  <c r="G49" i="9"/>
  <c r="J48" i="9"/>
  <c r="I48" i="9"/>
  <c r="H48" i="9"/>
  <c r="G48" i="9"/>
  <c r="J47" i="9"/>
  <c r="I47" i="9"/>
  <c r="H47" i="9"/>
  <c r="G47" i="9"/>
  <c r="J46" i="9"/>
  <c r="I46" i="9"/>
  <c r="H46" i="9"/>
  <c r="G46" i="9"/>
  <c r="J45" i="9"/>
  <c r="I45" i="9"/>
  <c r="H45" i="9"/>
  <c r="G45" i="9"/>
  <c r="J44" i="9"/>
  <c r="I44" i="9"/>
  <c r="H44" i="9"/>
  <c r="G44" i="9"/>
  <c r="J43" i="9"/>
  <c r="I43" i="9"/>
  <c r="H43" i="9"/>
  <c r="G43" i="9"/>
  <c r="J42" i="9"/>
  <c r="I42" i="9"/>
  <c r="H42" i="9"/>
  <c r="G42" i="9"/>
  <c r="J41" i="9"/>
  <c r="I41" i="9"/>
  <c r="H41" i="9"/>
  <c r="G41" i="9"/>
  <c r="J40" i="9"/>
  <c r="I40" i="9"/>
  <c r="H40" i="9"/>
  <c r="G40" i="9"/>
  <c r="J39" i="9"/>
  <c r="I39" i="9"/>
  <c r="H39" i="9"/>
  <c r="G39" i="9"/>
  <c r="J38" i="9"/>
  <c r="I38" i="9"/>
  <c r="H38" i="9"/>
  <c r="G38" i="9"/>
  <c r="J37" i="9"/>
  <c r="I37" i="9"/>
  <c r="H37" i="9"/>
  <c r="G37" i="9"/>
  <c r="J36" i="9"/>
  <c r="I36" i="9"/>
  <c r="H36" i="9"/>
  <c r="G36" i="9"/>
  <c r="J35" i="9"/>
  <c r="I35" i="9"/>
  <c r="H35" i="9"/>
  <c r="G35" i="9"/>
  <c r="J34" i="9"/>
  <c r="I34" i="9"/>
  <c r="H34" i="9"/>
  <c r="G34" i="9"/>
  <c r="J33" i="9"/>
  <c r="I33" i="9"/>
  <c r="H33" i="9"/>
  <c r="G33" i="9"/>
  <c r="J32" i="9"/>
  <c r="I32" i="9"/>
  <c r="H32" i="9"/>
  <c r="G32" i="9"/>
  <c r="J31" i="9"/>
  <c r="I31" i="9"/>
  <c r="H31" i="9"/>
  <c r="G31" i="9"/>
  <c r="J30" i="9"/>
  <c r="I30" i="9"/>
  <c r="H30" i="9"/>
  <c r="G30" i="9"/>
  <c r="J29" i="9"/>
  <c r="I29" i="9"/>
  <c r="C53" i="8" s="1"/>
  <c r="H29" i="9"/>
  <c r="G29" i="9"/>
  <c r="J28" i="9"/>
  <c r="I28" i="9"/>
  <c r="H28" i="9"/>
  <c r="G28" i="9"/>
  <c r="J27" i="9"/>
  <c r="I27" i="9"/>
  <c r="H27" i="9"/>
  <c r="G27" i="9"/>
  <c r="J26" i="9"/>
  <c r="I26" i="9"/>
  <c r="H26" i="9"/>
  <c r="G26" i="9"/>
  <c r="J25" i="9"/>
  <c r="I25" i="9"/>
  <c r="H25" i="9"/>
  <c r="G25" i="9"/>
  <c r="J24" i="9"/>
  <c r="I24" i="9"/>
  <c r="H24" i="9"/>
  <c r="G24" i="9"/>
  <c r="J23" i="9"/>
  <c r="I23" i="9"/>
  <c r="H23" i="9"/>
  <c r="G23" i="9"/>
  <c r="J22" i="9"/>
  <c r="I22" i="9"/>
  <c r="H22" i="9"/>
  <c r="G22" i="9"/>
  <c r="J21" i="9"/>
  <c r="I21" i="9"/>
  <c r="H21" i="9"/>
  <c r="G21" i="9"/>
  <c r="J20" i="9"/>
  <c r="I20" i="9"/>
  <c r="H20" i="9"/>
  <c r="G20" i="9"/>
  <c r="J19" i="9"/>
  <c r="I19" i="9"/>
  <c r="H19" i="9"/>
  <c r="G19" i="9"/>
  <c r="J18" i="9"/>
  <c r="I18" i="9"/>
  <c r="H18" i="9"/>
  <c r="G18" i="9"/>
  <c r="J17" i="9"/>
  <c r="I17" i="9"/>
  <c r="H17" i="9"/>
  <c r="G17" i="9"/>
  <c r="J16" i="9"/>
  <c r="I16" i="9"/>
  <c r="H16" i="9"/>
  <c r="G16" i="9"/>
  <c r="J15" i="9"/>
  <c r="I15" i="9"/>
  <c r="H15" i="9"/>
  <c r="G15" i="9"/>
  <c r="J14" i="9"/>
  <c r="I14" i="9"/>
  <c r="H14" i="9"/>
  <c r="G14" i="9"/>
  <c r="J13" i="9"/>
  <c r="I13" i="9"/>
  <c r="H13" i="9"/>
  <c r="G13" i="9"/>
  <c r="J12" i="9"/>
  <c r="I12" i="9"/>
  <c r="H12" i="9"/>
  <c r="G12" i="9"/>
  <c r="J11" i="9"/>
  <c r="I11" i="9"/>
  <c r="H11" i="9"/>
  <c r="G11" i="9"/>
  <c r="J10" i="9"/>
  <c r="I10" i="9"/>
  <c r="H10" i="9"/>
  <c r="G10" i="9"/>
  <c r="J9" i="9"/>
  <c r="I9" i="9"/>
  <c r="H9" i="9"/>
  <c r="G9" i="9"/>
  <c r="J8" i="9"/>
  <c r="I8" i="9"/>
  <c r="H8" i="9"/>
  <c r="G8" i="9"/>
  <c r="J7" i="9"/>
  <c r="I7" i="9"/>
  <c r="H7" i="9"/>
  <c r="G7" i="9"/>
  <c r="J6" i="9"/>
  <c r="I6" i="9"/>
  <c r="H6" i="9"/>
  <c r="G6" i="9"/>
  <c r="J5" i="9"/>
  <c r="I5" i="9"/>
  <c r="H5" i="9"/>
  <c r="G5" i="9"/>
  <c r="J4" i="9"/>
  <c r="I4" i="9"/>
  <c r="H4" i="9"/>
  <c r="G4" i="9"/>
  <c r="J3" i="9"/>
  <c r="I3" i="9"/>
  <c r="H3" i="9"/>
  <c r="G3" i="9"/>
  <c r="J2" i="9"/>
  <c r="C47" i="8" s="1"/>
  <c r="I2" i="9"/>
  <c r="H2" i="9"/>
  <c r="G2" i="9"/>
  <c r="G65" i="8" l="1"/>
  <c r="I65" i="8"/>
  <c r="E65" i="8"/>
  <c r="F65" i="8"/>
  <c r="C65" i="8"/>
  <c r="D65" i="8"/>
  <c r="O67" i="8"/>
  <c r="O66" i="8"/>
  <c r="C52" i="8"/>
  <c r="C48" i="8"/>
  <c r="C54" i="8"/>
  <c r="C51" i="8"/>
  <c r="C50" i="8"/>
  <c r="C49" i="8"/>
  <c r="H114" i="8"/>
  <c r="H103" i="8"/>
  <c r="H104" i="8"/>
  <c r="H105" i="8"/>
  <c r="H106" i="8"/>
  <c r="H107" i="8"/>
  <c r="H108" i="8"/>
  <c r="H109" i="8"/>
  <c r="H110" i="8"/>
  <c r="H111" i="8"/>
  <c r="H112" i="8"/>
  <c r="H113" i="8"/>
  <c r="H102" i="8"/>
  <c r="H101" i="8"/>
  <c r="H100" i="8"/>
  <c r="O65" i="8" l="1"/>
  <c r="P67" i="8" s="1"/>
  <c r="C136" i="8"/>
  <c r="E136" i="8" s="1"/>
  <c r="C121" i="8"/>
  <c r="E121" i="8" s="1"/>
  <c r="C122" i="8"/>
  <c r="C123" i="8"/>
  <c r="C124" i="8"/>
  <c r="E124" i="8" s="1"/>
  <c r="C125" i="8"/>
  <c r="E125" i="8" s="1"/>
  <c r="C126" i="8"/>
  <c r="C127" i="8"/>
  <c r="C128" i="8"/>
  <c r="E128" i="8" s="1"/>
  <c r="C129" i="8"/>
  <c r="E129" i="8" s="1"/>
  <c r="C130" i="8"/>
  <c r="C131" i="8"/>
  <c r="C132" i="8"/>
  <c r="E132" i="8" s="1"/>
  <c r="C133" i="8"/>
  <c r="E133" i="8" s="1"/>
  <c r="C134" i="8"/>
  <c r="C135" i="8"/>
  <c r="C120" i="8"/>
  <c r="E120" i="8" s="1"/>
  <c r="C119" i="8"/>
  <c r="C95" i="8"/>
  <c r="C85" i="8"/>
  <c r="C86" i="8"/>
  <c r="C87" i="8"/>
  <c r="C88" i="8"/>
  <c r="C107" i="8" s="1"/>
  <c r="C89" i="8"/>
  <c r="C90" i="8"/>
  <c r="C91" i="8"/>
  <c r="C92" i="8"/>
  <c r="C111" i="8" s="1"/>
  <c r="C93" i="8"/>
  <c r="C94" i="8"/>
  <c r="C84" i="8"/>
  <c r="C103" i="8" s="1"/>
  <c r="C83" i="8"/>
  <c r="C102" i="8" s="1"/>
  <c r="B84" i="8"/>
  <c r="B85" i="8"/>
  <c r="B86" i="8"/>
  <c r="B87" i="8"/>
  <c r="B88" i="8"/>
  <c r="B89" i="8"/>
  <c r="B90" i="8"/>
  <c r="B91" i="8"/>
  <c r="B92" i="8"/>
  <c r="B93" i="8"/>
  <c r="B94" i="8"/>
  <c r="B95" i="8"/>
  <c r="B83" i="8"/>
  <c r="B49" i="8"/>
  <c r="B50" i="8"/>
  <c r="B51" i="8"/>
  <c r="B52" i="8"/>
  <c r="B53" i="8"/>
  <c r="B54" i="8"/>
  <c r="B55" i="8"/>
  <c r="B56" i="8"/>
  <c r="B57" i="8"/>
  <c r="B48" i="8"/>
  <c r="B47" i="8"/>
  <c r="B58" i="8"/>
  <c r="D31" i="8"/>
  <c r="D32" i="8"/>
  <c r="D33" i="8"/>
  <c r="D34" i="8"/>
  <c r="F121" i="8" l="1"/>
  <c r="F136" i="8"/>
  <c r="P66" i="8"/>
  <c r="D69" i="8" s="1"/>
  <c r="C70" i="8" s="1"/>
  <c r="F124" i="8"/>
  <c r="F129" i="8"/>
  <c r="F132" i="8"/>
  <c r="D37" i="8"/>
  <c r="D29" i="8"/>
  <c r="E30" i="8" s="1"/>
  <c r="F30" i="8" s="1"/>
  <c r="E94" i="8"/>
  <c r="D94" i="8"/>
  <c r="G94" i="8"/>
  <c r="F94" i="8"/>
  <c r="E90" i="8"/>
  <c r="D90" i="8"/>
  <c r="G90" i="8"/>
  <c r="F90" i="8"/>
  <c r="E86" i="8"/>
  <c r="D86" i="8"/>
  <c r="G86" i="8"/>
  <c r="F86" i="8"/>
  <c r="G83" i="8"/>
  <c r="F83" i="8"/>
  <c r="E83" i="8"/>
  <c r="D83" i="8"/>
  <c r="G92" i="8"/>
  <c r="F92" i="8"/>
  <c r="E92" i="8"/>
  <c r="D92" i="8"/>
  <c r="G88" i="8"/>
  <c r="F88" i="8"/>
  <c r="E88" i="8"/>
  <c r="D88" i="8"/>
  <c r="G95" i="8"/>
  <c r="F95" i="8"/>
  <c r="E95" i="8"/>
  <c r="D95" i="8"/>
  <c r="C114" i="8"/>
  <c r="C105" i="8"/>
  <c r="C109" i="8"/>
  <c r="C113" i="8"/>
  <c r="F125" i="8"/>
  <c r="F133" i="8"/>
  <c r="F135" i="8"/>
  <c r="E135" i="8"/>
  <c r="F131" i="8"/>
  <c r="E131" i="8"/>
  <c r="F127" i="8"/>
  <c r="E127" i="8"/>
  <c r="F123" i="8"/>
  <c r="E123" i="8"/>
  <c r="F119" i="8"/>
  <c r="E119" i="8"/>
  <c r="F84" i="8"/>
  <c r="E84" i="8"/>
  <c r="D84" i="8"/>
  <c r="G84" i="8"/>
  <c r="F91" i="8"/>
  <c r="E91" i="8"/>
  <c r="D91" i="8"/>
  <c r="G91" i="8"/>
  <c r="F87" i="8"/>
  <c r="E87" i="8"/>
  <c r="D87" i="8"/>
  <c r="G87" i="8"/>
  <c r="C106" i="8"/>
  <c r="C110" i="8"/>
  <c r="F120" i="8"/>
  <c r="F128" i="8"/>
  <c r="F134" i="8"/>
  <c r="E134" i="8"/>
  <c r="F130" i="8"/>
  <c r="E130" i="8"/>
  <c r="F126" i="8"/>
  <c r="E126" i="8"/>
  <c r="F122" i="8"/>
  <c r="E122" i="8"/>
  <c r="D93" i="8"/>
  <c r="G93" i="8"/>
  <c r="F93" i="8"/>
  <c r="E93" i="8"/>
  <c r="D89" i="8"/>
  <c r="G89" i="8"/>
  <c r="F89" i="8"/>
  <c r="E89" i="8"/>
  <c r="D85" i="8"/>
  <c r="G85" i="8"/>
  <c r="F85" i="8"/>
  <c r="E85" i="8"/>
  <c r="C104" i="8"/>
  <c r="C108" i="8"/>
  <c r="C112" i="8"/>
  <c r="F118" i="8" l="1"/>
  <c r="E32" i="8"/>
  <c r="F36" i="8"/>
  <c r="C39" i="8" s="1"/>
  <c r="E31" i="8"/>
  <c r="E33" i="8"/>
  <c r="E34" i="8"/>
  <c r="D81" i="8"/>
  <c r="E102" i="8"/>
  <c r="D102" i="8" s="1"/>
  <c r="F31" i="8" l="1"/>
  <c r="C31" i="8" s="1"/>
  <c r="F34" i="8"/>
  <c r="C34" i="8" s="1"/>
  <c r="F33" i="8"/>
  <c r="C33" i="8" s="1"/>
  <c r="F32" i="8"/>
  <c r="C32" i="8" s="1"/>
  <c r="K102" i="8"/>
  <c r="L102" i="8" s="1"/>
  <c r="E103" i="8"/>
  <c r="K103" i="8" s="1"/>
  <c r="L103" i="8" s="1"/>
  <c r="C30" i="8" l="1"/>
  <c r="D103" i="8"/>
  <c r="E108" i="8"/>
  <c r="D108" i="8" s="1"/>
  <c r="E105" i="8"/>
  <c r="K105" i="8" s="1"/>
  <c r="L105" i="8" s="1"/>
  <c r="E111" i="8"/>
  <c r="K111" i="8" s="1"/>
  <c r="L111" i="8" s="1"/>
  <c r="E104" i="8"/>
  <c r="D104" i="8" s="1"/>
  <c r="E106" i="8"/>
  <c r="D106" i="8" s="1"/>
  <c r="E112" i="8"/>
  <c r="D112" i="8" s="1"/>
  <c r="E109" i="8"/>
  <c r="D109" i="8" s="1"/>
  <c r="E81" i="8"/>
  <c r="E113" i="8"/>
  <c r="D113" i="8" s="1"/>
  <c r="E107" i="8"/>
  <c r="D107" i="8" s="1"/>
  <c r="E110" i="8"/>
  <c r="D110" i="8" s="1"/>
  <c r="D105" i="8" l="1"/>
  <c r="K112" i="8"/>
  <c r="L112" i="8" s="1"/>
  <c r="K104" i="8"/>
  <c r="L104" i="8" s="1"/>
  <c r="K113" i="8"/>
  <c r="L113" i="8" s="1"/>
  <c r="D79" i="8"/>
  <c r="E101" i="8" s="1"/>
  <c r="K107" i="8"/>
  <c r="L107" i="8" s="1"/>
  <c r="E114" i="8"/>
  <c r="K109" i="8"/>
  <c r="L109" i="8" s="1"/>
  <c r="D111" i="8"/>
  <c r="K110" i="8"/>
  <c r="L110" i="8" s="1"/>
  <c r="K106" i="8"/>
  <c r="L106" i="8" s="1"/>
  <c r="K108" i="8"/>
  <c r="L108" i="8" s="1"/>
  <c r="K114" i="8" l="1"/>
  <c r="L114" i="8" s="1"/>
  <c r="D114" i="8"/>
  <c r="D101" i="8"/>
  <c r="K101" i="8"/>
  <c r="L101" i="8" s="1"/>
  <c r="F81" i="8"/>
  <c r="G81" i="8"/>
  <c r="F79" i="8" l="1"/>
  <c r="E100" i="8" s="1"/>
  <c r="I97" i="8" s="1"/>
  <c r="H96" i="8" s="1"/>
  <c r="D100" i="8" l="1"/>
  <c r="K100" i="8"/>
  <c r="L100" i="8" s="1"/>
  <c r="D119" i="8"/>
  <c r="D120" i="8"/>
  <c r="D131" i="8"/>
  <c r="D124" i="8"/>
  <c r="D128" i="8"/>
  <c r="D134" i="8"/>
  <c r="D125" i="8"/>
  <c r="D133" i="8"/>
  <c r="D127" i="8"/>
  <c r="D122" i="8"/>
  <c r="D121" i="8"/>
  <c r="D130" i="8"/>
  <c r="D132" i="8"/>
  <c r="D129" i="8"/>
  <c r="D123" i="8"/>
  <c r="D136" i="8"/>
  <c r="D126" i="8"/>
  <c r="D135" i="8"/>
  <c r="D118" i="8" l="1"/>
  <c r="E118" i="8"/>
</calcChain>
</file>

<file path=xl/comments1.xml><?xml version="1.0" encoding="utf-8"?>
<comments xmlns="http://schemas.openxmlformats.org/spreadsheetml/2006/main">
  <authors>
    <author>Jasem Sabeeh Abul</author>
  </authors>
  <commentList>
    <comment ref="F10" authorId="0">
      <text>
        <r>
          <rPr>
            <b/>
            <sz val="9"/>
            <color rgb="FF000000"/>
            <rFont val="Tahoma"/>
            <family val="2"/>
          </rPr>
          <t>Jasem Sabeeh Abul:</t>
        </r>
        <r>
          <rPr>
            <sz val="9"/>
            <color rgb="FF000000"/>
            <rFont val="Tahoma"/>
            <family val="2"/>
          </rPr>
          <t xml:space="preserve">
31/1/2017</t>
        </r>
      </text>
    </comment>
    <comment ref="F11" authorId="0">
      <text>
        <r>
          <rPr>
            <b/>
            <sz val="9"/>
            <color rgb="FF000000"/>
            <rFont val="Tahoma"/>
            <family val="2"/>
          </rPr>
          <t>Jasem Sabeeh Abul:</t>
        </r>
        <r>
          <rPr>
            <sz val="9"/>
            <color rgb="FF000000"/>
            <rFont val="Tahoma"/>
            <family val="2"/>
          </rPr>
          <t xml:space="preserve">
31/1/2017</t>
        </r>
      </text>
    </comment>
    <comment ref="F12" authorId="0">
      <text>
        <r>
          <rPr>
            <b/>
            <sz val="9"/>
            <color rgb="FF000000"/>
            <rFont val="Tahoma"/>
            <family val="2"/>
          </rPr>
          <t>Jasem Sabeeh Abul:</t>
        </r>
        <r>
          <rPr>
            <sz val="9"/>
            <color rgb="FF000000"/>
            <rFont val="Tahoma"/>
            <family val="2"/>
          </rPr>
          <t xml:space="preserve">
31/1/2017</t>
        </r>
      </text>
    </comment>
    <comment ref="F13" authorId="0">
      <text>
        <r>
          <rPr>
            <b/>
            <sz val="9"/>
            <color rgb="FF000000"/>
            <rFont val="Tahoma"/>
            <family val="2"/>
          </rPr>
          <t>Jasem Sabeeh Abul:</t>
        </r>
        <r>
          <rPr>
            <sz val="9"/>
            <color rgb="FF000000"/>
            <rFont val="Tahoma"/>
            <family val="2"/>
          </rPr>
          <t xml:space="preserve">
31/1/2017</t>
        </r>
      </text>
    </comment>
    <comment ref="F14" authorId="0">
      <text>
        <r>
          <rPr>
            <b/>
            <sz val="9"/>
            <color rgb="FF000000"/>
            <rFont val="Tahoma"/>
            <family val="2"/>
          </rPr>
          <t>Jasem Sabeeh Abul:</t>
        </r>
        <r>
          <rPr>
            <sz val="9"/>
            <color rgb="FF000000"/>
            <rFont val="Tahoma"/>
            <family val="2"/>
          </rPr>
          <t xml:space="preserve">
31/1/2017</t>
        </r>
      </text>
    </comment>
    <comment ref="F15" authorId="0">
      <text>
        <r>
          <rPr>
            <b/>
            <sz val="9"/>
            <color rgb="FF000000"/>
            <rFont val="Tahoma"/>
            <family val="2"/>
          </rPr>
          <t>Jasem Sabeeh Abul:</t>
        </r>
        <r>
          <rPr>
            <sz val="9"/>
            <color rgb="FF000000"/>
            <rFont val="Tahoma"/>
            <family val="2"/>
          </rPr>
          <t xml:space="preserve">
31/1/2017</t>
        </r>
      </text>
    </comment>
  </commentList>
</comments>
</file>

<file path=xl/sharedStrings.xml><?xml version="1.0" encoding="utf-8"?>
<sst xmlns="http://schemas.openxmlformats.org/spreadsheetml/2006/main" count="14011" uniqueCount="2096">
  <si>
    <t>Staff ID</t>
  </si>
  <si>
    <t>Staff Name</t>
  </si>
  <si>
    <t>Customer Relationship Officer</t>
  </si>
  <si>
    <t>Group</t>
  </si>
  <si>
    <t xml:space="preserve">Sub Group </t>
  </si>
  <si>
    <t>Source</t>
  </si>
  <si>
    <t>Positions Status</t>
  </si>
  <si>
    <t>Budgeted Actual Positions</t>
  </si>
  <si>
    <t>Budgeted Vacant Positions</t>
  </si>
  <si>
    <t>Total Budgeted Positions</t>
  </si>
  <si>
    <t>Excess Actual</t>
  </si>
  <si>
    <t>Excess Vacant</t>
  </si>
  <si>
    <t xml:space="preserve">Actual Development </t>
  </si>
  <si>
    <t>Vacant Development</t>
  </si>
  <si>
    <t>Total Development</t>
  </si>
  <si>
    <t>Total Actual</t>
  </si>
  <si>
    <t>Total Vacant</t>
  </si>
  <si>
    <t>Total Excess</t>
  </si>
  <si>
    <t>Position Level</t>
  </si>
  <si>
    <t>Recruitment Type</t>
  </si>
  <si>
    <t>Pipeline</t>
  </si>
  <si>
    <t>Recruitment Status</t>
  </si>
  <si>
    <t>Expected Joining Date</t>
  </si>
  <si>
    <t>Total Positions</t>
  </si>
  <si>
    <t>Remarks</t>
  </si>
  <si>
    <t>Department</t>
  </si>
  <si>
    <t>Unit</t>
  </si>
  <si>
    <t>GDU</t>
  </si>
  <si>
    <t>BB/OS</t>
  </si>
  <si>
    <t>Nationality</t>
  </si>
  <si>
    <t>DOE (Day)</t>
  </si>
  <si>
    <t>DOE (Month)</t>
  </si>
  <si>
    <t>DOE (Year)</t>
  </si>
  <si>
    <t>DOE</t>
  </si>
  <si>
    <t>Information Technology</t>
  </si>
  <si>
    <t>Vacant</t>
  </si>
  <si>
    <t>Replacement</t>
  </si>
  <si>
    <t>BB</t>
  </si>
  <si>
    <t>Banking Group</t>
  </si>
  <si>
    <t>Retail Banking</t>
  </si>
  <si>
    <t>Actual</t>
  </si>
  <si>
    <t>Retail Branches</t>
  </si>
  <si>
    <t>Main Office (Head Office) Financial Center Branch</t>
  </si>
  <si>
    <t>Contact Center</t>
  </si>
  <si>
    <t>OS</t>
  </si>
  <si>
    <t>NK</t>
  </si>
  <si>
    <t>Job Title</t>
  </si>
  <si>
    <t>Groups</t>
  </si>
  <si>
    <t>Sub-Groups</t>
  </si>
  <si>
    <t>Position_Status</t>
  </si>
  <si>
    <t>Position_Level</t>
  </si>
  <si>
    <t>Recruitment_Type</t>
  </si>
  <si>
    <t>Recruitment_Status</t>
  </si>
  <si>
    <t>BB_OS</t>
  </si>
  <si>
    <t>Job_Title</t>
  </si>
  <si>
    <t>Compliance</t>
  </si>
  <si>
    <t>Internal Audit</t>
  </si>
  <si>
    <t>Private Banking</t>
  </si>
  <si>
    <t>Risk Management</t>
  </si>
  <si>
    <t>Corporate Banking</t>
  </si>
  <si>
    <t>Treasury</t>
  </si>
  <si>
    <t>Banking Operations</t>
  </si>
  <si>
    <t>General Services Administration</t>
  </si>
  <si>
    <t>Operations Strategic Development</t>
  </si>
  <si>
    <t>Strategic Business Development</t>
  </si>
  <si>
    <t>International Operations Office</t>
  </si>
  <si>
    <t>Board Secretariat</t>
  </si>
  <si>
    <t>Operations Group</t>
  </si>
  <si>
    <t>Deletion Date</t>
  </si>
  <si>
    <t>Computer Username</t>
  </si>
  <si>
    <t>Computer Name</t>
  </si>
  <si>
    <t>Updation Date</t>
  </si>
  <si>
    <t>Chairman's  Office</t>
  </si>
  <si>
    <t>Group Human Resources &amp; Development</t>
  </si>
  <si>
    <t>Group Internal Audit</t>
  </si>
  <si>
    <t>Group Strategic Financial Planning and Strategic Business Development</t>
  </si>
  <si>
    <t>Group Operations &amp; Technology</t>
  </si>
  <si>
    <t>Group Risk Management</t>
  </si>
  <si>
    <t>Legal Department</t>
  </si>
  <si>
    <t>Group Strategic Financial Planning &amp; Control</t>
  </si>
  <si>
    <t>Head Teller</t>
  </si>
  <si>
    <t>Operation Service Officer- B-Dinar</t>
  </si>
  <si>
    <t>Manager- Financial Analysis</t>
  </si>
  <si>
    <t>Senior Relationship Manager</t>
  </si>
  <si>
    <t>Teller- Trainee</t>
  </si>
  <si>
    <t>Relationship Officer</t>
  </si>
  <si>
    <t>Teller</t>
  </si>
  <si>
    <t>Relationship Manager</t>
  </si>
  <si>
    <t>Financial Analyst- Trainee</t>
  </si>
  <si>
    <t>Officer- Correspondent Banking- Trainee</t>
  </si>
  <si>
    <t>Administrative Assistant</t>
  </si>
  <si>
    <t>Financial Analyst</t>
  </si>
  <si>
    <t>Assistant Relationship Manager</t>
  </si>
  <si>
    <t>Unit Head- Trading &amp; Manufacturing</t>
  </si>
  <si>
    <t>Relationship Manager- SME</t>
  </si>
  <si>
    <t>Unit Head- Services &amp; Energy</t>
  </si>
  <si>
    <t>Senior Credit Officer</t>
  </si>
  <si>
    <t>Administrator</t>
  </si>
  <si>
    <t>Sr Officer- Anti Money Laundering</t>
  </si>
  <si>
    <t>Manager- Board Secretariat</t>
  </si>
  <si>
    <t>Executive Management</t>
  </si>
  <si>
    <t>Office Manager</t>
  </si>
  <si>
    <t>Manager- Compliance</t>
  </si>
  <si>
    <t>Sr Financial Analyst</t>
  </si>
  <si>
    <t>Head of Human Resources, AGM</t>
  </si>
  <si>
    <t>Management Trainee</t>
  </si>
  <si>
    <t>Officer Internal Communication</t>
  </si>
  <si>
    <t>Officer- Organizational Development</t>
  </si>
  <si>
    <t>Internal Audit Manager</t>
  </si>
  <si>
    <t>Auditor</t>
  </si>
  <si>
    <t>Senior Auditor</t>
  </si>
  <si>
    <t>Auditor- Trainee</t>
  </si>
  <si>
    <t>Marwa Hussin Mohamed El Naggar</t>
  </si>
  <si>
    <t>Auditor- Subsidiaries</t>
  </si>
  <si>
    <t>Officer- Internal Control</t>
  </si>
  <si>
    <t>Dealer- Foreign Exchange</t>
  </si>
  <si>
    <t>Project Manager</t>
  </si>
  <si>
    <t>Andres Floden</t>
  </si>
  <si>
    <t>Head of Operations Strategic Development</t>
  </si>
  <si>
    <t>Manager- Basel &amp; Risk Analytics</t>
  </si>
  <si>
    <t>Chief Credit Risk Officer</t>
  </si>
  <si>
    <t>Andrew Christopher Singh</t>
  </si>
  <si>
    <t>Group Chief Risk Officer</t>
  </si>
  <si>
    <t>Credit Analyst</t>
  </si>
  <si>
    <t>Investment &amp; Market Risk Controller</t>
  </si>
  <si>
    <t>Manager- Risk Programs &amp; Implementation</t>
  </si>
  <si>
    <t>Accountant</t>
  </si>
  <si>
    <t>Sr Accountant</t>
  </si>
  <si>
    <t>Sr Manager- Financial Accounting &amp; Control</t>
  </si>
  <si>
    <t>MIS Specialist</t>
  </si>
  <si>
    <t>IT Coordinator</t>
  </si>
  <si>
    <t>Computer Operator</t>
  </si>
  <si>
    <t>Manager- IT Operations</t>
  </si>
  <si>
    <t>Lawyer</t>
  </si>
  <si>
    <t>Administrator- Authentication</t>
  </si>
  <si>
    <t>Senior Lawyer</t>
  </si>
  <si>
    <t>Analyst Credit Recovery</t>
  </si>
  <si>
    <t>Electrician</t>
  </si>
  <si>
    <t>Officer- Central Processing Unit</t>
  </si>
  <si>
    <t>Officer- Treasury Settlement</t>
  </si>
  <si>
    <t>Officer- Customer Trade Services</t>
  </si>
  <si>
    <t>Officer- Swift</t>
  </si>
  <si>
    <t>Officer- Centralized Funds Transfer</t>
  </si>
  <si>
    <t>Officer- Credit Administration</t>
  </si>
  <si>
    <t>Senior Officer- Credit Administration</t>
  </si>
  <si>
    <t>Officer- Investment Operations</t>
  </si>
  <si>
    <t>Officer Segments- Trainee</t>
  </si>
  <si>
    <t>FSR- CSD</t>
  </si>
  <si>
    <t>Officer- Card Production</t>
  </si>
  <si>
    <t>Customer Service Officer</t>
  </si>
  <si>
    <t>Omar Jasem Al Anjeri</t>
  </si>
  <si>
    <t>Business Development Officer</t>
  </si>
  <si>
    <t>Agent Contact Center- Trainee</t>
  </si>
  <si>
    <t>Manager- Branch</t>
  </si>
  <si>
    <t>Customer Relationship Officer- Trainee</t>
  </si>
  <si>
    <t>Operations Officer</t>
  </si>
  <si>
    <t>Agent Contact Center</t>
  </si>
  <si>
    <t>Sara Bader Dehrab</t>
  </si>
  <si>
    <t>Acting Customer Relationship Officer</t>
  </si>
  <si>
    <t>Acting Head Teller</t>
  </si>
  <si>
    <t>Personal Banking Executive</t>
  </si>
  <si>
    <t>Senior Manager- Branch</t>
  </si>
  <si>
    <t>Agent- Electronic Banking Services</t>
  </si>
  <si>
    <t>Manager- Area Operations</t>
  </si>
  <si>
    <t>Collection Executive</t>
  </si>
  <si>
    <t>Mundathottil Mohammad</t>
  </si>
  <si>
    <t>Head Of Branches Operations</t>
  </si>
  <si>
    <t>Officer- Reconciliation</t>
  </si>
  <si>
    <t>Corporate Banking Branch</t>
  </si>
  <si>
    <t>Corporate Banking -Financial Analysis Unit</t>
  </si>
  <si>
    <t xml:space="preserve">New </t>
  </si>
  <si>
    <t>KWT</t>
  </si>
  <si>
    <t>Trading &amp; Manufacturing Unit</t>
  </si>
  <si>
    <t>Service &amp; Energy Unit</t>
  </si>
  <si>
    <t>Small &amp; Medium Enterprises</t>
  </si>
  <si>
    <t>Corporate Banking Division 1</t>
  </si>
  <si>
    <t>Small &amp; Medium Enterprises Division</t>
  </si>
  <si>
    <t>Anti Money Laundering</t>
  </si>
  <si>
    <t>Additional Approved</t>
  </si>
  <si>
    <t>Chairman's Office- Management</t>
  </si>
  <si>
    <t>Senior-Level</t>
  </si>
  <si>
    <t>Internal Transfer</t>
  </si>
  <si>
    <t>Interviewing/Feedback</t>
  </si>
  <si>
    <t>Mid-Level</t>
  </si>
  <si>
    <t>Entry-Level</t>
  </si>
  <si>
    <t>Human Resources &amp; Development</t>
  </si>
  <si>
    <t>Payroll &amp; HR Operations</t>
  </si>
  <si>
    <t>Internal Communications</t>
  </si>
  <si>
    <t>Human Resources &amp; Development- Management</t>
  </si>
  <si>
    <t>Organizational Development</t>
  </si>
  <si>
    <t>HR Trainees</t>
  </si>
  <si>
    <t>General Audit</t>
  </si>
  <si>
    <t xml:space="preserve">Offer Accepted </t>
  </si>
  <si>
    <t>Foreign Exchange</t>
  </si>
  <si>
    <t>IBT - Management</t>
  </si>
  <si>
    <t>Organisation &amp; Methods</t>
  </si>
  <si>
    <t>Business Continuity Program</t>
  </si>
  <si>
    <t>Operations Group- Management</t>
  </si>
  <si>
    <t>C-Level</t>
  </si>
  <si>
    <t xml:space="preserve">Shortlisted </t>
  </si>
  <si>
    <t>Risk Management- Management</t>
  </si>
  <si>
    <t>Operational Risk</t>
  </si>
  <si>
    <t>Group Enterprise Risk</t>
  </si>
  <si>
    <t>Group Risk Management- Management</t>
  </si>
  <si>
    <t>Financial Accounting &amp; Control</t>
  </si>
  <si>
    <t>CBK Reporting</t>
  </si>
  <si>
    <t>Provision Unit</t>
  </si>
  <si>
    <t>Strategic Financial Planning</t>
  </si>
  <si>
    <t>MIS</t>
  </si>
  <si>
    <t>Reconciliation &amp; GL Controls</t>
  </si>
  <si>
    <t>Applications Development</t>
  </si>
  <si>
    <t>Computer Operations</t>
  </si>
  <si>
    <t>Technical Support</t>
  </si>
  <si>
    <t xml:space="preserve">Legal </t>
  </si>
  <si>
    <t>Purchased Debt</t>
  </si>
  <si>
    <t>Premises &amp; Maintenance</t>
  </si>
  <si>
    <t>Main Vault</t>
  </si>
  <si>
    <t>Funds Transfer/Clearing</t>
  </si>
  <si>
    <t>Credit Admin/Pre-fact</t>
  </si>
  <si>
    <t>Centralized Verification Unit</t>
  </si>
  <si>
    <t>Customer Trade Services</t>
  </si>
  <si>
    <t>Funds Transfer/Swift</t>
  </si>
  <si>
    <t>CTS/LC</t>
  </si>
  <si>
    <t>Private Banking- Management</t>
  </si>
  <si>
    <t>Marketing Management</t>
  </si>
  <si>
    <t>Product Management &amp; Development</t>
  </si>
  <si>
    <t>Direct Sales</t>
  </si>
  <si>
    <t>Credit Cards Center</t>
  </si>
  <si>
    <t>Cards &amp; System Operations</t>
  </si>
  <si>
    <t>BOU- Furdous Branch</t>
  </si>
  <si>
    <t>Branch Operational Unit</t>
  </si>
  <si>
    <t>BOU- Khaitan Branch</t>
  </si>
  <si>
    <t>Riqqa Financial Center Branch</t>
  </si>
  <si>
    <t>BOU- Adaliya Financial Center Branch</t>
  </si>
  <si>
    <t>Sabhan Transactions Branch</t>
  </si>
  <si>
    <t>Jahra-1 Solution Branch</t>
  </si>
  <si>
    <t>Farwaniya Hybird Solution Branch</t>
  </si>
  <si>
    <t>BOU- Riqqa Financial Center Branch</t>
  </si>
  <si>
    <t>BOU- Ahmadi</t>
  </si>
  <si>
    <t>BOU- Salmiyah Hybrid Solution Branch</t>
  </si>
  <si>
    <t>BOU- Discovery Mall Branch</t>
  </si>
  <si>
    <t>BOU- Shuwaikh Hybrid Solution</t>
  </si>
  <si>
    <t>Khaitan Branch</t>
  </si>
  <si>
    <t>BOU- Fahaheel Solution</t>
  </si>
  <si>
    <t>BOU- Abu Fetera Solutions Branch</t>
  </si>
  <si>
    <t>BOU- Al-Qurain Solution Branch</t>
  </si>
  <si>
    <t>Bayan Branch</t>
  </si>
  <si>
    <t>Discovery Mall Branch</t>
  </si>
  <si>
    <t>BOU- Hawally Transactions Branch</t>
  </si>
  <si>
    <t>BOU- Hawally Solutions Branch</t>
  </si>
  <si>
    <t>BOU- Farwaniya Hybrid Solution Branch</t>
  </si>
  <si>
    <t>Avenues Branch</t>
  </si>
  <si>
    <t>Salmiyah Hybird Solution Branch</t>
  </si>
  <si>
    <t>Furdous Branch</t>
  </si>
  <si>
    <t>Marina Financial Center Branch</t>
  </si>
  <si>
    <t>Jahra-2 Solution Branch</t>
  </si>
  <si>
    <t>Qurain Solution Branch</t>
  </si>
  <si>
    <t>Hawally Solution Branch</t>
  </si>
  <si>
    <t>Al Salam Branch</t>
  </si>
  <si>
    <t>Fahaheel Solution Branch</t>
  </si>
  <si>
    <t>Hawally Transactions Branch</t>
  </si>
  <si>
    <t>Retail Credit</t>
  </si>
  <si>
    <t>Electronic Banking Services</t>
  </si>
  <si>
    <t/>
  </si>
  <si>
    <t>1</t>
  </si>
  <si>
    <t>0</t>
  </si>
  <si>
    <t>Total</t>
  </si>
  <si>
    <t>Active Positions by Source</t>
  </si>
  <si>
    <t>Months</t>
  </si>
  <si>
    <t>Year</t>
  </si>
  <si>
    <t>Recruitment by Month</t>
  </si>
  <si>
    <t>Target_left</t>
  </si>
  <si>
    <t>Target</t>
  </si>
  <si>
    <t>Target_mid</t>
  </si>
  <si>
    <t>Target_right</t>
  </si>
  <si>
    <t>Gap</t>
  </si>
  <si>
    <t>Res</t>
  </si>
  <si>
    <t>A</t>
  </si>
  <si>
    <t>Budgeted</t>
  </si>
  <si>
    <t>Month</t>
  </si>
  <si>
    <t>mth</t>
  </si>
  <si>
    <t>Employee ID</t>
  </si>
  <si>
    <t>Employee name</t>
  </si>
  <si>
    <t>Date of employment</t>
  </si>
  <si>
    <t>Last working date</t>
  </si>
  <si>
    <t xml:space="preserve">Sulaiman Abdullah Al Ansari </t>
  </si>
  <si>
    <t xml:space="preserve">Banking Operations </t>
  </si>
  <si>
    <t>Nawal Ibrahim Hamad Bouqaydhi</t>
  </si>
  <si>
    <t>Retail Banking Management</t>
  </si>
  <si>
    <t>Jenan Maki Al Shatti</t>
  </si>
  <si>
    <t>Eiman Abdulrahman Al Juraid</t>
  </si>
  <si>
    <t xml:space="preserve">Fatema Ahmed Al Naser </t>
  </si>
  <si>
    <t>Moody Bader Al Jian</t>
  </si>
  <si>
    <t>Fatemah Faisal Jumaah Taqi</t>
  </si>
  <si>
    <t>Dalal MohammadAbdullah Saif Abdullah</t>
  </si>
  <si>
    <t xml:space="preserve">Ayman Mohamed ZeineTawfik </t>
  </si>
  <si>
    <t xml:space="preserve">Corporate Branch </t>
  </si>
  <si>
    <t>Ahmad Khaled Ismaeil Al Ansari</t>
  </si>
  <si>
    <t xml:space="preserve">Group Investment Banking &amp; Treasury </t>
  </si>
  <si>
    <t xml:space="preserve">Suhaib Adeeb Mohammad Al Awadhi </t>
  </si>
  <si>
    <t xml:space="preserve">Enterprise Projects Office </t>
  </si>
  <si>
    <t xml:space="preserve">Rita Nersis Arabian </t>
  </si>
  <si>
    <t xml:space="preserve">Group Operations &amp; Technology </t>
  </si>
  <si>
    <t xml:space="preserve">Iain Remy Layden </t>
  </si>
  <si>
    <t>Fawziah Khaled Abdulhameed</t>
  </si>
  <si>
    <t xml:space="preserve">Bader Nabil Abdullah Al Shehab </t>
  </si>
  <si>
    <t xml:space="preserve">Fowzia Abdi Mohamed </t>
  </si>
  <si>
    <t xml:space="preserve">Abdulla Mohammed Al Jasmei </t>
  </si>
  <si>
    <t xml:space="preserve">Rawan Salem Bourabia </t>
  </si>
  <si>
    <t xml:space="preserve">Sadeq Mahmoud Abbas Dakson </t>
  </si>
  <si>
    <t xml:space="preserve">Amro Mahmoud Abdelfattah Shahin </t>
  </si>
  <si>
    <t xml:space="preserve">Hesham Mohamed Ahmed </t>
  </si>
  <si>
    <t>Ahmad Hamed Muqadas</t>
  </si>
  <si>
    <t>Danah Jassim Mohammad Al Fadhli</t>
  </si>
  <si>
    <t xml:space="preserve">Anfal Khaleel Ibrahim Al Mesri </t>
  </si>
  <si>
    <t xml:space="preserve">Sarah Mahdi Al Jazzaf </t>
  </si>
  <si>
    <t xml:space="preserve">Financial Institutions </t>
  </si>
  <si>
    <t xml:space="preserve">AlBatool Esmail Abdullah </t>
  </si>
  <si>
    <t xml:space="preserve">Fatimah Adel Swayed </t>
  </si>
  <si>
    <t>Badriyah Hamad Al Sabah</t>
  </si>
  <si>
    <t>Hanan Mahmoud Mohammad</t>
  </si>
  <si>
    <t xml:space="preserve">Sarah Yousef Ebrahim Al Ghareb </t>
  </si>
  <si>
    <t>Salama Ali Ayad</t>
  </si>
  <si>
    <t xml:space="preserve">Abdulrahman Naser Al Omran </t>
  </si>
  <si>
    <t xml:space="preserve">Manal Jasem Al Jasem </t>
  </si>
  <si>
    <t>Dalal Mohammad Farahan</t>
  </si>
  <si>
    <t xml:space="preserve">Eid Abdelfattah Shehata </t>
  </si>
  <si>
    <t xml:space="preserve">Maha Ahdi Sulaiman Al Sabej </t>
  </si>
  <si>
    <t xml:space="preserve">Financial Accounting &amp; Control </t>
  </si>
  <si>
    <t xml:space="preserve">Ebraheem Amir Ibrahim Al Mijadi </t>
  </si>
  <si>
    <t xml:space="preserve">Tarek Galal Hussein Hamdi </t>
  </si>
  <si>
    <t>Farah Farqad Abdullah Al Sane</t>
  </si>
  <si>
    <t xml:space="preserve">Duaa Jawad Ali </t>
  </si>
  <si>
    <t xml:space="preserve">Ali Hussein Abbas </t>
  </si>
  <si>
    <t xml:space="preserve">Ali Yacoub Sabti </t>
  </si>
  <si>
    <t xml:space="preserve">Human Resources &amp; Development </t>
  </si>
  <si>
    <t xml:space="preserve">Madiha Abdullah Ahmad Bouftain </t>
  </si>
  <si>
    <t xml:space="preserve">Chairman's  Office </t>
  </si>
  <si>
    <t xml:space="preserve">Dina Nader Al Eissa </t>
  </si>
  <si>
    <t xml:space="preserve">Internal Control </t>
  </si>
  <si>
    <t>Hasan Ali Al Kazemi</t>
  </si>
  <si>
    <t xml:space="preserve">Saqr Adel Al Roomy </t>
  </si>
  <si>
    <t xml:space="preserve">Mohammad Mansour Al Khazim </t>
  </si>
  <si>
    <t>Samir Salim El Kadi</t>
  </si>
  <si>
    <t xml:space="preserve">Duaa Mohammed Hamadha </t>
  </si>
  <si>
    <t xml:space="preserve">Mayouf Juumaah Sabti </t>
  </si>
  <si>
    <t xml:space="preserve">Manish Singh Sahni </t>
  </si>
  <si>
    <t>Financial Planning &amp; Control</t>
  </si>
  <si>
    <t xml:space="preserve">Abdulrazzaq Abbas Abdulrazzaq Al Mahmeed </t>
  </si>
  <si>
    <t xml:space="preserve">Small &amp; Medium Enterprises </t>
  </si>
  <si>
    <t xml:space="preserve">Fatemah Fahad Naser Al Farhoud </t>
  </si>
  <si>
    <t xml:space="preserve">Layla Waleed Al Mokhtar </t>
  </si>
  <si>
    <t xml:space="preserve">Mohammad Jasem Ahmad </t>
  </si>
  <si>
    <t xml:space="preserve">Omar Jamal Sanad </t>
  </si>
  <si>
    <t xml:space="preserve">Hanan Noman Abdul Hussain </t>
  </si>
  <si>
    <t xml:space="preserve">Anti Money Laundering </t>
  </si>
  <si>
    <t xml:space="preserve">Abdulwahab Nazzal Mefarreh Al Harshani </t>
  </si>
  <si>
    <t xml:space="preserve">Khaled Tareq Essa </t>
  </si>
  <si>
    <t xml:space="preserve">Faras Fouad Hasan </t>
  </si>
  <si>
    <t xml:space="preserve">Huda Hajeem Al Alawei </t>
  </si>
  <si>
    <t xml:space="preserve">Hayat Abdulla Ahmed Hussain </t>
  </si>
  <si>
    <t>Mohammad Khaled Hayati</t>
  </si>
  <si>
    <t xml:space="preserve">Private Banking Group </t>
  </si>
  <si>
    <t xml:space="preserve">Lolwah Ali Al Qateefi </t>
  </si>
  <si>
    <t xml:space="preserve">Adel Abdullah Bakery </t>
  </si>
  <si>
    <t xml:space="preserve">Salma Abdulhakeem Al Baghli </t>
  </si>
  <si>
    <t>Abdulla Fadel Abbas Al Koot</t>
  </si>
  <si>
    <t xml:space="preserve">Jasem Ahmed Hussain Al Zaabi </t>
  </si>
  <si>
    <t>Credit Administration</t>
  </si>
  <si>
    <t>Wail Faisal Bader Al Aun</t>
  </si>
  <si>
    <t xml:space="preserve">Muna Sulaiman Al Ajeel </t>
  </si>
  <si>
    <t xml:space="preserve">Retail Branches </t>
  </si>
  <si>
    <t>Farah Abdulaziz Atieh</t>
  </si>
  <si>
    <t xml:space="preserve">Abdullah Mubarak Sulaiman Al Qasar </t>
  </si>
  <si>
    <t>Saurabh Sunil Verma</t>
  </si>
  <si>
    <t>Nadiah Nooraldeen Mohammad</t>
  </si>
  <si>
    <t xml:space="preserve">Abdulaziz Khaled Al Masoud </t>
  </si>
  <si>
    <t xml:space="preserve">Dana Ibrahim Abdalla </t>
  </si>
  <si>
    <t xml:space="preserve">Negoumi Nigm Eldin Ahmed </t>
  </si>
  <si>
    <t xml:space="preserve">Legal Department </t>
  </si>
  <si>
    <t xml:space="preserve">Mohammad Kathem Habib </t>
  </si>
  <si>
    <t xml:space="preserve">Thomas Anthony </t>
  </si>
  <si>
    <t xml:space="preserve">Mohammad Talib Ali Shehab </t>
  </si>
  <si>
    <t xml:space="preserve">Lemya Abdullah Al Loughani </t>
  </si>
  <si>
    <t xml:space="preserve">Electronic Banking Services </t>
  </si>
  <si>
    <t xml:space="preserve">Bshaier Mubarak Al Azemi </t>
  </si>
  <si>
    <t>Reem  Jasem Al Hashash</t>
  </si>
  <si>
    <t xml:space="preserve">Thoraya Malek Ghloum Hussain </t>
  </si>
  <si>
    <t>Latifah Omar AlSayed Omar</t>
  </si>
  <si>
    <t xml:space="preserve">Abdulaziz Khaled Al Dhahi </t>
  </si>
  <si>
    <t>Ali Naser Sarkhouh</t>
  </si>
  <si>
    <t>Kholood Rashed Al Adwani</t>
  </si>
  <si>
    <t xml:space="preserve">Sulayman Fouad Al Onaizi </t>
  </si>
  <si>
    <t>Abdullah Fahaad Al Ajmi</t>
  </si>
  <si>
    <t xml:space="preserve">Abdullah Ali Hussein </t>
  </si>
  <si>
    <t xml:space="preserve">Retail Credit </t>
  </si>
  <si>
    <t xml:space="preserve">Yousef Daifallah Al Mutairi </t>
  </si>
  <si>
    <t xml:space="preserve">HR Trainees </t>
  </si>
  <si>
    <t>Hebah Ali Mohamad Al Hammad</t>
  </si>
  <si>
    <t xml:space="preserve">Risk Management </t>
  </si>
  <si>
    <t>Shayma Rashid Mohammad Al Hadhainah</t>
  </si>
  <si>
    <t xml:space="preserve">Ahmad Ali Al Res </t>
  </si>
  <si>
    <t xml:space="preserve">Branch Operational Unit </t>
  </si>
  <si>
    <t>Einas Ahmad Mubarak Al Wadaani</t>
  </si>
  <si>
    <t xml:space="preserve">Aisha Abdulkareem Al Dayouli </t>
  </si>
  <si>
    <t xml:space="preserve">Najla Salah Baqer Kheraib </t>
  </si>
  <si>
    <t>Noor Moaied Sami Al Tamimi</t>
  </si>
  <si>
    <t xml:space="preserve">Khaled  Lail Al Ajmi </t>
  </si>
  <si>
    <t xml:space="preserve">Contact Center </t>
  </si>
  <si>
    <t xml:space="preserve">Ali Tareq Abdeen </t>
  </si>
  <si>
    <t>Emp_Mth</t>
  </si>
  <si>
    <t>Emp_Yr</t>
  </si>
  <si>
    <t>LW_Mth</t>
  </si>
  <si>
    <t>LW_Yr</t>
  </si>
  <si>
    <t>Regretted</t>
  </si>
  <si>
    <t>Not regretted</t>
  </si>
  <si>
    <t>Not Regretted</t>
  </si>
  <si>
    <t>Thoraya Malek Ghloum Hussain</t>
  </si>
  <si>
    <t>Sulayman Fouad Al Onaizi</t>
  </si>
  <si>
    <t>Bshaier Mubarak Al Azemi</t>
  </si>
  <si>
    <t>Abdulaziz Khaled Al Dhahi</t>
  </si>
  <si>
    <t>Resignations</t>
  </si>
  <si>
    <t>Regretted / Non-Regretted by Month</t>
  </si>
  <si>
    <t>Note:</t>
  </si>
  <si>
    <t xml:space="preserve">Overall regretted resignations are </t>
  </si>
  <si>
    <t>of the total.</t>
  </si>
  <si>
    <t>Note</t>
  </si>
  <si>
    <t xml:space="preserve">Total Active positions by Source till end </t>
  </si>
  <si>
    <t>are</t>
  </si>
  <si>
    <t xml:space="preserve">
Major source has been direct hires,  constituting </t>
  </si>
  <si>
    <t>.</t>
  </si>
  <si>
    <t>, which is above the required 64%.</t>
  </si>
  <si>
    <t xml:space="preserve">
While inclusive of out-sourced, Kuwaitization is 58%, rationale being the concentration of outsourced staff in compliance, legal, IT Risk and Operations.</t>
  </si>
  <si>
    <t>Headcount Budget per Group</t>
  </si>
  <si>
    <t>The fdsfsd</t>
  </si>
  <si>
    <t>Salman Hussain Qassim Ali</t>
  </si>
  <si>
    <t>Laila Haji Sadoun</t>
  </si>
  <si>
    <t>Dawoud Sulaiman Abdulwahab Al Khedhr</t>
  </si>
  <si>
    <t>Mohammed Saleh Mohammed Al Saleh</t>
  </si>
  <si>
    <t>Ahmad Majdi Ahmad Al Zufairi</t>
  </si>
  <si>
    <t>Esraa Mohammed Qasem</t>
  </si>
  <si>
    <t>Fatmah Fuad Habeeb Al Mutawaa</t>
  </si>
  <si>
    <t>Bashayer Abdulhakeem Ayed Al Enezi</t>
  </si>
  <si>
    <t>Noura Taher Abdullah Al Marri</t>
  </si>
  <si>
    <t>Saba Abdullah Al Fassam</t>
  </si>
  <si>
    <t>Abdullah Mubarak Farhan Al Zayadah</t>
  </si>
  <si>
    <t>Maliekal Lonappan Johnny</t>
  </si>
  <si>
    <t>Khaled Mohamed Samy Hassouna</t>
  </si>
  <si>
    <t>Esraa Ali Mukhtar Redha Ashkanani</t>
  </si>
  <si>
    <t>Nada Soud Salem Al Rudainy</t>
  </si>
  <si>
    <t>Omar Khalil Ibrahim Al Awadhi</t>
  </si>
  <si>
    <t>Hadeil Adnan Mohammad Al Own</t>
  </si>
  <si>
    <t>Abdullah Saad Sulaiman Al Buloushi</t>
  </si>
  <si>
    <t>Akash Suryan</t>
  </si>
  <si>
    <t>Ali Khaled Sardar Hamada</t>
  </si>
  <si>
    <t>Anwar Fadel Hannoun Al Shayea</t>
  </si>
  <si>
    <t>Silva Omran Panosyan</t>
  </si>
  <si>
    <t>Tahir Nazir Virk Mohd. Nazir</t>
  </si>
  <si>
    <t>Hadeel Fati Ghanem</t>
  </si>
  <si>
    <t>Dany Salim Noujaim</t>
  </si>
  <si>
    <t>Milan Muralidharan Sreekumari</t>
  </si>
  <si>
    <t>Sayed Ali Mohsen Al Ali</t>
  </si>
  <si>
    <t>Bedoor Mohammad Hamza Al Kandari</t>
  </si>
  <si>
    <t>Saud Faisal Saud Al Zaid</t>
  </si>
  <si>
    <t>Zarina Mabel Dlima</t>
  </si>
  <si>
    <t>Mostapha Abdelhamid Osman</t>
  </si>
  <si>
    <t>Nada Saleh Mohammad Al Muzaini</t>
  </si>
  <si>
    <t>Nour Abbas Mohammad Dashti</t>
  </si>
  <si>
    <t>Abdulnasser Ali Salama Ayad</t>
  </si>
  <si>
    <t>Ahmad Adnan Taher Al Herz</t>
  </si>
  <si>
    <t>Danah Ahmad Khudhair Aziz</t>
  </si>
  <si>
    <t>Abdulwahab Abdullah Muhalhel Al Qnae</t>
  </si>
  <si>
    <t>Amenah Mohammad Ebrahim Al Damkhi</t>
  </si>
  <si>
    <t>Bdour Hassan Sami Al Hanbali</t>
  </si>
  <si>
    <t>Abdullah Ali Abdullah Abbas</t>
  </si>
  <si>
    <t>Abdallah Mohsen Abdelmoniem Mohamed</t>
  </si>
  <si>
    <t>Ketan Gopal Shanbhag</t>
  </si>
  <si>
    <t>Ahmad Shaker Karam Shehab</t>
  </si>
  <si>
    <t>Sumaia Haidar Abdullah Sadeq</t>
  </si>
  <si>
    <t>Yousef Yacoub Saeed Al Boloushi</t>
  </si>
  <si>
    <t>Latifah Waleed Mohammad Al Qaisi</t>
  </si>
  <si>
    <t>Faisal Bader Ebrahim Al Musaibeeh</t>
  </si>
  <si>
    <t>Khaled Hamad Safar Barrak Al Barrak</t>
  </si>
  <si>
    <t>Subhdeep Johri</t>
  </si>
  <si>
    <t>Raneem Meshal Al-Sabah</t>
  </si>
  <si>
    <t>Shaimaa Ahmed Faraj Al Faraj</t>
  </si>
  <si>
    <t>Ali Basel Mohammad Al Ali</t>
  </si>
  <si>
    <t xml:space="preserve">Lateefah Edrees Abdullah </t>
  </si>
  <si>
    <t>Mohammad Ahmad Al Wehaib</t>
  </si>
  <si>
    <t>Ali Abdulrahman Ali Al Dawood</t>
  </si>
  <si>
    <t>Sadeq Saleh Abdullah Al Zqah</t>
  </si>
  <si>
    <t>Karan Kamal Kapur</t>
  </si>
  <si>
    <t>Duaa Habib Abdulhussain Al Qallaf</t>
  </si>
  <si>
    <t>Micheal Adel Adly Zakhary</t>
  </si>
  <si>
    <t>Mariam Mohammed Mubarak</t>
  </si>
  <si>
    <t>Rana Mohammad Sulaiman Al Musallam</t>
  </si>
  <si>
    <t>Abrar Khalil Mohammad Akbar Hussain</t>
  </si>
  <si>
    <t>Abdelnasser Yousef Abdelazim Korayem</t>
  </si>
  <si>
    <t>Aliaa Ali Mukhtar Reda Ashkanani</t>
  </si>
  <si>
    <t>Abdulmohsen jamal abdulmohsen Al Jraid</t>
  </si>
  <si>
    <t>Fahed Nouman Abdulkareem Al Shoshteri</t>
  </si>
  <si>
    <t>Khuloud Jassim Hasan Mahran</t>
  </si>
  <si>
    <t>Fawaz Hasan Ahmad Dushty</t>
  </si>
  <si>
    <t>Mohammad Salem Hameed Ali</t>
  </si>
  <si>
    <t>Fatemah Khaled Sultan Al Hamadi</t>
  </si>
  <si>
    <t>Nour Khaled Mohammad Al Sharif</t>
  </si>
  <si>
    <t>Danah Abdulrahman Jdaiaan Al Anzi</t>
  </si>
  <si>
    <t>Fatouh Abdulrasool Ahmed Ali Muhammad</t>
  </si>
  <si>
    <t>Dalal Ahmad Khalifah Ali</t>
  </si>
  <si>
    <t>Monaif Abdulaziz Monif Al Khudhairi</t>
  </si>
  <si>
    <t>Raghunath Gopal Prabhu</t>
  </si>
  <si>
    <t>Ali Ahmed Ali Al Saffar</t>
  </si>
  <si>
    <t>Areej Kamil Al Shammiry</t>
  </si>
  <si>
    <t>Mijbel Saad Al Faraj</t>
  </si>
  <si>
    <t>Zahraa Abdulmajed Abdulkareem Mohammad Ali</t>
  </si>
  <si>
    <t>Loulwah Jassim Abdullah Al Qassar</t>
  </si>
  <si>
    <t>Abdulrahman Asad Abdulmohsen Al Nassar</t>
  </si>
  <si>
    <t>Muna Ali Hussain Hassan</t>
  </si>
  <si>
    <t>Abdullaziz Ismaeil Mohammad Abdullah</t>
  </si>
  <si>
    <t>Yousef Hasan Mohammad Ghuloum</t>
  </si>
  <si>
    <t>Mohammad Adnan Al Qallaf</t>
  </si>
  <si>
    <t>Danah Ebrahim Hussain Al Oud</t>
  </si>
  <si>
    <t>Abdulmohsen Abdulwahab Qasem Boland</t>
  </si>
  <si>
    <t>Basema Abdulrazzaq Al Reshaid</t>
  </si>
  <si>
    <t>Abdulaziz Faisal Abdullatif Al Jaber</t>
  </si>
  <si>
    <t>Nader Ameer Mohammed Marafi</t>
  </si>
  <si>
    <t>Abdulaziz Kazem Mousa Al Saraf</t>
  </si>
  <si>
    <t>Nouf Nasser Haji Al Muzayyan</t>
  </si>
  <si>
    <t>Fahad Abdullah Jassim Al Haidar</t>
  </si>
  <si>
    <t>Maryam Falah Abdullah Al Assoussi</t>
  </si>
  <si>
    <t>Naser Qasem Salman Al Najadi</t>
  </si>
  <si>
    <t>Amal Mousa Mohammad Esmeiran</t>
  </si>
  <si>
    <t>Andrew Kent Jan</t>
  </si>
  <si>
    <t>Donya Khaled Abdulaziz Al Besharah</t>
  </si>
  <si>
    <t>Arnab Pal</t>
  </si>
  <si>
    <t>Ali Adnan Mahmoud Abdullah</t>
  </si>
  <si>
    <t>Yousif Fahad Sultan Dehrab</t>
  </si>
  <si>
    <t>Abdulrahman Faisal Abdulkareem Al Feraih</t>
  </si>
  <si>
    <t>Ali Sami Mohammad Al Ali</t>
  </si>
  <si>
    <t>Abbas Fadel Abbas</t>
  </si>
  <si>
    <t>Ali Mohammadi</t>
  </si>
  <si>
    <t>Reem Abdullah Al Khaled</t>
  </si>
  <si>
    <t>Philippe George El Jabbour</t>
  </si>
  <si>
    <t>Abdulaziz Adnan Al Kharsan</t>
  </si>
  <si>
    <t>Ahmad Ali Arti</t>
  </si>
  <si>
    <t>Mobarak Ahmad Mobarak Sultan Mobarak</t>
  </si>
  <si>
    <t>Riham Mohammed Naser Al Rasheed</t>
  </si>
  <si>
    <t>Hadeel Adnan Al Own</t>
  </si>
  <si>
    <t>Bader Naser Saleh</t>
  </si>
  <si>
    <t>Shireen Kayomerd Cooper</t>
  </si>
  <si>
    <t>Bader Waleed Abdulraheem Al Asfour</t>
  </si>
  <si>
    <t>Dalal Shukri Mahmoud Al Enezi</t>
  </si>
  <si>
    <t>Sarah adel ahmad Al Wuhaib</t>
  </si>
  <si>
    <t>Abrar Mohsen Al Shemmari</t>
  </si>
  <si>
    <t>Abdulaziz Mohammed Al Filkawi</t>
  </si>
  <si>
    <t>Abdulrahman Saleh Taleb Kout</t>
  </si>
  <si>
    <t>Sarrah Jassim Mohammad Al Hendi</t>
  </si>
  <si>
    <t>Yacoub Abdullah Yacoub Boland</t>
  </si>
  <si>
    <t>Khaled Abdullah Yousef Ahmad</t>
  </si>
  <si>
    <t>Nauf Abdulaziz Juma Salman</t>
  </si>
  <si>
    <t>Elyas Naser Ahmed Husain</t>
  </si>
  <si>
    <t>Mohammad Basem Mohammad Al Muthfer</t>
  </si>
  <si>
    <t>Zahrah Salem Al Qallaf</t>
  </si>
  <si>
    <t>Shahad Naji Al Otaibi</t>
  </si>
  <si>
    <t>Ghadeer Mohammad Hasan Kamshad</t>
  </si>
  <si>
    <t>Fay Khaled Eisa</t>
  </si>
  <si>
    <t>Jassem Mohammed Dashtti</t>
  </si>
  <si>
    <t>Sara Emil Ramsis Estfanous</t>
  </si>
  <si>
    <t>Asma Hussain Al Adwani</t>
  </si>
  <si>
    <t>Talal Muwaffaq Al Moawad</t>
  </si>
  <si>
    <t>Ahmad Mohammad Ali Al Ansari</t>
  </si>
  <si>
    <t>Huda Hajeem Bushra Al Alawi</t>
  </si>
  <si>
    <t>Iskandar Raymond Tabbah</t>
  </si>
  <si>
    <t>Jasem Mohammad Hani Almatrook</t>
  </si>
  <si>
    <t>Bassam Abdulsalam Abdulhameed Al Bassam</t>
  </si>
  <si>
    <t>Maha Ali Mohammad Ashkanani</t>
  </si>
  <si>
    <t>Nadia Mohamed Hussein</t>
  </si>
  <si>
    <t>Asmaa Ameen Ismaeil Al Eidan</t>
  </si>
  <si>
    <t>Anfal Abdulaziz Al Mutairi</t>
  </si>
  <si>
    <t>Hana Othman Al Kouatly</t>
  </si>
  <si>
    <t>Ashvini Bakshi</t>
  </si>
  <si>
    <t>George Varghese Puthuparampil</t>
  </si>
  <si>
    <t>Muhammad Saloojee</t>
  </si>
  <si>
    <t>Rawan Abdulrahman Abdullah Al Marzouq</t>
  </si>
  <si>
    <t>Khawlah Naif Joudy Darweesh</t>
  </si>
  <si>
    <t>Mansour Hussein Rizeq Abu Helal</t>
  </si>
  <si>
    <t>Ali Adel Al Attar</t>
  </si>
  <si>
    <t>Husain Ali Naser Al Sairafi</t>
  </si>
  <si>
    <t>Modhy Salah Al Kandari</t>
  </si>
  <si>
    <t>Ahmad Soud Ahmad Al Adwani</t>
  </si>
  <si>
    <t>Laila Fadhel Abdalkhudhur Abdulrahim</t>
  </si>
  <si>
    <t>Shireen Salim Jury</t>
  </si>
  <si>
    <t>Yousef khaled Jassem Al Attar</t>
  </si>
  <si>
    <t>Nour Jaber Ali Taqi</t>
  </si>
  <si>
    <t xml:space="preserve">Haya Al Refai                                                      </t>
  </si>
  <si>
    <t>Fatmah Mohammad Ali Yaseen Ali</t>
  </si>
  <si>
    <t>Esmail Mustafa Hajji Khaledi</t>
  </si>
  <si>
    <t>Nasser Saad Dhaher Al Mutairi</t>
  </si>
  <si>
    <t>Waheebah Dhaher Tarjam Al Hajjaj</t>
  </si>
  <si>
    <t>Fatemah Adnan Nafel Boyabes</t>
  </si>
  <si>
    <t>Amro Tariq Al Shenhaby</t>
  </si>
  <si>
    <t>Marwa Mohamed Abdellatif Ibrahim</t>
  </si>
  <si>
    <t>Alaa Ali Abdulkareem Shammoh</t>
  </si>
  <si>
    <t>Sulaiman Abdullah Hassan Al Ansari</t>
  </si>
  <si>
    <t>Fatema Ahmed Al Naser</t>
  </si>
  <si>
    <t>Dalal Mohammad Abdullah Saif Abdullah</t>
  </si>
  <si>
    <t>Rita Nersis Nersis Arabian</t>
  </si>
  <si>
    <t>Ayman Mohamed Zeinelabdin Tawfik Hamed</t>
  </si>
  <si>
    <t>Fawziah Khaled Abdulhameed Abdulrahim</t>
  </si>
  <si>
    <t>Rawan Salem Ali Bourabia</t>
  </si>
  <si>
    <t>Fawzia Abdi Mohamed</t>
  </si>
  <si>
    <t>Abdulla Mohammed Al Jasmei</t>
  </si>
  <si>
    <t>Anfal Khaleel Ibrahim Al Mesri</t>
  </si>
  <si>
    <t>Anil Sunal</t>
  </si>
  <si>
    <t>Iain Remy Layden</t>
  </si>
  <si>
    <t>Sadeq Mahmoud Abbas Dakson</t>
  </si>
  <si>
    <t>Hesham Mohamed Ahmed Salama</t>
  </si>
  <si>
    <t>Amro Mahmoud Abdelfattah Shahin</t>
  </si>
  <si>
    <t>Ahmad Hamed Mohammad Muqadas</t>
  </si>
  <si>
    <t>AlBatool Esmail Abdullah</t>
  </si>
  <si>
    <t>Bader Nabil Abdullah Al Shehab</t>
  </si>
  <si>
    <t>Sarah Mahdi Ismaeil Al Jazzaf</t>
  </si>
  <si>
    <t>Fatimah Adel Swayed</t>
  </si>
  <si>
    <t>Sarah Yousef Ebrahim Al Ghareb</t>
  </si>
  <si>
    <t>Manal Jasem Al Jasem</t>
  </si>
  <si>
    <t>Abdulrahman Naser Al Omran</t>
  </si>
  <si>
    <t>Dalal Mohammad Farahan Al Roomi</t>
  </si>
  <si>
    <t>Manish Singh Sahni</t>
  </si>
  <si>
    <t>Hasan Ali Abdulrazaq Al Kazemi</t>
  </si>
  <si>
    <t>Mohammad Mansour Al Khazim</t>
  </si>
  <si>
    <t>Madiha Abdullah Ahmad Bouftain</t>
  </si>
  <si>
    <t>Saqr Adel Al Roomy</t>
  </si>
  <si>
    <t>Dina Nader Al Eissa</t>
  </si>
  <si>
    <t>Samir Salim Al Kadi</t>
  </si>
  <si>
    <t>Tarek Galal Hussein Hamdi</t>
  </si>
  <si>
    <t>Farah Farqad Abdullah Al Sanee</t>
  </si>
  <si>
    <t>Suhaib Adeeb Mohammad Al Awadhi</t>
  </si>
  <si>
    <t>Ebraheem Amir Ibrahim Al Mijadi</t>
  </si>
  <si>
    <t>Duaa Jawad Ali Hasan Mohammad Ali</t>
  </si>
  <si>
    <t>Ali Hussein Abbas</t>
  </si>
  <si>
    <t>Ali Yacoub Sabti</t>
  </si>
  <si>
    <t>Maha Ahdi Sulaiman Al Sabej</t>
  </si>
  <si>
    <t>Duaa Mohammad Hamadah</t>
  </si>
  <si>
    <t>Mayouf Juumaah Sabti</t>
  </si>
  <si>
    <t>Eid Abdelfattah Shehata</t>
  </si>
  <si>
    <t>Layla Waleed Yaqoub Al Mokhtar</t>
  </si>
  <si>
    <t>Mohammad Jasem Mohammad Ahmad</t>
  </si>
  <si>
    <t>Omar Jamal Hussain Sanad</t>
  </si>
  <si>
    <t>Abdulrazzaq Abbas Abdulrazzaq Al Mahmeed</t>
  </si>
  <si>
    <t>Muneera Tawfeeq Abdulwahed Al Kalbi</t>
  </si>
  <si>
    <t>Fatemah Fahad Naser Al Farhoud</t>
  </si>
  <si>
    <t>Hanan Noman Abdulhussein Al Kazemi</t>
  </si>
  <si>
    <t>Abdulwahab Nazzal Mefarreh Al Harshani</t>
  </si>
  <si>
    <t>Khaled Tareq Khaled Essa</t>
  </si>
  <si>
    <t>Huda Hajeem Al Alawei</t>
  </si>
  <si>
    <t>Lolwah Ali Abdulaziz Al Qateefi</t>
  </si>
  <si>
    <t>Salma Abdulhakeem Ahmad Al Baghli</t>
  </si>
  <si>
    <t>Adel Abdullah Bakery</t>
  </si>
  <si>
    <t>Hayat Abdulla Ahmed Hussain</t>
  </si>
  <si>
    <t>Feras Fuad Sadeq Hasan</t>
  </si>
  <si>
    <t>Jasem Ahmed Hussain Al Zaabi</t>
  </si>
  <si>
    <t>Farah Abdulaziz Saud Atieh</t>
  </si>
  <si>
    <t>Abdalaziz Khaled Masood saad Al Masoud</t>
  </si>
  <si>
    <t>Abdullah Mubarak Sulaiman Al Qasar</t>
  </si>
  <si>
    <t>Nadiah Nooraldeen Mohammad Nooraldeen</t>
  </si>
  <si>
    <t>Dana Ibrahim Ahmed Abdalla</t>
  </si>
  <si>
    <t>Lemya Abdullah Al Loughani</t>
  </si>
  <si>
    <t>Mohammad Kathem Habib Jassam</t>
  </si>
  <si>
    <t>Thomas Anthony</t>
  </si>
  <si>
    <t>Reem Jasem Al Hashash</t>
  </si>
  <si>
    <t>Latifah Omar Al Sayed Omar</t>
  </si>
  <si>
    <t>Mohammad Talib Ali Shehabi</t>
  </si>
  <si>
    <t>Negoumi Nigm Eldin Ahmed</t>
  </si>
  <si>
    <t>Aisha Abdulkareem Al Dayouli</t>
  </si>
  <si>
    <t>Abdullah Ali Hussein Al S</t>
  </si>
  <si>
    <t>Ahmad Ali Al Res</t>
  </si>
  <si>
    <t>Yousef Daifallah Al Mutairi</t>
  </si>
  <si>
    <t>Hebah Ali Mohamad Al Hamm</t>
  </si>
  <si>
    <t>Ali Tareq Abdeen</t>
  </si>
  <si>
    <t>Najla Salah Baqer Kheraib</t>
  </si>
  <si>
    <t>Muna Sulaiman Al Ajeel</t>
  </si>
  <si>
    <t>Sara Abdelfattah  Hsanen</t>
  </si>
  <si>
    <t>Abdullah Fahaad Falah Al Ajmi</t>
  </si>
  <si>
    <t>Better Opportunity</t>
  </si>
  <si>
    <t>Others</t>
  </si>
  <si>
    <t>End of Contract</t>
  </si>
  <si>
    <t>Supervision</t>
  </si>
  <si>
    <t>Better opportunity</t>
  </si>
  <si>
    <t>Sr</t>
  </si>
  <si>
    <t>File</t>
  </si>
  <si>
    <t>Name</t>
  </si>
  <si>
    <t>Title</t>
  </si>
  <si>
    <t>Grade</t>
  </si>
  <si>
    <t>Subgroup</t>
  </si>
  <si>
    <t>Division</t>
  </si>
  <si>
    <t>K/NK</t>
  </si>
  <si>
    <t>Status</t>
  </si>
  <si>
    <t>LWD</t>
  </si>
  <si>
    <t>Work Period</t>
  </si>
  <si>
    <t>Service Period</t>
  </si>
  <si>
    <t>Reason</t>
  </si>
  <si>
    <t>R/NR</t>
  </si>
  <si>
    <t>Category</t>
  </si>
  <si>
    <t>Voluntary</t>
  </si>
  <si>
    <t>K</t>
  </si>
  <si>
    <t>R</t>
  </si>
  <si>
    <t>3-5 Years</t>
  </si>
  <si>
    <t>Sr Officer- Card Operations</t>
  </si>
  <si>
    <t>Bank Card Services</t>
  </si>
  <si>
    <t>10 +</t>
  </si>
  <si>
    <t>Agent Call Center- Trainee</t>
  </si>
  <si>
    <t>PTS</t>
  </si>
  <si>
    <t>Call Center</t>
  </si>
  <si>
    <t>7-10 Years</t>
  </si>
  <si>
    <t>T</t>
  </si>
  <si>
    <t>&lt; 1 Years</t>
  </si>
  <si>
    <t xml:space="preserve">Management Decision </t>
  </si>
  <si>
    <t>Strategic Financial Planning &amp; Financial Accounting Control</t>
  </si>
  <si>
    <t>1-2 Years</t>
  </si>
  <si>
    <t>Conflict with Superior</t>
  </si>
  <si>
    <t>Sr Officer- Credit Administration</t>
  </si>
  <si>
    <t>Credit Risk</t>
  </si>
  <si>
    <t>Agent- Call Center</t>
  </si>
  <si>
    <t>Health Issue</t>
  </si>
  <si>
    <t>Sr Manager- Branch</t>
  </si>
  <si>
    <t xml:space="preserve">Retirement </t>
  </si>
  <si>
    <t>Sr Operations Officer</t>
  </si>
  <si>
    <t xml:space="preserve">Working Schedule </t>
  </si>
  <si>
    <t>5-7 Years</t>
  </si>
  <si>
    <t>2-3 Years</t>
  </si>
  <si>
    <t>Analyst Treasury</t>
  </si>
  <si>
    <t xml:space="preserve">Investment Banking &amp; Treasury </t>
  </si>
  <si>
    <t>Manager- Enterprise Risk Solution &amp; MIS</t>
  </si>
  <si>
    <t>Basle ll &amp; Monitoring</t>
  </si>
  <si>
    <t>Family Circumstance</t>
  </si>
  <si>
    <t>Sr Specialist- HR Operations</t>
  </si>
  <si>
    <t>Human Resources</t>
  </si>
  <si>
    <t>Manager- Credit Review</t>
  </si>
  <si>
    <t>Credit Analysis</t>
  </si>
  <si>
    <t>Network Engineer</t>
  </si>
  <si>
    <t>Sr Dealer- Foreign Exchange</t>
  </si>
  <si>
    <t>Assistant Relationship Manager- Trainee</t>
  </si>
  <si>
    <t xml:space="preserve">Education Purposes </t>
  </si>
  <si>
    <t xml:space="preserve">Termination </t>
  </si>
  <si>
    <t>Sr Analyst- Enterprise Project Office</t>
  </si>
  <si>
    <t>Group Chief Operations Office</t>
  </si>
  <si>
    <t>Assistant Relationship Manager- SME</t>
  </si>
  <si>
    <t>Small &amp; Medium Enterprises 3</t>
  </si>
  <si>
    <t>AML- Project Manager</t>
  </si>
  <si>
    <t>Head of Credit Risk</t>
  </si>
  <si>
    <t>Credit Risk Dept</t>
  </si>
  <si>
    <t>Sr Agent- Call Center</t>
  </si>
  <si>
    <t xml:space="preserve">Better Opportunity </t>
  </si>
  <si>
    <t>Operations</t>
  </si>
  <si>
    <t>Accountant- Trainee</t>
  </si>
  <si>
    <t xml:space="preserve">Manager- Financial Reporting  </t>
  </si>
  <si>
    <t>Rate of Pay</t>
  </si>
  <si>
    <t>Distance to/from Work</t>
  </si>
  <si>
    <t>Head of Alternative Delivery Channels, AGM</t>
  </si>
  <si>
    <t>Electronic Banking Services- Management</t>
  </si>
  <si>
    <t xml:space="preserve">termination </t>
  </si>
  <si>
    <t xml:space="preserve">Better Opportunity at Buobyan Bank </t>
  </si>
  <si>
    <t>Agent - Electronic Banking Services</t>
  </si>
  <si>
    <t>Beebank Customer Support</t>
  </si>
  <si>
    <t>termination/Absenteeism</t>
  </si>
  <si>
    <t>Sr Credit Analyst</t>
  </si>
  <si>
    <t>Small &amp; Medium Enterprises 6</t>
  </si>
  <si>
    <t xml:space="preserve">termination/performance </t>
  </si>
  <si>
    <t xml:space="preserve">Better Opportunity / at Gulf Bank </t>
  </si>
  <si>
    <t xml:space="preserve">Management decision </t>
  </si>
  <si>
    <t>termination /Absenteeism</t>
  </si>
  <si>
    <t xml:space="preserve">Shuwaikh Hybird Branch </t>
  </si>
  <si>
    <t xml:space="preserve">Better Opportunity / at Al Ahli Bank </t>
  </si>
  <si>
    <t>Education Purposes</t>
  </si>
  <si>
    <t xml:space="preserve">rate of pay </t>
  </si>
  <si>
    <t xml:space="preserve">Family Circumstance </t>
  </si>
  <si>
    <t xml:space="preserve">termination - in probation </t>
  </si>
  <si>
    <t xml:space="preserve">other </t>
  </si>
  <si>
    <t xml:space="preserve">family circumstance </t>
  </si>
  <si>
    <t>Analyst Business Continuity- Trainee</t>
  </si>
  <si>
    <t xml:space="preserve">retirement </t>
  </si>
  <si>
    <t xml:space="preserve">better opportunity </t>
  </si>
  <si>
    <t>Credit Risk Local</t>
  </si>
  <si>
    <t xml:space="preserve">conflict with supervisor </t>
  </si>
  <si>
    <t>Manager - Segments</t>
  </si>
  <si>
    <t>Business &amp; Marketing Development</t>
  </si>
  <si>
    <t xml:space="preserve">performance </t>
  </si>
  <si>
    <t>Small &amp; Medium Enterprises 5</t>
  </si>
  <si>
    <t xml:space="preserve">Better Opportunity at Muscat Bank </t>
  </si>
  <si>
    <t>Officer- Procedure Development</t>
  </si>
  <si>
    <t>Financial Analysis</t>
  </si>
  <si>
    <t>Better Opportunity  at Ooredoo</t>
  </si>
  <si>
    <t xml:space="preserve">Own Busniess </t>
  </si>
  <si>
    <t>Better opportunity at public sector</t>
  </si>
  <si>
    <t>Electronic Banking</t>
  </si>
  <si>
    <t xml:space="preserve">Resignation instead  of termination </t>
  </si>
  <si>
    <t>Education Purposes- MBA</t>
  </si>
  <si>
    <t>Sr Officer- Payroll</t>
  </si>
  <si>
    <t>Better Opportunity at AUB</t>
  </si>
  <si>
    <t>Chairman</t>
  </si>
  <si>
    <t>Group Head of Enterprise Risk</t>
  </si>
  <si>
    <t>Better Opportunity at Qatar</t>
  </si>
  <si>
    <t>Dealer Treasury Sales</t>
  </si>
  <si>
    <t>Treasury Division</t>
  </si>
  <si>
    <t xml:space="preserve">Performance </t>
  </si>
  <si>
    <t xml:space="preserve">Family circumstance </t>
  </si>
  <si>
    <t>Central Sales Division</t>
  </si>
  <si>
    <t>Central Retail M&amp;S</t>
  </si>
  <si>
    <t xml:space="preserve">Other </t>
  </si>
  <si>
    <t>Corporate Banking - AGM Unit 1</t>
  </si>
  <si>
    <t xml:space="preserve">Education Purpose </t>
  </si>
  <si>
    <t>Quality Auditor</t>
  </si>
  <si>
    <t>Sr Personal Banking Executive</t>
  </si>
  <si>
    <t xml:space="preserve">Resignation Instead of termination  </t>
  </si>
  <si>
    <t>Family circumstances</t>
  </si>
  <si>
    <t>Group Head of Strategic Business Department &amp; Chief of Staff</t>
  </si>
  <si>
    <t>CEO's Office</t>
  </si>
  <si>
    <t>CEO</t>
  </si>
  <si>
    <t>Acting Operations Officer</t>
  </si>
  <si>
    <t xml:space="preserve">Temination </t>
  </si>
  <si>
    <t xml:space="preserve">Supervision </t>
  </si>
  <si>
    <t>Treasury - Management</t>
  </si>
  <si>
    <t xml:space="preserve">Different career plan - very good recommendation from his management </t>
  </si>
  <si>
    <t>Head of Credit Control &amp; Projects</t>
  </si>
  <si>
    <t>Retirement</t>
  </si>
  <si>
    <t>BOU- Jahra-1 Solution Branch</t>
  </si>
  <si>
    <t xml:space="preserve">Rehiring new contract  on Burgan, the staff Obtain as Kuwaiti  nationality </t>
  </si>
  <si>
    <t>Head of SME</t>
  </si>
  <si>
    <t>Staff submitted his resignation and did not show up</t>
  </si>
  <si>
    <t>Jleeb Al Shuyoukh Branch</t>
  </si>
  <si>
    <t>Better opportunity - better offer at AL Ahli Bank</t>
  </si>
  <si>
    <t xml:space="preserve">Resignation instead of termination </t>
  </si>
  <si>
    <t>Death</t>
  </si>
  <si>
    <t>Death due to the sickness (cancer)</t>
  </si>
  <si>
    <t>Termination - On probation, serious issue of behavior and attitude</t>
  </si>
  <si>
    <t>Termination - Management decision - related to the pervious history</t>
  </si>
  <si>
    <t>Chief of Staff &amp; Head of Risk Strategy</t>
  </si>
  <si>
    <t>Risk Management  -  Management</t>
  </si>
  <si>
    <t xml:space="preserve">Termination - performance issue probation period </t>
  </si>
  <si>
    <t xml:space="preserve">Assistant Manager- Financial Reporting  </t>
  </si>
  <si>
    <t>Financial Accounting Control</t>
  </si>
  <si>
    <t>Head of Group Middle Office</t>
  </si>
  <si>
    <t>Relocated</t>
  </si>
  <si>
    <t>Retention Officer</t>
  </si>
  <si>
    <t>Performance and attendance issues</t>
  </si>
  <si>
    <t>Corporate Credit Analysis Unit</t>
  </si>
  <si>
    <t>Sr Relationship Manager</t>
  </si>
  <si>
    <t>Financial Institution</t>
  </si>
  <si>
    <t>Financial Institution Department</t>
  </si>
  <si>
    <t>Banks</t>
  </si>
  <si>
    <t xml:space="preserve">Moving to insurance co. with rate of pay 
</t>
  </si>
  <si>
    <t>Officer- Centralized Verfication- Trainee</t>
  </si>
  <si>
    <t>Attendance issue, resignation instead of termination; staff in probation period</t>
  </si>
  <si>
    <t>Moving to Al Doha Bank. Staff has a serious attendance issues</t>
  </si>
  <si>
    <t>Health issue and staff is not intrested to work</t>
  </si>
  <si>
    <t>Moving to KFH with better salary offer, fixed bonus and allowances</t>
  </si>
  <si>
    <t>Unit Head- Segments</t>
  </si>
  <si>
    <t xml:space="preserve">Senior Manager- Private Banking </t>
  </si>
  <si>
    <t>Customer Service Officer- Trainee</t>
  </si>
  <si>
    <t xml:space="preserve">Officer- HR Operations </t>
  </si>
  <si>
    <t>Compliance Group</t>
  </si>
  <si>
    <t>Better Job Opportunity</t>
  </si>
  <si>
    <t>Analyst- Risk Data Integrity &amp; Reporting- Trainee</t>
  </si>
  <si>
    <t>Head of Retail Branches- AGM</t>
  </si>
  <si>
    <t>Retirment</t>
  </si>
  <si>
    <t>Head of International Operations Office- AGM</t>
  </si>
  <si>
    <t>Sr. IT Project Manager</t>
  </si>
  <si>
    <t>Administrator- Purchases</t>
  </si>
  <si>
    <t>Bank Card Services  (BCS) Operations</t>
  </si>
  <si>
    <t xml:space="preserve">Rate of pay </t>
  </si>
  <si>
    <t xml:space="preserve">Better Job Opportunity </t>
  </si>
  <si>
    <t>Mgmt Trainee</t>
  </si>
  <si>
    <t>Other</t>
  </si>
  <si>
    <t>Other - Migration</t>
  </si>
  <si>
    <t>Other - Serious attendance issues</t>
  </si>
  <si>
    <t xml:space="preserve">Manager- Internal Control Monitoring </t>
  </si>
  <si>
    <t>Internal Control Unit</t>
  </si>
  <si>
    <t>Other - left the bank during probation period</t>
  </si>
  <si>
    <t>Head of Financial Control- AGM</t>
  </si>
  <si>
    <t>Project Controller- Enterprise Projects Office</t>
  </si>
  <si>
    <t>Group COO</t>
  </si>
  <si>
    <t>Other - performance issue / attendance and absenteesim</t>
  </si>
  <si>
    <t>Termination</t>
  </si>
  <si>
    <t>Specialist- Payroll</t>
  </si>
  <si>
    <t>Better opportunity  - better offer at Boubyan</t>
  </si>
  <si>
    <t>Sr. Personal Banking Executive</t>
  </si>
  <si>
    <t xml:space="preserve">Better opportunity - during probation got better offer from Gulf Bank </t>
  </si>
  <si>
    <t>Other - unsatisfactory performance</t>
  </si>
  <si>
    <t>Other - Performance moderately effective</t>
  </si>
  <si>
    <t>Better opportunity  -  moving to Viva with good compensation package</t>
  </si>
  <si>
    <t>SME Banking</t>
  </si>
  <si>
    <t>Better opportunity - Moved Al Ghanim Industry with better offer</t>
  </si>
  <si>
    <t>Other -  Moderately effective – moving to the public sector .</t>
  </si>
  <si>
    <t>Better opportunity  -  moving to the public sector -ministry of justice.</t>
  </si>
  <si>
    <t xml:space="preserve">Other - Moderately effective and conflict with the team </t>
  </si>
  <si>
    <t>Other - Absents and attendance issues</t>
  </si>
  <si>
    <t xml:space="preserve">Other - Resignation instated of termination </t>
  </si>
  <si>
    <t>Relatioship Officer- Trainee</t>
  </si>
  <si>
    <t xml:space="preserve">Better opportunity - Resignation in probation – performance </t>
  </si>
  <si>
    <t>Health issue</t>
  </si>
  <si>
    <t>Sr Credit Officer</t>
  </si>
  <si>
    <t>Better opportunity - Moving to the public sector .</t>
  </si>
  <si>
    <t>Family circumstances, staff resigned in probation period and has attendance issues</t>
  </si>
  <si>
    <t>Other - Serious attitude issues with disciplinary action and incidents</t>
  </si>
  <si>
    <t>Other - moving for better offer</t>
  </si>
  <si>
    <t>Other - Disciplinary actions</t>
  </si>
  <si>
    <t>Other - Performance issue.</t>
  </si>
  <si>
    <t>Other - Committed a violations</t>
  </si>
  <si>
    <t>Other - Immigration issue</t>
  </si>
  <si>
    <t>Legal Division</t>
  </si>
  <si>
    <t>Better opportunity - Moving to the public sector</t>
  </si>
  <si>
    <t>Family circumstances, staff under probation</t>
  </si>
  <si>
    <t>Better opportunity - resignation in probation - moving to the KNPC</t>
  </si>
  <si>
    <t>Other - Type of work</t>
  </si>
  <si>
    <t>Corporate Banking - AGM Unit 2</t>
  </si>
  <si>
    <t>Officer- Main Vault</t>
  </si>
  <si>
    <t>Other-Resignation in probation - has a behavior and attitude issues</t>
  </si>
  <si>
    <t>Other-Public Sector Offer</t>
  </si>
  <si>
    <t>In voulntary</t>
  </si>
  <si>
    <t>Other-Resignation in probation</t>
  </si>
  <si>
    <t>Other- Public Sector</t>
  </si>
  <si>
    <t>Resignation in probation</t>
  </si>
  <si>
    <t>YES</t>
  </si>
  <si>
    <t>In Voluntary</t>
  </si>
  <si>
    <r>
      <rPr>
        <sz val="11"/>
        <color rgb="FFFF0000"/>
        <rFont val="Calibri"/>
        <family val="2"/>
        <scheme val="minor"/>
      </rPr>
      <t xml:space="preserve">* </t>
    </r>
    <r>
      <rPr>
        <sz val="11"/>
        <color theme="1"/>
        <rFont val="Calibri"/>
        <family val="2"/>
        <scheme val="minor"/>
      </rPr>
      <t xml:space="preserve">of the total recruitment.
</t>
    </r>
  </si>
  <si>
    <r>
      <t xml:space="preserve">
</t>
    </r>
    <r>
      <rPr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 Internal transfers not considered.</t>
    </r>
  </si>
  <si>
    <t>*</t>
  </si>
  <si>
    <t xml:space="preserve">This is </t>
  </si>
  <si>
    <t>Employee - 1001</t>
  </si>
  <si>
    <t>Employee - 1002</t>
  </si>
  <si>
    <t>Employee - 1003</t>
  </si>
  <si>
    <t>Employee - 1004</t>
  </si>
  <si>
    <t>Employee - 1005</t>
  </si>
  <si>
    <t>Employee - 1006</t>
  </si>
  <si>
    <t>Employee - 1007</t>
  </si>
  <si>
    <t>Employee - 1008</t>
  </si>
  <si>
    <t>Employee - 1009</t>
  </si>
  <si>
    <t>Employee - 1010</t>
  </si>
  <si>
    <t>Employee - 1011</t>
  </si>
  <si>
    <t>Employee - 1012</t>
  </si>
  <si>
    <t>Employee - 1013</t>
  </si>
  <si>
    <t>Employee - 1014</t>
  </si>
  <si>
    <t>Employee - 1015</t>
  </si>
  <si>
    <t>Employee - 1016</t>
  </si>
  <si>
    <t>Employee - 1017</t>
  </si>
  <si>
    <t>Employee - 1018</t>
  </si>
  <si>
    <t>Employee - 1019</t>
  </si>
  <si>
    <t>Employee - 1020</t>
  </si>
  <si>
    <t>Employee - 1021</t>
  </si>
  <si>
    <t>Employee - 1022</t>
  </si>
  <si>
    <t>Employee - 1023</t>
  </si>
  <si>
    <t>Employee - 1024</t>
  </si>
  <si>
    <t>Employee - 1025</t>
  </si>
  <si>
    <t>Employee - 1026</t>
  </si>
  <si>
    <t>Employee - 1027</t>
  </si>
  <si>
    <t>Employee - 1028</t>
  </si>
  <si>
    <t>Employee - 1029</t>
  </si>
  <si>
    <t>Employee - 1030</t>
  </si>
  <si>
    <t>Employee - 1031</t>
  </si>
  <si>
    <t>Employee - 1032</t>
  </si>
  <si>
    <t>Employee - 1033</t>
  </si>
  <si>
    <t>Employee - 1034</t>
  </si>
  <si>
    <t>Employee - 1035</t>
  </si>
  <si>
    <t>Employee - 1036</t>
  </si>
  <si>
    <t>Employee - 1037</t>
  </si>
  <si>
    <t>Employee - 1038</t>
  </si>
  <si>
    <t>Employee - 1039</t>
  </si>
  <si>
    <t>Employee - 1040</t>
  </si>
  <si>
    <t>Employee - 1041</t>
  </si>
  <si>
    <t>Employee - 1042</t>
  </si>
  <si>
    <t>Employee - 1043</t>
  </si>
  <si>
    <t>Employee - 1044</t>
  </si>
  <si>
    <t>Employee - 1045</t>
  </si>
  <si>
    <t>Employee - 1046</t>
  </si>
  <si>
    <t>Employee - 1047</t>
  </si>
  <si>
    <t>Employee - 1048</t>
  </si>
  <si>
    <t>Employee - 1049</t>
  </si>
  <si>
    <t>Employee - 1050</t>
  </si>
  <si>
    <t>Employee - 1051</t>
  </si>
  <si>
    <t>Employee - 1052</t>
  </si>
  <si>
    <t>Employee - 1053</t>
  </si>
  <si>
    <t>Employee - 1054</t>
  </si>
  <si>
    <t>Employee - 1055</t>
  </si>
  <si>
    <t>Employee - 1056</t>
  </si>
  <si>
    <t>Employee - 1057</t>
  </si>
  <si>
    <t>Employee - 1058</t>
  </si>
  <si>
    <t>Employee - 1059</t>
  </si>
  <si>
    <t>Employee - 1060</t>
  </si>
  <si>
    <t>Employee - 1061</t>
  </si>
  <si>
    <t>Employee - 1062</t>
  </si>
  <si>
    <t>Employee - 1063</t>
  </si>
  <si>
    <t>Employee - 1064</t>
  </si>
  <si>
    <t>Employee - 1065</t>
  </si>
  <si>
    <t>Employee - 1066</t>
  </si>
  <si>
    <t>Employee - 1067</t>
  </si>
  <si>
    <t>Employee - 1068</t>
  </si>
  <si>
    <t>Employee - 1069</t>
  </si>
  <si>
    <t>Employee - 1070</t>
  </si>
  <si>
    <t>Employee - 1071</t>
  </si>
  <si>
    <t>Employee - 1072</t>
  </si>
  <si>
    <t>Employee - 1073</t>
  </si>
  <si>
    <t>Employee - 1074</t>
  </si>
  <si>
    <t>Employee - 1075</t>
  </si>
  <si>
    <t>Employee - 1076</t>
  </si>
  <si>
    <t>Employee - 1077</t>
  </si>
  <si>
    <t>Employee - 1078</t>
  </si>
  <si>
    <t>Employee - 1079</t>
  </si>
  <si>
    <t>Employee - 1080</t>
  </si>
  <si>
    <t>Employee - 1081</t>
  </si>
  <si>
    <t>Employee - 1082</t>
  </si>
  <si>
    <t>Employee - 1083</t>
  </si>
  <si>
    <t>Employee - 1084</t>
  </si>
  <si>
    <t>Employee - 1085</t>
  </si>
  <si>
    <t>Employee - 1086</t>
  </si>
  <si>
    <t>Employee - 1087</t>
  </si>
  <si>
    <t>Employee - 1088</t>
  </si>
  <si>
    <t>Employee - 1089</t>
  </si>
  <si>
    <t>Employee - 1090</t>
  </si>
  <si>
    <t>Employee - 1091</t>
  </si>
  <si>
    <t>Employee - 1092</t>
  </si>
  <si>
    <t>Employee - 1093</t>
  </si>
  <si>
    <t>Employee - 1094</t>
  </si>
  <si>
    <t>Employee - 1095</t>
  </si>
  <si>
    <t>Employee - 1096</t>
  </si>
  <si>
    <t>Employee - 1097</t>
  </si>
  <si>
    <t>Employee - 1098</t>
  </si>
  <si>
    <t>Employee - 1099</t>
  </si>
  <si>
    <t>Employee - 1100</t>
  </si>
  <si>
    <t>Employee - 1101</t>
  </si>
  <si>
    <t>Employee - 1102</t>
  </si>
  <si>
    <t>Employee - 1103</t>
  </si>
  <si>
    <t>Employee - 1104</t>
  </si>
  <si>
    <t>Employee - 1105</t>
  </si>
  <si>
    <t>Employee - 1106</t>
  </si>
  <si>
    <t>Employee - 1107</t>
  </si>
  <si>
    <t>Employee - 1108</t>
  </si>
  <si>
    <t>Employee - 1109</t>
  </si>
  <si>
    <t>Employee - 1110</t>
  </si>
  <si>
    <t>Employee - 1111</t>
  </si>
  <si>
    <t>Employee - 1112</t>
  </si>
  <si>
    <t>Employee - 1113</t>
  </si>
  <si>
    <t>Employee - 1114</t>
  </si>
  <si>
    <t>Employee - 1115</t>
  </si>
  <si>
    <t>Employee - 1116</t>
  </si>
  <si>
    <t>Employee - 1117</t>
  </si>
  <si>
    <t>Employee - 1118</t>
  </si>
  <si>
    <t>Employee - 1119</t>
  </si>
  <si>
    <t>Employee - 1120</t>
  </si>
  <si>
    <t>Employee - 1121</t>
  </si>
  <si>
    <t>Employee - 1122</t>
  </si>
  <si>
    <t>Employee - 1123</t>
  </si>
  <si>
    <t>Employee - 1124</t>
  </si>
  <si>
    <t>Employee - 1125</t>
  </si>
  <si>
    <t>Employee - 1126</t>
  </si>
  <si>
    <t>Employee - 1127</t>
  </si>
  <si>
    <t>Employee - 1128</t>
  </si>
  <si>
    <t>Employee - 1129</t>
  </si>
  <si>
    <t>Employee - 1130</t>
  </si>
  <si>
    <t>Employee - 1131</t>
  </si>
  <si>
    <t>Employee - 1132</t>
  </si>
  <si>
    <t>Employee - 1133</t>
  </si>
  <si>
    <t>Employee - 1134</t>
  </si>
  <si>
    <t>Employee - 1135</t>
  </si>
  <si>
    <t>Employee - 1136</t>
  </si>
  <si>
    <t>Employee - 1137</t>
  </si>
  <si>
    <t>Employee - 1138</t>
  </si>
  <si>
    <t>Employee - 1139</t>
  </si>
  <si>
    <t>Employee - 1140</t>
  </si>
  <si>
    <t>Employee - 1141</t>
  </si>
  <si>
    <t>Employee - 1142</t>
  </si>
  <si>
    <t>Employee - 1143</t>
  </si>
  <si>
    <t>Employee - 1144</t>
  </si>
  <si>
    <t>Employee - 1145</t>
  </si>
  <si>
    <t>Employee - 1146</t>
  </si>
  <si>
    <t>Employee - 1147</t>
  </si>
  <si>
    <t>Employee - 1148</t>
  </si>
  <si>
    <t>Employee - 1149</t>
  </si>
  <si>
    <t>Employee - 1150</t>
  </si>
  <si>
    <t>Employee - 1151</t>
  </si>
  <si>
    <t>Employee - 1152</t>
  </si>
  <si>
    <t>Employee - 1153</t>
  </si>
  <si>
    <t>Employee - 1154</t>
  </si>
  <si>
    <t>Employee - 1155</t>
  </si>
  <si>
    <t>Employee - 1156</t>
  </si>
  <si>
    <t>Employee - 1157</t>
  </si>
  <si>
    <t>Employee - 1158</t>
  </si>
  <si>
    <t>Employee - 1159</t>
  </si>
  <si>
    <t>Employee - 1160</t>
  </si>
  <si>
    <t>Employee - 1161</t>
  </si>
  <si>
    <t>Employee - 1162</t>
  </si>
  <si>
    <t>Employee - 1163</t>
  </si>
  <si>
    <t>Employee - 1164</t>
  </si>
  <si>
    <t>Employee - 1165</t>
  </si>
  <si>
    <t>Employee - 1166</t>
  </si>
  <si>
    <t>Employee - 1167</t>
  </si>
  <si>
    <t>Employee - 1168</t>
  </si>
  <si>
    <t>Employee - 1169</t>
  </si>
  <si>
    <t>Employee - 1170</t>
  </si>
  <si>
    <t>Employee - 1171</t>
  </si>
  <si>
    <t>Employee - 1172</t>
  </si>
  <si>
    <t>Employee - 1173</t>
  </si>
  <si>
    <t>Employee - 1174</t>
  </si>
  <si>
    <t>Employee - 1175</t>
  </si>
  <si>
    <t>Employee - 1176</t>
  </si>
  <si>
    <t>Employee - 1177</t>
  </si>
  <si>
    <t>Employee - 1178</t>
  </si>
  <si>
    <t>Employee - 1179</t>
  </si>
  <si>
    <t>Employee - 1180</t>
  </si>
  <si>
    <t>Employee - 1181</t>
  </si>
  <si>
    <t>Employee - 1182</t>
  </si>
  <si>
    <t>Employee - 1183</t>
  </si>
  <si>
    <t>Employee - 1184</t>
  </si>
  <si>
    <t>Employee - 1185</t>
  </si>
  <si>
    <t>Employee - 1186</t>
  </si>
  <si>
    <t>Employee - 1187</t>
  </si>
  <si>
    <t>Employee - 1188</t>
  </si>
  <si>
    <t>Employee - 1189</t>
  </si>
  <si>
    <t>Employee - 1190</t>
  </si>
  <si>
    <t>Employee - 1191</t>
  </si>
  <si>
    <t>Employee - 1192</t>
  </si>
  <si>
    <t>Employee - 1193</t>
  </si>
  <si>
    <t>Employee - 1194</t>
  </si>
  <si>
    <t>Employee - 1195</t>
  </si>
  <si>
    <t>Employee - 1196</t>
  </si>
  <si>
    <t>Employee - 1197</t>
  </si>
  <si>
    <t>Employee - 1198</t>
  </si>
  <si>
    <t>Employee - 1199</t>
  </si>
  <si>
    <t>Employee - 1200</t>
  </si>
  <si>
    <t>Employee - 1201</t>
  </si>
  <si>
    <t>Employee - 1202</t>
  </si>
  <si>
    <t>Employee - 1203</t>
  </si>
  <si>
    <t>Employee - 1204</t>
  </si>
  <si>
    <t>Employee - 1205</t>
  </si>
  <si>
    <t>Employee - 1206</t>
  </si>
  <si>
    <t>Employee - 1207</t>
  </si>
  <si>
    <t>Employee - 1208</t>
  </si>
  <si>
    <t>Employee - 1209</t>
  </si>
  <si>
    <t>Employee - 1210</t>
  </si>
  <si>
    <t>Employee - 1211</t>
  </si>
  <si>
    <t>Employee - 1212</t>
  </si>
  <si>
    <t>Employee - 1213</t>
  </si>
  <si>
    <t>Employee - 1214</t>
  </si>
  <si>
    <t>Employee - 1215</t>
  </si>
  <si>
    <t>Employee - 1216</t>
  </si>
  <si>
    <t>Employee - 1217</t>
  </si>
  <si>
    <t>Employee - 1218</t>
  </si>
  <si>
    <t>Employee - 1219</t>
  </si>
  <si>
    <t>Employee - 1220</t>
  </si>
  <si>
    <t>Employee - 1221</t>
  </si>
  <si>
    <t>Employee - 1222</t>
  </si>
  <si>
    <t>Employee - 1223</t>
  </si>
  <si>
    <t>Employee - 1224</t>
  </si>
  <si>
    <t>Employee - 1225</t>
  </si>
  <si>
    <t>Employee - 1226</t>
  </si>
  <si>
    <t>Employee - 1227</t>
  </si>
  <si>
    <t>Employee - 1228</t>
  </si>
  <si>
    <t>Employee - 1229</t>
  </si>
  <si>
    <t>Employee - 1230</t>
  </si>
  <si>
    <t>Employee - 1231</t>
  </si>
  <si>
    <t>Employee - 1232</t>
  </si>
  <si>
    <t>Employee - 1233</t>
  </si>
  <si>
    <t>Employee - 1234</t>
  </si>
  <si>
    <t>Employee - 1235</t>
  </si>
  <si>
    <t>Employee - 1236</t>
  </si>
  <si>
    <t>Employee - 1237</t>
  </si>
  <si>
    <t>Employee - 1238</t>
  </si>
  <si>
    <t>Employee - 1239</t>
  </si>
  <si>
    <t>Employee - 1240</t>
  </si>
  <si>
    <t>Employee - 1241</t>
  </si>
  <si>
    <t>Employee - 1242</t>
  </si>
  <si>
    <t>Employee - 1243</t>
  </si>
  <si>
    <t>Employee - 1244</t>
  </si>
  <si>
    <t>Employee - 1245</t>
  </si>
  <si>
    <t>Employee - 1246</t>
  </si>
  <si>
    <t>Employee - 1247</t>
  </si>
  <si>
    <t>Employee - 1248</t>
  </si>
  <si>
    <t>Employee - 1249</t>
  </si>
  <si>
    <t>Employee - 1250</t>
  </si>
  <si>
    <t>Employee - 1251</t>
  </si>
  <si>
    <t>Employee - 1252</t>
  </si>
  <si>
    <t>Employee - 1253</t>
  </si>
  <si>
    <t>Employee - 1254</t>
  </si>
  <si>
    <t>Employee - 1255</t>
  </si>
  <si>
    <t>Employee - 1256</t>
  </si>
  <si>
    <t>Employee - 1257</t>
  </si>
  <si>
    <t>Employee - 1258</t>
  </si>
  <si>
    <t>Employee - 1259</t>
  </si>
  <si>
    <t>Employee - 1260</t>
  </si>
  <si>
    <t>Employee - 1261</t>
  </si>
  <si>
    <t>Employee - 1262</t>
  </si>
  <si>
    <t>Employee - 1263</t>
  </si>
  <si>
    <t>Employee - 1264</t>
  </si>
  <si>
    <t>Employee - 1265</t>
  </si>
  <si>
    <t>Employee - 1266</t>
  </si>
  <si>
    <t>Employee - 1267</t>
  </si>
  <si>
    <t>Employee - 1268</t>
  </si>
  <si>
    <t>Employee - 1269</t>
  </si>
  <si>
    <t>Employee - 1270</t>
  </si>
  <si>
    <t>Employee - 1271</t>
  </si>
  <si>
    <t>Employee - 1272</t>
  </si>
  <si>
    <t>Employee - 1273</t>
  </si>
  <si>
    <t>Employee - 1274</t>
  </si>
  <si>
    <t>Employee - 1275</t>
  </si>
  <si>
    <t>Employee - 1276</t>
  </si>
  <si>
    <t>Employee - 1277</t>
  </si>
  <si>
    <t>Employee - 1278</t>
  </si>
  <si>
    <t>Employee - 1279</t>
  </si>
  <si>
    <t>Employee - 1280</t>
  </si>
  <si>
    <t>Employee - 1281</t>
  </si>
  <si>
    <t>Employee - 1282</t>
  </si>
  <si>
    <t>Employee - 1283</t>
  </si>
  <si>
    <t>Employee - 1284</t>
  </si>
  <si>
    <t>Employee - 1285</t>
  </si>
  <si>
    <t>Employee - 1286</t>
  </si>
  <si>
    <t>Employee - 1287</t>
  </si>
  <si>
    <t>Employee - 1288</t>
  </si>
  <si>
    <t>Employee - 1289</t>
  </si>
  <si>
    <t>Employee - 1290</t>
  </si>
  <si>
    <t>Employee - 1291</t>
  </si>
  <si>
    <t>Employee - 1292</t>
  </si>
  <si>
    <t>Employee - 1293</t>
  </si>
  <si>
    <t>Employee - 1294</t>
  </si>
  <si>
    <t>Employee - 1295</t>
  </si>
  <si>
    <t>Employee - 1296</t>
  </si>
  <si>
    <t>Employee - 1297</t>
  </si>
  <si>
    <t>Employee - 1298</t>
  </si>
  <si>
    <t>Employee - 1299</t>
  </si>
  <si>
    <t>Employee - 1300</t>
  </si>
  <si>
    <t>Employee - 1301</t>
  </si>
  <si>
    <t>Employee - 1302</t>
  </si>
  <si>
    <t>Employee - 1303</t>
  </si>
  <si>
    <t>Employee - 1304</t>
  </si>
  <si>
    <t>Employee - 1305</t>
  </si>
  <si>
    <t>Employee - 1306</t>
  </si>
  <si>
    <t>Employee - 1307</t>
  </si>
  <si>
    <t>Employee - 1308</t>
  </si>
  <si>
    <t>Employee - 1309</t>
  </si>
  <si>
    <t>Employee - 1310</t>
  </si>
  <si>
    <t>Employee - 1311</t>
  </si>
  <si>
    <t>Employee - 1312</t>
  </si>
  <si>
    <t>Employee - 1313</t>
  </si>
  <si>
    <t>Employee - 1314</t>
  </si>
  <si>
    <t>Employee - 1315</t>
  </si>
  <si>
    <t>Employee - 1316</t>
  </si>
  <si>
    <t>Employee - 1317</t>
  </si>
  <si>
    <t>Employee - 1318</t>
  </si>
  <si>
    <t>Employee - 1319</t>
  </si>
  <si>
    <t>Employee - 1320</t>
  </si>
  <si>
    <t>Employee - 1321</t>
  </si>
  <si>
    <t>Employee - 1322</t>
  </si>
  <si>
    <t>Employee - 1323</t>
  </si>
  <si>
    <t>Employee - 1324</t>
  </si>
  <si>
    <t>Employee - 1325</t>
  </si>
  <si>
    <t>Employee - 1326</t>
  </si>
  <si>
    <t>Employee - 1327</t>
  </si>
  <si>
    <t>Employee - 1328</t>
  </si>
  <si>
    <t>Employee - 1329</t>
  </si>
  <si>
    <t>Employee - 1330</t>
  </si>
  <si>
    <t>Employee - 1331</t>
  </si>
  <si>
    <t>Employee - 1332</t>
  </si>
  <si>
    <t>Employee - 1333</t>
  </si>
  <si>
    <t>Employee - 1334</t>
  </si>
  <si>
    <t>Employee - 1335</t>
  </si>
  <si>
    <t>Employee - 1336</t>
  </si>
  <si>
    <t>Employee - 1337</t>
  </si>
  <si>
    <t>Employee - 1338</t>
  </si>
  <si>
    <t>Employee - 1339</t>
  </si>
  <si>
    <t>Employee - 1340</t>
  </si>
  <si>
    <t>Employee - 1341</t>
  </si>
  <si>
    <t>Employee - 1342</t>
  </si>
  <si>
    <t>Employee - 1343</t>
  </si>
  <si>
    <t>Employee - 1344</t>
  </si>
  <si>
    <t>Employee - 1345</t>
  </si>
  <si>
    <t>Employee - 1346</t>
  </si>
  <si>
    <t>Employee - 1347</t>
  </si>
  <si>
    <t>Employee - 1348</t>
  </si>
  <si>
    <t>Employee - 1349</t>
  </si>
  <si>
    <t>Employee - 1350</t>
  </si>
  <si>
    <t>Employee - 1351</t>
  </si>
  <si>
    <t>Employee - 1352</t>
  </si>
  <si>
    <t>Employee - 1353</t>
  </si>
  <si>
    <t>Employee - 1354</t>
  </si>
  <si>
    <t>Employee - 1355</t>
  </si>
  <si>
    <t>Employee - 1356</t>
  </si>
  <si>
    <t>Employee - 1357</t>
  </si>
  <si>
    <t>Employee - 1358</t>
  </si>
  <si>
    <t>Employee - 1359</t>
  </si>
  <si>
    <t>Employee - 1360</t>
  </si>
  <si>
    <t>Employee - 1361</t>
  </si>
  <si>
    <t>Employee - 1362</t>
  </si>
  <si>
    <t>Employee - 1363</t>
  </si>
  <si>
    <t>Employee - 1364</t>
  </si>
  <si>
    <t>Employee - 1365</t>
  </si>
  <si>
    <t>Employee - 1366</t>
  </si>
  <si>
    <t>Employee - 1367</t>
  </si>
  <si>
    <t>Employee - 1368</t>
  </si>
  <si>
    <t>Employee - 1369</t>
  </si>
  <si>
    <t>Employee - 1370</t>
  </si>
  <si>
    <t>Employee - 1371</t>
  </si>
  <si>
    <t>Employee - 1372</t>
  </si>
  <si>
    <t>Employee - 1373</t>
  </si>
  <si>
    <t>Employee - 1374</t>
  </si>
  <si>
    <t>Employee - 1375</t>
  </si>
  <si>
    <t>Employee - 1376</t>
  </si>
  <si>
    <t>Employee - 1377</t>
  </si>
  <si>
    <t>Employee - 1378</t>
  </si>
  <si>
    <t>Employee - 1379</t>
  </si>
  <si>
    <t>Employee - 1380</t>
  </si>
  <si>
    <t>Employee - 1381</t>
  </si>
  <si>
    <t>Employee - 1382</t>
  </si>
  <si>
    <t>Employee - 1383</t>
  </si>
  <si>
    <t>Employee - 1384</t>
  </si>
  <si>
    <t>Employee - 1385</t>
  </si>
  <si>
    <t>Employee - 1386</t>
  </si>
  <si>
    <t>Employee - 1387</t>
  </si>
  <si>
    <t>Employee - 1388</t>
  </si>
  <si>
    <t>Employee - 1389</t>
  </si>
  <si>
    <t>Employee - 1390</t>
  </si>
  <si>
    <t>Employee - 1391</t>
  </si>
  <si>
    <t>Employee - 1392</t>
  </si>
  <si>
    <t>Employee - 1393</t>
  </si>
  <si>
    <t>Employee - 1394</t>
  </si>
  <si>
    <t>Employee - 1395</t>
  </si>
  <si>
    <t>Employee - 1396</t>
  </si>
  <si>
    <t>Employee - 1397</t>
  </si>
  <si>
    <t>Employee - 1398</t>
  </si>
  <si>
    <t>Employee - 1399</t>
  </si>
  <si>
    <t>Employee - 1400</t>
  </si>
  <si>
    <t>Employee - 1401</t>
  </si>
  <si>
    <t>Employee - 1402</t>
  </si>
  <si>
    <t>Employee - 1403</t>
  </si>
  <si>
    <t>Employee - 1404</t>
  </si>
  <si>
    <t>Employee - 1405</t>
  </si>
  <si>
    <t>Employee - 1406</t>
  </si>
  <si>
    <t>Employee - 1407</t>
  </si>
  <si>
    <t>Employee - 1408</t>
  </si>
  <si>
    <t>Employee - 1409</t>
  </si>
  <si>
    <t>Employee - 1410</t>
  </si>
  <si>
    <t>Employee - 1411</t>
  </si>
  <si>
    <t>Employee - 1412</t>
  </si>
  <si>
    <t>Employee - 1413</t>
  </si>
  <si>
    <t>Employee - 1414</t>
  </si>
  <si>
    <t>Employee - 1415</t>
  </si>
  <si>
    <t>Employee - 1416</t>
  </si>
  <si>
    <t>Employee - 1417</t>
  </si>
  <si>
    <t>Employee - 1418</t>
  </si>
  <si>
    <t>Employee - 1419</t>
  </si>
  <si>
    <t>Employee - 1420</t>
  </si>
  <si>
    <t>Employee - 1421</t>
  </si>
  <si>
    <t>Employee - 1422</t>
  </si>
  <si>
    <t>Employee - 1423</t>
  </si>
  <si>
    <t>Employee - 1424</t>
  </si>
  <si>
    <t>Employee - 1425</t>
  </si>
  <si>
    <t>Employee - 1426</t>
  </si>
  <si>
    <t>Employee - 1427</t>
  </si>
  <si>
    <t>Employee - 1428</t>
  </si>
  <si>
    <t>Employee - 1429</t>
  </si>
  <si>
    <t>Employee - 1430</t>
  </si>
  <si>
    <t>Employee - 1431</t>
  </si>
  <si>
    <t>Employee - 1432</t>
  </si>
  <si>
    <t>Employee - 1433</t>
  </si>
  <si>
    <t>Employee - 1434</t>
  </si>
  <si>
    <t>Employee - 1435</t>
  </si>
  <si>
    <t>Employee - 1436</t>
  </si>
  <si>
    <t>Employee - 1437</t>
  </si>
  <si>
    <t>Employee - 1438</t>
  </si>
  <si>
    <t>Employee - 1439</t>
  </si>
  <si>
    <t>Employee - 1440</t>
  </si>
  <si>
    <t>Employee - 1441</t>
  </si>
  <si>
    <t>Employee - 1442</t>
  </si>
  <si>
    <t>Employee - 1443</t>
  </si>
  <si>
    <t>Employee - 1444</t>
  </si>
  <si>
    <t>Employee - 1445</t>
  </si>
  <si>
    <t>Employee - 1446</t>
  </si>
  <si>
    <t>Employee - 1447</t>
  </si>
  <si>
    <t>Employee - 1448</t>
  </si>
  <si>
    <t>Employee - 1449</t>
  </si>
  <si>
    <t>Employee - 1450</t>
  </si>
  <si>
    <t>Employee - 1451</t>
  </si>
  <si>
    <t>Employee - 1452</t>
  </si>
  <si>
    <t>Employee - 1453</t>
  </si>
  <si>
    <t>Employee - 1454</t>
  </si>
  <si>
    <t>Employee - 1455</t>
  </si>
  <si>
    <t>Employee - 1456</t>
  </si>
  <si>
    <t>Employee - 1457</t>
  </si>
  <si>
    <t>Employee - 1458</t>
  </si>
  <si>
    <t>Employee - 1459</t>
  </si>
  <si>
    <t>Employee - 1460</t>
  </si>
  <si>
    <t>Employee - 1461</t>
  </si>
  <si>
    <t>Employee - 1462</t>
  </si>
  <si>
    <t>Employee - 1463</t>
  </si>
  <si>
    <t>Employee - 1464</t>
  </si>
  <si>
    <t>Employee - 1465</t>
  </si>
  <si>
    <t>Employee - 1466</t>
  </si>
  <si>
    <t>Employee - 1467</t>
  </si>
  <si>
    <t>Employee - 1468</t>
  </si>
  <si>
    <t>Employee - 1469</t>
  </si>
  <si>
    <t>Employee - 1470</t>
  </si>
  <si>
    <t>Employee - 1471</t>
  </si>
  <si>
    <t>Employee - 1472</t>
  </si>
  <si>
    <t>Employee - 1473</t>
  </si>
  <si>
    <t>Employee - 1474</t>
  </si>
  <si>
    <t>Employee - 1475</t>
  </si>
  <si>
    <t>Employee - 1476</t>
  </si>
  <si>
    <t>Employee - 1477</t>
  </si>
  <si>
    <t>Employee - 1478</t>
  </si>
  <si>
    <t>Employee - 1479</t>
  </si>
  <si>
    <t>Employee - 1480</t>
  </si>
  <si>
    <t>Employee - 1481</t>
  </si>
  <si>
    <t>Employee - 1482</t>
  </si>
  <si>
    <t>Employee - 1483</t>
  </si>
  <si>
    <t>Employee - 1484</t>
  </si>
  <si>
    <t>Employee - 1485</t>
  </si>
  <si>
    <t>Employee - 1486</t>
  </si>
  <si>
    <t>Employee - 1487</t>
  </si>
  <si>
    <t>Employee - 1488</t>
  </si>
  <si>
    <t>Employee - 1489</t>
  </si>
  <si>
    <t>Employee - 1490</t>
  </si>
  <si>
    <t>Employee - 1491</t>
  </si>
  <si>
    <t>Employee - 1492</t>
  </si>
  <si>
    <t>Employee - 1493</t>
  </si>
  <si>
    <t>Employee - 1494</t>
  </si>
  <si>
    <t>Employee - 1495</t>
  </si>
  <si>
    <t>Employee - 1496</t>
  </si>
  <si>
    <t>Employee - 1497</t>
  </si>
  <si>
    <t>Employee - 1498</t>
  </si>
  <si>
    <t>Employee - 1499</t>
  </si>
  <si>
    <t>Employee - 1500</t>
  </si>
  <si>
    <t>Employee - 1501</t>
  </si>
  <si>
    <t>Employee - 1502</t>
  </si>
  <si>
    <t>Employee - 1503</t>
  </si>
  <si>
    <t>Employee - 1504</t>
  </si>
  <si>
    <t>Employee - 1505</t>
  </si>
  <si>
    <t>Employee - 1506</t>
  </si>
  <si>
    <t>Employee - 1507</t>
  </si>
  <si>
    <t>Employee - 1508</t>
  </si>
  <si>
    <t>Employee - 1509</t>
  </si>
  <si>
    <t>Employee - 1510</t>
  </si>
  <si>
    <t>Employee - 1511</t>
  </si>
  <si>
    <t>Employee - 1512</t>
  </si>
  <si>
    <t>Employee - 1513</t>
  </si>
  <si>
    <t>Employee - 1514</t>
  </si>
  <si>
    <t>Employee - 1515</t>
  </si>
  <si>
    <t>Employee - 1516</t>
  </si>
  <si>
    <t>Employee - 1517</t>
  </si>
  <si>
    <t>Employee - 1518</t>
  </si>
  <si>
    <t>Employee - 1519</t>
  </si>
  <si>
    <t>Employee - 1520</t>
  </si>
  <si>
    <t>Employee - 1521</t>
  </si>
  <si>
    <t>Employee - 1522</t>
  </si>
  <si>
    <t>Employee - 1523</t>
  </si>
  <si>
    <t>Employee - 1524</t>
  </si>
  <si>
    <t>Employee - 1525</t>
  </si>
  <si>
    <t>Employee - 1526</t>
  </si>
  <si>
    <t>Employee - 1527</t>
  </si>
  <si>
    <t>Employee - 1528</t>
  </si>
  <si>
    <t>Employee - 1529</t>
  </si>
  <si>
    <t>Employee - 1530</t>
  </si>
  <si>
    <t>Employee - 1531</t>
  </si>
  <si>
    <t>Employee - 1532</t>
  </si>
  <si>
    <t>Employee - 1533</t>
  </si>
  <si>
    <t>Employee - 1534</t>
  </si>
  <si>
    <t>Employee - 1535</t>
  </si>
  <si>
    <t>Employee - 1536</t>
  </si>
  <si>
    <t>Employee - 1537</t>
  </si>
  <si>
    <t>Employee - 1538</t>
  </si>
  <si>
    <t>Employee - 1539</t>
  </si>
  <si>
    <t>Employee - 1540</t>
  </si>
  <si>
    <t>Employee - 1541</t>
  </si>
  <si>
    <t>Employee - 1542</t>
  </si>
  <si>
    <t>Employee - 1543</t>
  </si>
  <si>
    <t>Employee - 1544</t>
  </si>
  <si>
    <t>Employee - 1545</t>
  </si>
  <si>
    <t>Employee - 1546</t>
  </si>
  <si>
    <t>Employee - 1547</t>
  </si>
  <si>
    <t>Employee - 1548</t>
  </si>
  <si>
    <t>Employee - 1549</t>
  </si>
  <si>
    <t>Employee - 1550</t>
  </si>
  <si>
    <t>Employee - 1551</t>
  </si>
  <si>
    <t>Employee - 1552</t>
  </si>
  <si>
    <t>Employee - 1553</t>
  </si>
  <si>
    <t>Employee - 1554</t>
  </si>
  <si>
    <t>Employee - 1555</t>
  </si>
  <si>
    <t>Employee - 1556</t>
  </si>
  <si>
    <t>Employee - 1557</t>
  </si>
  <si>
    <t>Employee - 1558</t>
  </si>
  <si>
    <t>Employee - 1559</t>
  </si>
  <si>
    <t>Employee - 1560</t>
  </si>
  <si>
    <t>Employee - 1561</t>
  </si>
  <si>
    <t>Employee - 1562</t>
  </si>
  <si>
    <t>Employee - 1563</t>
  </si>
  <si>
    <t>Employee - 1564</t>
  </si>
  <si>
    <t>Employee - 1565</t>
  </si>
  <si>
    <t>Employee - 1566</t>
  </si>
  <si>
    <t>Employee - 1567</t>
  </si>
  <si>
    <t>Employee - 1568</t>
  </si>
  <si>
    <t>Employee - 1569</t>
  </si>
  <si>
    <t>Employee - 1570</t>
  </si>
  <si>
    <t>Employee - 1571</t>
  </si>
  <si>
    <t>Employee - 1572</t>
  </si>
  <si>
    <t>Employee - 1573</t>
  </si>
  <si>
    <t>Employee - 1574</t>
  </si>
  <si>
    <t>Employee - 1575</t>
  </si>
  <si>
    <t>Employee - 1576</t>
  </si>
  <si>
    <t>Employee - 1577</t>
  </si>
  <si>
    <t>Employee - 1578</t>
  </si>
  <si>
    <t>Employee - 1579</t>
  </si>
  <si>
    <t>Employee - 1580</t>
  </si>
  <si>
    <t>Employee - 1581</t>
  </si>
  <si>
    <t>Employee - 1582</t>
  </si>
  <si>
    <t>Employee - 1583</t>
  </si>
  <si>
    <t>Employee - 1584</t>
  </si>
  <si>
    <t>Employee - 1585</t>
  </si>
  <si>
    <t>Employee - 1586</t>
  </si>
  <si>
    <t>Employee - 1587</t>
  </si>
  <si>
    <t>Employee - 1588</t>
  </si>
  <si>
    <t>Employee - 1589</t>
  </si>
  <si>
    <t>Employee - 1590</t>
  </si>
  <si>
    <t>Employee - 1591</t>
  </si>
  <si>
    <t>Employee - 1592</t>
  </si>
  <si>
    <t>Employee - 1593</t>
  </si>
  <si>
    <t>Employee - 1594</t>
  </si>
  <si>
    <t>Employee - 1595</t>
  </si>
  <si>
    <t>Employee - 1596</t>
  </si>
  <si>
    <t>Employee - 1597</t>
  </si>
  <si>
    <t>Employee - 1598</t>
  </si>
  <si>
    <t>Employee - 1599</t>
  </si>
  <si>
    <t>Employee - 1600</t>
  </si>
  <si>
    <t>Employee - 1601</t>
  </si>
  <si>
    <t>Employee - 1602</t>
  </si>
  <si>
    <t>Employee - 1603</t>
  </si>
  <si>
    <t>Employee - 1604</t>
  </si>
  <si>
    <t>Employee - 1605</t>
  </si>
  <si>
    <t>Employee - 1606</t>
  </si>
  <si>
    <t>Employee - 1607</t>
  </si>
  <si>
    <t>Employee - 1608</t>
  </si>
  <si>
    <t>Employee - 1609</t>
  </si>
  <si>
    <t>Employee - 1610</t>
  </si>
  <si>
    <t>Employee - 1611</t>
  </si>
  <si>
    <t>Employee - 1612</t>
  </si>
  <si>
    <t>Employee - 1613</t>
  </si>
  <si>
    <t>Employee - 1614</t>
  </si>
  <si>
    <t>Employee - 1615</t>
  </si>
  <si>
    <t>Employee - 1616</t>
  </si>
  <si>
    <t>Employee - 1617</t>
  </si>
  <si>
    <t>Employee - 1618</t>
  </si>
  <si>
    <t>Employee - 1619</t>
  </si>
  <si>
    <t>Employee - 1620</t>
  </si>
  <si>
    <t>Employee - 1621</t>
  </si>
  <si>
    <t>Employee - 1622</t>
  </si>
  <si>
    <t>Employee - 1623</t>
  </si>
  <si>
    <t>Employee - 1624</t>
  </si>
  <si>
    <t>Employee - 1625</t>
  </si>
  <si>
    <t>Employee - 1626</t>
  </si>
  <si>
    <t>Employee - 1627</t>
  </si>
  <si>
    <t>Employee - 1628</t>
  </si>
  <si>
    <t>Employee - 1629</t>
  </si>
  <si>
    <t>Employee - 1630</t>
  </si>
  <si>
    <t>Employee - 1631</t>
  </si>
  <si>
    <t>Employee - 1632</t>
  </si>
  <si>
    <t>Employee - 1633</t>
  </si>
  <si>
    <t>Employee - 1634</t>
  </si>
  <si>
    <t>Employee - 1635</t>
  </si>
  <si>
    <t>Employee - 1636</t>
  </si>
  <si>
    <t>Employee - 1637</t>
  </si>
  <si>
    <t>Employee - 1638</t>
  </si>
  <si>
    <t>Employee - 1639</t>
  </si>
  <si>
    <t>Employee - 1640</t>
  </si>
  <si>
    <t>Employee - 1641</t>
  </si>
  <si>
    <t>Employee - 1642</t>
  </si>
  <si>
    <t>Employee - 1643</t>
  </si>
  <si>
    <t>Employee - 1644</t>
  </si>
  <si>
    <t>Employee - 1645</t>
  </si>
  <si>
    <t>Employee - 1646</t>
  </si>
  <si>
    <t>Employee - 1647</t>
  </si>
  <si>
    <t>Employee - 1648</t>
  </si>
  <si>
    <t>Employee - 1649</t>
  </si>
  <si>
    <t>Employee - 1650</t>
  </si>
  <si>
    <t>Employee - 1651</t>
  </si>
  <si>
    <t>Employee - 1652</t>
  </si>
  <si>
    <t>Employee - 1653</t>
  </si>
  <si>
    <t>Employee - 1654</t>
  </si>
  <si>
    <t>Employee - 1655</t>
  </si>
  <si>
    <t>Employee - 1656</t>
  </si>
  <si>
    <t>Employee - 1657</t>
  </si>
  <si>
    <t>Employee - 1658</t>
  </si>
  <si>
    <t>Employee - 1659</t>
  </si>
  <si>
    <t>Employee - 1660</t>
  </si>
  <si>
    <t>Employee - 1661</t>
  </si>
  <si>
    <t>Employee - 1662</t>
  </si>
  <si>
    <t>Employee - 1663</t>
  </si>
  <si>
    <t>Employee - 1664</t>
  </si>
  <si>
    <t>Employee - 1665</t>
  </si>
  <si>
    <t>Employee - 1666</t>
  </si>
  <si>
    <t>Employee - 1667</t>
  </si>
  <si>
    <t>Employee - 1668</t>
  </si>
  <si>
    <t>Employee - 1669</t>
  </si>
  <si>
    <t>Employee - 1670</t>
  </si>
  <si>
    <t>Employee - 1671</t>
  </si>
  <si>
    <t>Employee - 1672</t>
  </si>
  <si>
    <t>Employee - 1673</t>
  </si>
  <si>
    <t>Employee - 1674</t>
  </si>
  <si>
    <t>Employee - 1675</t>
  </si>
  <si>
    <t>Employee - 1676</t>
  </si>
  <si>
    <t>Employee - 1677</t>
  </si>
  <si>
    <t>Employee - 1678</t>
  </si>
  <si>
    <t>Employee - 1679</t>
  </si>
  <si>
    <t>Employee - 1680</t>
  </si>
  <si>
    <t>Employee - 1681</t>
  </si>
  <si>
    <t>Employee - 1682</t>
  </si>
  <si>
    <t>Employee - 1683</t>
  </si>
  <si>
    <t>Employee - 1684</t>
  </si>
  <si>
    <t>Employee - 1685</t>
  </si>
  <si>
    <t>Employee - 1686</t>
  </si>
  <si>
    <t>Employee - 1687</t>
  </si>
  <si>
    <t>Employee - 1688</t>
  </si>
  <si>
    <t>Employee - 1689</t>
  </si>
  <si>
    <t>Employee - 1690</t>
  </si>
  <si>
    <t>Employee - 1691</t>
  </si>
  <si>
    <t>Employee - 1692</t>
  </si>
  <si>
    <t>Employee - 1693</t>
  </si>
  <si>
    <t>Employee - 1694</t>
  </si>
  <si>
    <t>Employee - 1695</t>
  </si>
  <si>
    <t>Employee - 1696</t>
  </si>
  <si>
    <t>Employee - 1697</t>
  </si>
  <si>
    <t>Employee - 1698</t>
  </si>
  <si>
    <t>Employee - 1699</t>
  </si>
  <si>
    <t>Employee - 1700</t>
  </si>
  <si>
    <t>Employee - 1701</t>
  </si>
  <si>
    <t>Employee - 1702</t>
  </si>
  <si>
    <t>Employee - 1703</t>
  </si>
  <si>
    <t>Employee - 1704</t>
  </si>
  <si>
    <t>Employee - 1705</t>
  </si>
  <si>
    <t>Employee - 1706</t>
  </si>
  <si>
    <t>Employee - 1707</t>
  </si>
  <si>
    <t>Employee - 1708</t>
  </si>
  <si>
    <t>Employee - 1709</t>
  </si>
  <si>
    <t>Employee - 1710</t>
  </si>
  <si>
    <t>Employee - 1711</t>
  </si>
  <si>
    <t>Employee - 1712</t>
  </si>
  <si>
    <t>Employee - 1713</t>
  </si>
  <si>
    <t>Employee - 1714</t>
  </si>
  <si>
    <t>Employee - 1715</t>
  </si>
  <si>
    <t>Employee - 1716</t>
  </si>
  <si>
    <t>Employee - 1717</t>
  </si>
  <si>
    <t>Employee - 1718</t>
  </si>
  <si>
    <t>Employee - 1719</t>
  </si>
  <si>
    <t>Employee - 1720</t>
  </si>
  <si>
    <t>Employee - 1721</t>
  </si>
  <si>
    <t>Employee - 1722</t>
  </si>
  <si>
    <t>Employee - 1723</t>
  </si>
  <si>
    <t>Employee - 1724</t>
  </si>
  <si>
    <t>Employee - 1725</t>
  </si>
  <si>
    <t>Employee - 1726</t>
  </si>
  <si>
    <t>Employee - 1727</t>
  </si>
  <si>
    <t>Employee - 1728</t>
  </si>
  <si>
    <t>Employee - 1729</t>
  </si>
  <si>
    <t>Employee - 1730</t>
  </si>
  <si>
    <t>Employee - 1731</t>
  </si>
  <si>
    <t>Employee - 1732</t>
  </si>
  <si>
    <t>Employee - 1733</t>
  </si>
  <si>
    <t>Employee - 1734</t>
  </si>
  <si>
    <t>Employee - 1735</t>
  </si>
  <si>
    <t>Employee - 1736</t>
  </si>
  <si>
    <t>Employee - 1737</t>
  </si>
  <si>
    <t>Employee - 1738</t>
  </si>
  <si>
    <t>Employee - 1739</t>
  </si>
  <si>
    <t>Employee - 1740</t>
  </si>
  <si>
    <t>Employee - 1741</t>
  </si>
  <si>
    <t>Employee - 1742</t>
  </si>
  <si>
    <t>Employee - 1743</t>
  </si>
  <si>
    <t>Employee - 1744</t>
  </si>
  <si>
    <t>Employee - 1745</t>
  </si>
  <si>
    <t>Employee - 1746</t>
  </si>
  <si>
    <t>Employee - 1747</t>
  </si>
  <si>
    <t>Employee - 1748</t>
  </si>
  <si>
    <t>Employee - 1749</t>
  </si>
  <si>
    <t>Employee - 1750</t>
  </si>
  <si>
    <t>Employee - 1751</t>
  </si>
  <si>
    <t>Employee - 1752</t>
  </si>
  <si>
    <t>Employee - 1753</t>
  </si>
  <si>
    <t>Employee - 1754</t>
  </si>
  <si>
    <t>Employee - 1755</t>
  </si>
  <si>
    <t>Employee - 1756</t>
  </si>
  <si>
    <t>Employee - 1757</t>
  </si>
  <si>
    <t>Employee - 1758</t>
  </si>
  <si>
    <t>Employee - 1759</t>
  </si>
  <si>
    <t>Employee - 1760</t>
  </si>
  <si>
    <t>Employee - 1761</t>
  </si>
  <si>
    <t>Employee - 1762</t>
  </si>
  <si>
    <t>Employee - 1763</t>
  </si>
  <si>
    <t>Employee - 1764</t>
  </si>
  <si>
    <t>Employee - 1765</t>
  </si>
  <si>
    <t>Employee - 1766</t>
  </si>
  <si>
    <t>Employee - 1767</t>
  </si>
  <si>
    <t>Employee - 1768</t>
  </si>
  <si>
    <t>Employee - 1769</t>
  </si>
  <si>
    <t>Employee - 1770</t>
  </si>
  <si>
    <t>Employee - 1771</t>
  </si>
  <si>
    <t>Employee - 1772</t>
  </si>
  <si>
    <t>Employee - 1773</t>
  </si>
  <si>
    <t>Employee - 1774</t>
  </si>
  <si>
    <t>Employee - 1775</t>
  </si>
  <si>
    <t>Employee - 1776</t>
  </si>
  <si>
    <t>Employee - 1777</t>
  </si>
  <si>
    <t>Employee - 1778</t>
  </si>
  <si>
    <t>Employee - 1779</t>
  </si>
  <si>
    <t>Employee - 1780</t>
  </si>
  <si>
    <t>Employee - 1781</t>
  </si>
  <si>
    <t>Employee - 1782</t>
  </si>
  <si>
    <t>Employee - 1783</t>
  </si>
  <si>
    <t>Employee - 1784</t>
  </si>
  <si>
    <t>Employee - 1785</t>
  </si>
  <si>
    <t>Employee - 1786</t>
  </si>
  <si>
    <t>Employee - 1787</t>
  </si>
  <si>
    <t>Employee - 1788</t>
  </si>
  <si>
    <t>Employee - 1789</t>
  </si>
  <si>
    <t>Employee - 1790</t>
  </si>
  <si>
    <t>Employee - 1791</t>
  </si>
  <si>
    <t>Employee - 1792</t>
  </si>
  <si>
    <t>Employee - 1793</t>
  </si>
  <si>
    <t>Employee - 1794</t>
  </si>
  <si>
    <t>Employee - 1795</t>
  </si>
  <si>
    <t>Employee - 1796</t>
  </si>
  <si>
    <t>Employee - 1797</t>
  </si>
  <si>
    <t>Employee - 1798</t>
  </si>
  <si>
    <t>Employee - 1799</t>
  </si>
  <si>
    <t>Employee - 1800</t>
  </si>
  <si>
    <t>Employee - 1801</t>
  </si>
  <si>
    <t>Employee - 1802</t>
  </si>
  <si>
    <t>Employee - 1803</t>
  </si>
  <si>
    <t>Employee - 1804</t>
  </si>
  <si>
    <t>Employee - 1805</t>
  </si>
  <si>
    <t>Employee - 1806</t>
  </si>
  <si>
    <t>Employee - 1807</t>
  </si>
  <si>
    <t>Employee - 1808</t>
  </si>
  <si>
    <t>Employee - 1809</t>
  </si>
  <si>
    <t>Employee - 1810</t>
  </si>
  <si>
    <t>Employee - 1811</t>
  </si>
  <si>
    <t>Employee - 1812</t>
  </si>
  <si>
    <t>Employee - 1813</t>
  </si>
  <si>
    <t>Employee - 1814</t>
  </si>
  <si>
    <t>Employee - 1815</t>
  </si>
  <si>
    <t>Employee - 1816</t>
  </si>
  <si>
    <t>Employee - 1817</t>
  </si>
  <si>
    <t>Employee - 1818</t>
  </si>
  <si>
    <t>Employee - 1819</t>
  </si>
  <si>
    <t>Employee - 1820</t>
  </si>
  <si>
    <t>Employee - 1821</t>
  </si>
  <si>
    <t>Employee - 1822</t>
  </si>
  <si>
    <t>Employee - 1823</t>
  </si>
  <si>
    <t>Employee - 1824</t>
  </si>
  <si>
    <t>Employee - 1825</t>
  </si>
  <si>
    <t>Employee - 1826</t>
  </si>
  <si>
    <t>Employee - 1827</t>
  </si>
  <si>
    <t>Employee - 1828</t>
  </si>
  <si>
    <t>Employee - 1829</t>
  </si>
  <si>
    <t>Employee - 1830</t>
  </si>
  <si>
    <t>Employee - 1831</t>
  </si>
  <si>
    <t>Employee - 1832</t>
  </si>
  <si>
    <t>Employee - 1833</t>
  </si>
  <si>
    <t>Employee - 1834</t>
  </si>
  <si>
    <t>Employee - 1835</t>
  </si>
  <si>
    <t>Employee - 1836</t>
  </si>
  <si>
    <t>Employee - 1837</t>
  </si>
  <si>
    <t>Employee - 1838</t>
  </si>
  <si>
    <t>Employee - 1839</t>
  </si>
  <si>
    <t>Employee - 1840</t>
  </si>
  <si>
    <t>Employee - 1841</t>
  </si>
  <si>
    <t>Employee - 1842</t>
  </si>
  <si>
    <t>Employee - 1843</t>
  </si>
  <si>
    <t>Employee - 1844</t>
  </si>
  <si>
    <t>Employee - 1845</t>
  </si>
  <si>
    <t>Employee - 1846</t>
  </si>
  <si>
    <t>Employee - 1847</t>
  </si>
  <si>
    <t>Employee - 1848</t>
  </si>
  <si>
    <t>Employee - 1849</t>
  </si>
  <si>
    <t>Employee - 1850</t>
  </si>
  <si>
    <t>Employee - 1851</t>
  </si>
  <si>
    <t>Employee - 1852</t>
  </si>
  <si>
    <t>Employee - 1853</t>
  </si>
  <si>
    <t>Employee - 1854</t>
  </si>
  <si>
    <t>Employee - 1855</t>
  </si>
  <si>
    <t>Employee - 1856</t>
  </si>
  <si>
    <t>Employee - 1857</t>
  </si>
  <si>
    <t>Employee - 1858</t>
  </si>
  <si>
    <t>Employee - 1859</t>
  </si>
  <si>
    <t>Employee - 1860</t>
  </si>
  <si>
    <t>Employee - 1861</t>
  </si>
  <si>
    <t>Employee - 1862</t>
  </si>
  <si>
    <t>Employee - 1863</t>
  </si>
  <si>
    <t>Employee - 1864</t>
  </si>
  <si>
    <t>Employee - 1865</t>
  </si>
  <si>
    <t>Employee - 1866</t>
  </si>
  <si>
    <t>Employee - 1867</t>
  </si>
  <si>
    <t>Employee - 1868</t>
  </si>
  <si>
    <t>Employee - 1869</t>
  </si>
  <si>
    <t>Employee - 1870</t>
  </si>
  <si>
    <t>Employee - 1871</t>
  </si>
  <si>
    <t>Employee - 1872</t>
  </si>
  <si>
    <t>Employee - 1873</t>
  </si>
  <si>
    <t>Employee - 1874</t>
  </si>
  <si>
    <t>Employee - 1875</t>
  </si>
  <si>
    <t>Employee - 1876</t>
  </si>
  <si>
    <t>Employee - 1877</t>
  </si>
  <si>
    <t>Employee - 1878</t>
  </si>
  <si>
    <t>Employee - 1879</t>
  </si>
  <si>
    <t>Employee - 1880</t>
  </si>
  <si>
    <t>Employee - 1881</t>
  </si>
  <si>
    <t>Employee - 1882</t>
  </si>
  <si>
    <t>Employee - 1883</t>
  </si>
  <si>
    <t>Employee - 1884</t>
  </si>
  <si>
    <t>Employee - 1885</t>
  </si>
  <si>
    <t>Employee - 1886</t>
  </si>
  <si>
    <t>Employee - 1887</t>
  </si>
  <si>
    <t>Employee - 1888</t>
  </si>
  <si>
    <t>Employee - 1889</t>
  </si>
  <si>
    <t>Employee - 1890</t>
  </si>
  <si>
    <t>Employee - 1891</t>
  </si>
  <si>
    <t>Employee - 1892</t>
  </si>
  <si>
    <t>Employee - 1893</t>
  </si>
  <si>
    <t>Employee - 1894</t>
  </si>
  <si>
    <t>Employee - 1895</t>
  </si>
  <si>
    <t>Employee - 1896</t>
  </si>
  <si>
    <t>Employee - 1897</t>
  </si>
  <si>
    <t>Corporate Management Group</t>
  </si>
  <si>
    <t>Strategy Office</t>
  </si>
  <si>
    <t>Marketing Office</t>
  </si>
  <si>
    <t>Company Law Office</t>
  </si>
  <si>
    <t>Tele Communication Office</t>
  </si>
  <si>
    <t>Training Department</t>
  </si>
  <si>
    <t>Human Capital Development Office</t>
  </si>
  <si>
    <t>Sales Department</t>
  </si>
  <si>
    <t>Operational Risk Department</t>
  </si>
  <si>
    <t>Finance Department</t>
  </si>
  <si>
    <t>Operations Department</t>
  </si>
  <si>
    <t>Financial Planning Department</t>
  </si>
  <si>
    <t>Sales Strategy Department</t>
  </si>
  <si>
    <t>Marketing Strategy Department</t>
  </si>
  <si>
    <t>Technology Department</t>
  </si>
  <si>
    <t>Sales Execution Department</t>
  </si>
  <si>
    <t>Franchiesee Department</t>
  </si>
  <si>
    <t>Retail Department</t>
  </si>
  <si>
    <t>Agency</t>
  </si>
  <si>
    <t>Walk-in</t>
  </si>
  <si>
    <t>Transfer</t>
  </si>
  <si>
    <t>Job Portal</t>
  </si>
  <si>
    <t>University</t>
  </si>
  <si>
    <t>Corporate Management</t>
  </si>
  <si>
    <t>MIS &amp; Reporting</t>
  </si>
  <si>
    <t>Board of Directors</t>
  </si>
  <si>
    <t>Franchisee</t>
  </si>
  <si>
    <t>Finance</t>
  </si>
  <si>
    <t>Tele Communication</t>
  </si>
  <si>
    <t>Marketing Department</t>
  </si>
  <si>
    <t>Retail Management</t>
  </si>
  <si>
    <t>Customer Experience</t>
  </si>
  <si>
    <t xml:space="preserve">Human Resource </t>
  </si>
  <si>
    <t>Finance &amp; Accounting</t>
  </si>
  <si>
    <t>Head Office</t>
  </si>
  <si>
    <t>India HQ</t>
  </si>
  <si>
    <t>Europe HQ</t>
  </si>
  <si>
    <t>Branch 1</t>
  </si>
  <si>
    <t>Branch 2</t>
  </si>
  <si>
    <t>Branch 3</t>
  </si>
  <si>
    <t>Branch 4</t>
  </si>
  <si>
    <t>Branch 5</t>
  </si>
  <si>
    <t>Branch 6</t>
  </si>
  <si>
    <t>Branch 7</t>
  </si>
  <si>
    <t>Branch 8</t>
  </si>
  <si>
    <t>Branch 9</t>
  </si>
  <si>
    <t>Branch 10</t>
  </si>
  <si>
    <t>Branch 11</t>
  </si>
  <si>
    <t>Branch 12</t>
  </si>
  <si>
    <t>Branch 13</t>
  </si>
  <si>
    <t>Branch 14</t>
  </si>
  <si>
    <t>Branch 15</t>
  </si>
  <si>
    <t>Branch 16</t>
  </si>
  <si>
    <t>Branch 17</t>
  </si>
  <si>
    <t>Branch 18</t>
  </si>
  <si>
    <t>Branch 19</t>
  </si>
  <si>
    <t>Branch 20</t>
  </si>
  <si>
    <t>Branch 21</t>
  </si>
  <si>
    <t>Branch 22</t>
  </si>
  <si>
    <t>Branch 23</t>
  </si>
  <si>
    <t>Branch 24</t>
  </si>
  <si>
    <t>Franchisee 101</t>
  </si>
  <si>
    <t>Franchisee 102</t>
  </si>
  <si>
    <t>Franchisee 103</t>
  </si>
  <si>
    <t>Franchisee 104</t>
  </si>
  <si>
    <t>Franchisee 105</t>
  </si>
  <si>
    <t>Franchisee 106</t>
  </si>
  <si>
    <t>Franchisee 107</t>
  </si>
  <si>
    <t>Franchisee 108</t>
  </si>
  <si>
    <t>Franchisee 109</t>
  </si>
  <si>
    <t>Franchisee 110</t>
  </si>
  <si>
    <t>Franchisee 111</t>
  </si>
  <si>
    <t>Franchisee 112</t>
  </si>
  <si>
    <t>Franchisee 113</t>
  </si>
  <si>
    <t>Franchisee 114</t>
  </si>
  <si>
    <t>Franchisee 115</t>
  </si>
  <si>
    <t>Franchisee 116</t>
  </si>
  <si>
    <t>Franchisee 117</t>
  </si>
  <si>
    <t>Franchisee 118</t>
  </si>
  <si>
    <t>Franchisee 119</t>
  </si>
  <si>
    <t>Franchisee 120</t>
  </si>
  <si>
    <t>Franchisee 121</t>
  </si>
  <si>
    <t>Franchisee 122</t>
  </si>
  <si>
    <t>Franchisee 123</t>
  </si>
  <si>
    <t>Franchisee 124</t>
  </si>
  <si>
    <t>Franchisee 125</t>
  </si>
  <si>
    <t>Franchisee 126</t>
  </si>
  <si>
    <t>Franchisee 127</t>
  </si>
  <si>
    <t>Franchisee 128</t>
  </si>
  <si>
    <t>Online Partner 1001</t>
  </si>
  <si>
    <t>Online Partner 1002</t>
  </si>
  <si>
    <t>Online Partner 1003</t>
  </si>
  <si>
    <t>Online Partner 1004</t>
  </si>
  <si>
    <t>Online Partner 1005</t>
  </si>
  <si>
    <t>Online Partner 1006</t>
  </si>
  <si>
    <t>Online Partner 1007</t>
  </si>
  <si>
    <t>Online Partner 1008</t>
  </si>
  <si>
    <t>Online Partner 1009</t>
  </si>
  <si>
    <t>Online Partner 1010</t>
  </si>
  <si>
    <t>Online Partner 1011</t>
  </si>
  <si>
    <t>Online Partner 1012</t>
  </si>
  <si>
    <t>Online Partner 1013</t>
  </si>
  <si>
    <t>Online Partner 1014</t>
  </si>
  <si>
    <t>Online Partner 1015</t>
  </si>
  <si>
    <t>Online Partner 1016</t>
  </si>
  <si>
    <t>Online Partner 1017</t>
  </si>
  <si>
    <t>Online Partner 1018</t>
  </si>
  <si>
    <t>Online Partner 1019</t>
  </si>
  <si>
    <t>Online Partner 1020</t>
  </si>
  <si>
    <t>Online Partner 1021</t>
  </si>
  <si>
    <t>Online Partner 1022</t>
  </si>
  <si>
    <t>Online Partner 1023</t>
  </si>
  <si>
    <t>Online Partner 1024</t>
  </si>
  <si>
    <t>Online Partner 1025</t>
  </si>
  <si>
    <t>Online Partner 1026</t>
  </si>
  <si>
    <t>Online Partner 1027</t>
  </si>
  <si>
    <t>Online Partner 1028</t>
  </si>
  <si>
    <t>Online Partner 1029</t>
  </si>
  <si>
    <t>Online Partner 1030</t>
  </si>
  <si>
    <t>Online Partner 1031</t>
  </si>
  <si>
    <t>Online Partner 1032</t>
  </si>
  <si>
    <t>Online Partner 1033</t>
  </si>
  <si>
    <t>Online Partner 1034</t>
  </si>
  <si>
    <t>Online Partner 1035</t>
  </si>
  <si>
    <t>Online Partner 1036</t>
  </si>
  <si>
    <t>Online Partner 1037</t>
  </si>
  <si>
    <t>Online Partner 1038</t>
  </si>
  <si>
    <t>Online Partner 1039</t>
  </si>
  <si>
    <t>Online Partner 1040</t>
  </si>
  <si>
    <t>Online Partner 1041</t>
  </si>
  <si>
    <t>Online Partner 1042</t>
  </si>
  <si>
    <t>Online Partner 1043</t>
  </si>
  <si>
    <t>Online Partner 1044</t>
  </si>
  <si>
    <t>Online Partner 1045</t>
  </si>
  <si>
    <t>Online Partner 1046</t>
  </si>
  <si>
    <t>Online Partner 1047</t>
  </si>
  <si>
    <t>Online Partner 1048</t>
  </si>
  <si>
    <t>Online Partner 1049</t>
  </si>
  <si>
    <t>Online Partner 1050</t>
  </si>
  <si>
    <t>Online Partner 1051</t>
  </si>
  <si>
    <t>Online Partner 1052</t>
  </si>
  <si>
    <t>Online Partner 1053</t>
  </si>
  <si>
    <t>Online Partner 1054</t>
  </si>
  <si>
    <t>Online Partner 1055</t>
  </si>
  <si>
    <t>Online Partner 1056</t>
  </si>
  <si>
    <t>Online Partner 1057</t>
  </si>
  <si>
    <t>Online Partner 1058</t>
  </si>
  <si>
    <t>Online Partner 1059</t>
  </si>
  <si>
    <t>Online Partner 1060</t>
  </si>
  <si>
    <t>Online Partner 1061</t>
  </si>
  <si>
    <t>Online Partner 1062</t>
  </si>
  <si>
    <t>Online Partner 1063</t>
  </si>
  <si>
    <t>Online Partner 1064</t>
  </si>
  <si>
    <t>Online Partner 1065</t>
  </si>
  <si>
    <t>Online Partner 1066</t>
  </si>
  <si>
    <t>Online Partner 1067</t>
  </si>
  <si>
    <t>Online Partner 1068</t>
  </si>
  <si>
    <t>Online Partner 1069</t>
  </si>
  <si>
    <t>Online Partner 1070</t>
  </si>
  <si>
    <t>Online Partner 1071</t>
  </si>
  <si>
    <t>Online Partner 1072</t>
  </si>
  <si>
    <t>Online Partner 1073</t>
  </si>
  <si>
    <t>Online Partner 1074</t>
  </si>
  <si>
    <t>Online Partner 1075</t>
  </si>
  <si>
    <t>Online Partner 1076</t>
  </si>
  <si>
    <t>Online Partner 1077</t>
  </si>
  <si>
    <t>Online Partner 1078</t>
  </si>
  <si>
    <t>Online Partner 1079</t>
  </si>
  <si>
    <t>Online Partner 1080</t>
  </si>
  <si>
    <t>Online Partner 1081</t>
  </si>
  <si>
    <t>Online Partner 1082</t>
  </si>
  <si>
    <t>Online Partner 1083</t>
  </si>
  <si>
    <t>Online Partner 1084</t>
  </si>
  <si>
    <t>Online Partner 1085</t>
  </si>
  <si>
    <t>Online Partner 1086</t>
  </si>
  <si>
    <t>Online Partner 1087</t>
  </si>
  <si>
    <t>Online Partner 1088</t>
  </si>
  <si>
    <t>Online Partner 1089</t>
  </si>
  <si>
    <t>Online Partner 1090</t>
  </si>
  <si>
    <t>Online Partner 1091</t>
  </si>
  <si>
    <t>Online Partner 1092</t>
  </si>
  <si>
    <t>Online Partner 1093</t>
  </si>
  <si>
    <t>Online Partner 1094</t>
  </si>
  <si>
    <t>Online Partner 1095</t>
  </si>
  <si>
    <t>Online Partner 1096</t>
  </si>
  <si>
    <t>Online Partner 1097</t>
  </si>
  <si>
    <t>Online Partner 1098</t>
  </si>
  <si>
    <t>Online Partner 1099</t>
  </si>
  <si>
    <t>Online Partner 1100</t>
  </si>
  <si>
    <t>Online Partner 1101</t>
  </si>
  <si>
    <t>Online Partner 1102</t>
  </si>
  <si>
    <t>Online Partner 1103</t>
  </si>
  <si>
    <t>Online Partner 1104</t>
  </si>
  <si>
    <t>Online Partner 1105</t>
  </si>
  <si>
    <t>Online Partner 1106</t>
  </si>
  <si>
    <t>Online Partner 1107</t>
  </si>
  <si>
    <t>Online Partner 1108</t>
  </si>
  <si>
    <t>Online Partner 1109</t>
  </si>
  <si>
    <t>Online Partner 1110</t>
  </si>
  <si>
    <t>Online Partner 1111</t>
  </si>
  <si>
    <t>Online Partner 1112</t>
  </si>
  <si>
    <t>Online Partner 1113</t>
  </si>
  <si>
    <t>Online Partner 1114</t>
  </si>
  <si>
    <t>Online Partner 1115</t>
  </si>
  <si>
    <t>Online Partner 1116</t>
  </si>
  <si>
    <t>Online Partner 1117</t>
  </si>
  <si>
    <t>Online Partner 1118</t>
  </si>
  <si>
    <t>Online Partner 1119</t>
  </si>
  <si>
    <t>Online Partner 1120</t>
  </si>
  <si>
    <t>Online Partner 1121</t>
  </si>
  <si>
    <t>Online Partner 1122</t>
  </si>
  <si>
    <t>Online Partner 1123</t>
  </si>
  <si>
    <t>Online Partner 1124</t>
  </si>
  <si>
    <t>Online Partner 1125</t>
  </si>
  <si>
    <t>Online Partner 1126</t>
  </si>
  <si>
    <t>Online Partner 1127</t>
  </si>
  <si>
    <t>Managing Director</t>
  </si>
  <si>
    <t>Head of Sales</t>
  </si>
  <si>
    <t>Head of Legal</t>
  </si>
  <si>
    <t>Head of Strategy</t>
  </si>
  <si>
    <t>Head of Marketing</t>
  </si>
  <si>
    <t>Head of IT</t>
  </si>
  <si>
    <t>Data Scientist</t>
  </si>
  <si>
    <t>Data Analyst</t>
  </si>
  <si>
    <t>Head of HR</t>
  </si>
  <si>
    <t>Sales Officer</t>
  </si>
  <si>
    <t>Sales Manager</t>
  </si>
  <si>
    <t>Marketing Manager</t>
  </si>
  <si>
    <t>Marketing Executive</t>
  </si>
  <si>
    <t>Training Manager</t>
  </si>
  <si>
    <t>Admin Officer</t>
  </si>
  <si>
    <t>Business Development Manager</t>
  </si>
  <si>
    <t>CRM Executive</t>
  </si>
  <si>
    <t>IT Executive</t>
  </si>
  <si>
    <t>HR Executive</t>
  </si>
  <si>
    <t>IND</t>
  </si>
  <si>
    <t>EXPAT</t>
  </si>
  <si>
    <t>EMP/OS</t>
  </si>
  <si>
    <t>PERM</t>
  </si>
  <si>
    <t>OUTSOURCED</t>
  </si>
  <si>
    <t>YTD ABC Corporate (Only)</t>
  </si>
  <si>
    <t>YTD ABC Corporate (Incl. Outsourced)</t>
  </si>
  <si>
    <t>Incl. OUTSOURCED</t>
  </si>
  <si>
    <t>Indian</t>
  </si>
  <si>
    <t>Expat</t>
  </si>
  <si>
    <t xml:space="preserve">Year to Date Indian Nationals till August 2005 has been </t>
  </si>
  <si>
    <t>Nationalization Overview August 2005</t>
  </si>
  <si>
    <t>Jan '05</t>
  </si>
  <si>
    <t>Feb. '05</t>
  </si>
  <si>
    <t>Mar. '05</t>
  </si>
  <si>
    <t>Apr. '05</t>
  </si>
  <si>
    <t>May '05</t>
  </si>
  <si>
    <t>Jun. '05</t>
  </si>
  <si>
    <t>Jul. '05</t>
  </si>
  <si>
    <t>Aug. '05</t>
  </si>
  <si>
    <t>Sep. '05</t>
  </si>
  <si>
    <t>Oct. '05</t>
  </si>
  <si>
    <t>Nov. '05</t>
  </si>
  <si>
    <t>Dec. '05</t>
  </si>
  <si>
    <t>January 2005</t>
  </si>
  <si>
    <t>February 2005</t>
  </si>
  <si>
    <t>March 2005</t>
  </si>
  <si>
    <t>April 2005</t>
  </si>
  <si>
    <t>May 2005</t>
  </si>
  <si>
    <t>June 2005</t>
  </si>
  <si>
    <t>July 2005</t>
  </si>
  <si>
    <t>August 2005</t>
  </si>
  <si>
    <t>September 2005</t>
  </si>
  <si>
    <t>October 2005</t>
  </si>
  <si>
    <t>November 2005</t>
  </si>
  <si>
    <t>December 2005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</si>
</sst>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d/mm/yyyy"/>
    <numFmt numFmtId="165" formatCode="0.000"/>
    <numFmt numFmtId="166" formatCode="mmmm\ yyyy"/>
    <numFmt numFmtId="167" formatCode="dd\-mm\-yy"/>
    <numFmt numFmtId="168" formatCode="dd\-mm\-yyyy"/>
  </numFmts>
  <fonts count="35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12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color indexed="8"/>
      <name val="Calibri"/>
      <family val="2"/>
    </font>
    <font>
      <sz val="10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i/>
      <sz val="11"/>
      <color theme="1"/>
      <name val="Calibri"/>
      <family val="2"/>
      <scheme val="minor"/>
    </font>
    <font>
      <sz val="12"/>
      <color indexed="8"/>
      <name val="Calibri"/>
      <family val="2"/>
      <scheme val="minor"/>
    </font>
    <font>
      <sz val="12"/>
      <name val="Calibri"/>
      <family val="2"/>
      <scheme val="minor"/>
    </font>
    <font>
      <b/>
      <sz val="10"/>
      <color indexed="8"/>
      <name val="Calibri"/>
      <family val="2"/>
      <scheme val="minor"/>
    </font>
    <font>
      <b/>
      <sz val="10"/>
      <name val="Calibri"/>
      <family val="2"/>
      <scheme val="minor"/>
    </font>
    <font>
      <sz val="10"/>
      <color indexed="8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3" tint="-0.499984740745262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1"/>
      <color rgb="FF292934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u/>
      <sz val="11"/>
      <color theme="3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color rgb="FF000000"/>
      <name val="Arial"/>
      <family val="2"/>
    </font>
    <font>
      <sz val="8"/>
      <color rgb="FF000000"/>
      <name val="Arial"/>
      <family val="2"/>
    </font>
    <font>
      <sz val="11"/>
      <color theme="1"/>
      <name val="Calibri"/>
      <family val="2"/>
    </font>
    <font>
      <sz val="8"/>
      <color rgb="FF000080"/>
      <name val="Arial"/>
      <family val="2"/>
    </font>
    <font>
      <b/>
      <sz val="9"/>
      <color rgb="FFFF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3DEDB"/>
        <bgColor rgb="FFE3DEDB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5D9F1"/>
        <bgColor rgb="FF000000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BEC7C1"/>
      </left>
      <right/>
      <top style="thin">
        <color rgb="FFAE9D95"/>
      </top>
      <bottom style="thin">
        <color rgb="FFAE9D95"/>
      </bottom>
      <diagonal/>
    </border>
    <border>
      <left/>
      <right/>
      <top style="thin">
        <color rgb="FFAE9D95"/>
      </top>
      <bottom style="thin">
        <color rgb="FFAE9D95"/>
      </bottom>
      <diagonal/>
    </border>
    <border>
      <left/>
      <right style="thin">
        <color rgb="FFAE9D95"/>
      </right>
      <top style="thin">
        <color rgb="FFAE9D95"/>
      </top>
      <bottom style="thin">
        <color rgb="FFAE9D9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medium">
        <color indexed="30"/>
      </top>
      <bottom style="medium">
        <color indexed="30"/>
      </bottom>
      <diagonal/>
    </border>
    <border>
      <left/>
      <right/>
      <top style="medium">
        <color indexed="30"/>
      </top>
      <bottom/>
      <diagonal/>
    </border>
  </borders>
  <cellStyleXfs count="7">
    <xf numFmtId="0" fontId="0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28" fillId="0" borderId="0">
      <alignment vertical="top"/>
    </xf>
  </cellStyleXfs>
  <cellXfs count="236">
    <xf numFmtId="0" fontId="0" fillId="0" borderId="0" xfId="0"/>
    <xf numFmtId="0" fontId="2" fillId="0" borderId="0" xfId="0" applyFont="1"/>
    <xf numFmtId="0" fontId="5" fillId="0" borderId="0" xfId="0" applyFont="1" applyFill="1"/>
    <xf numFmtId="0" fontId="7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6" fillId="2" borderId="2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center" vertical="center"/>
    </xf>
    <xf numFmtId="49" fontId="6" fillId="2" borderId="2" xfId="0" applyNumberFormat="1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2" fillId="0" borderId="0" xfId="0" applyFont="1" applyFill="1" applyBorder="1"/>
    <xf numFmtId="0" fontId="8" fillId="0" borderId="4" xfId="0" applyFont="1" applyBorder="1" applyAlignment="1">
      <alignment horizontal="center"/>
    </xf>
    <xf numFmtId="0" fontId="4" fillId="0" borderId="4" xfId="0" applyFont="1" applyFill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0" fillId="0" borderId="0" xfId="0" applyBorder="1"/>
    <xf numFmtId="0" fontId="0" fillId="0" borderId="1" xfId="0" applyBorder="1"/>
    <xf numFmtId="0" fontId="0" fillId="0" borderId="12" xfId="0" applyBorder="1"/>
    <xf numFmtId="0" fontId="0" fillId="0" borderId="14" xfId="0" applyBorder="1"/>
    <xf numFmtId="0" fontId="0" fillId="0" borderId="16" xfId="0" applyBorder="1"/>
    <xf numFmtId="0" fontId="8" fillId="0" borderId="18" xfId="0" applyFont="1" applyBorder="1"/>
    <xf numFmtId="0" fontId="12" fillId="0" borderId="0" xfId="0" applyFont="1"/>
    <xf numFmtId="164" fontId="12" fillId="0" borderId="0" xfId="0" applyNumberFormat="1" applyFont="1"/>
    <xf numFmtId="0" fontId="12" fillId="0" borderId="0" xfId="0" applyFont="1" applyFill="1" applyBorder="1"/>
    <xf numFmtId="164" fontId="13" fillId="0" borderId="0" xfId="0" applyNumberFormat="1" applyFont="1" applyFill="1" applyBorder="1" applyAlignment="1"/>
    <xf numFmtId="0" fontId="12" fillId="0" borderId="0" xfId="0" applyFont="1" applyFill="1" applyBorder="1" applyAlignment="1"/>
    <xf numFmtId="0" fontId="14" fillId="3" borderId="3" xfId="0" applyFont="1" applyFill="1" applyBorder="1" applyAlignment="1">
      <alignment horizontal="center" vertical="center"/>
    </xf>
    <xf numFmtId="0" fontId="14" fillId="3" borderId="4" xfId="0" applyFont="1" applyFill="1" applyBorder="1" applyAlignment="1">
      <alignment horizontal="center" vertical="center"/>
    </xf>
    <xf numFmtId="0" fontId="14" fillId="3" borderId="4" xfId="0" applyFont="1" applyFill="1" applyBorder="1" applyAlignment="1">
      <alignment horizontal="left" vertical="center"/>
    </xf>
    <xf numFmtId="49" fontId="14" fillId="3" borderId="4" xfId="0" applyNumberFormat="1" applyFont="1" applyFill="1" applyBorder="1" applyAlignment="1">
      <alignment horizontal="center" vertical="center"/>
    </xf>
    <xf numFmtId="0" fontId="15" fillId="3" borderId="4" xfId="0" applyNumberFormat="1" applyFont="1" applyFill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49" fontId="12" fillId="0" borderId="0" xfId="0" applyNumberFormat="1" applyFont="1" applyAlignment="1">
      <alignment horizontal="center"/>
    </xf>
    <xf numFmtId="0" fontId="13" fillId="0" borderId="0" xfId="0" applyNumberFormat="1" applyFont="1" applyAlignment="1">
      <alignment horizontal="center"/>
    </xf>
    <xf numFmtId="0" fontId="12" fillId="0" borderId="0" xfId="0" applyFont="1" applyFill="1" applyBorder="1" applyAlignment="1">
      <alignment horizontal="right"/>
    </xf>
    <xf numFmtId="0" fontId="12" fillId="0" borderId="0" xfId="0" applyFont="1" applyFill="1" applyBorder="1" applyAlignment="1">
      <alignment horizontal="center"/>
    </xf>
    <xf numFmtId="49" fontId="12" fillId="0" borderId="0" xfId="0" applyNumberFormat="1" applyFont="1" applyFill="1" applyBorder="1" applyAlignment="1">
      <alignment horizontal="center"/>
    </xf>
    <xf numFmtId="0" fontId="13" fillId="0" borderId="0" xfId="0" applyNumberFormat="1" applyFont="1" applyFill="1" applyBorder="1" applyAlignment="1">
      <alignment horizontal="center"/>
    </xf>
    <xf numFmtId="1" fontId="13" fillId="0" borderId="0" xfId="0" applyNumberFormat="1" applyFont="1" applyFill="1" applyBorder="1" applyAlignment="1">
      <alignment horizontal="center"/>
    </xf>
    <xf numFmtId="1" fontId="12" fillId="0" borderId="0" xfId="0" applyNumberFormat="1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0" fontId="13" fillId="0" borderId="0" xfId="0" applyFont="1" applyFill="1" applyBorder="1"/>
    <xf numFmtId="0" fontId="0" fillId="0" borderId="7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5" xfId="0" applyBorder="1"/>
    <xf numFmtId="0" fontId="8" fillId="0" borderId="8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0" fillId="0" borderId="8" xfId="0" applyBorder="1"/>
    <xf numFmtId="0" fontId="0" fillId="0" borderId="3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28" xfId="0" applyBorder="1" applyAlignment="1">
      <alignment horizontal="right" vertical="center"/>
    </xf>
    <xf numFmtId="0" fontId="0" fillId="0" borderId="20" xfId="0" applyBorder="1"/>
    <xf numFmtId="0" fontId="0" fillId="0" borderId="21" xfId="0" applyBorder="1"/>
    <xf numFmtId="0" fontId="0" fillId="0" borderId="24" xfId="0" applyBorder="1"/>
    <xf numFmtId="0" fontId="0" fillId="0" borderId="22" xfId="0" applyBorder="1"/>
    <xf numFmtId="165" fontId="0" fillId="0" borderId="1" xfId="0" applyNumberFormat="1" applyBorder="1"/>
    <xf numFmtId="165" fontId="0" fillId="0" borderId="14" xfId="0" applyNumberFormat="1" applyBorder="1"/>
    <xf numFmtId="165" fontId="0" fillId="0" borderId="21" xfId="0" applyNumberFormat="1" applyBorder="1"/>
    <xf numFmtId="165" fontId="0" fillId="0" borderId="16" xfId="0" applyNumberFormat="1" applyBorder="1"/>
    <xf numFmtId="165" fontId="0" fillId="0" borderId="7" xfId="0" applyNumberFormat="1" applyBorder="1"/>
    <xf numFmtId="165" fontId="0" fillId="0" borderId="22" xfId="0" applyNumberFormat="1" applyBorder="1"/>
    <xf numFmtId="165" fontId="0" fillId="0" borderId="32" xfId="0" applyNumberFormat="1" applyBorder="1"/>
    <xf numFmtId="165" fontId="0" fillId="0" borderId="33" xfId="0" applyNumberFormat="1" applyBorder="1"/>
    <xf numFmtId="0" fontId="0" fillId="0" borderId="33" xfId="0" applyBorder="1"/>
    <xf numFmtId="165" fontId="0" fillId="0" borderId="34" xfId="0" applyNumberFormat="1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1" xfId="0" applyBorder="1"/>
    <xf numFmtId="9" fontId="0" fillId="0" borderId="31" xfId="0" applyNumberFormat="1" applyBorder="1"/>
    <xf numFmtId="0" fontId="0" fillId="4" borderId="29" xfId="0" applyFill="1" applyBorder="1" applyAlignment="1">
      <alignment horizontal="center" vertical="center"/>
    </xf>
    <xf numFmtId="0" fontId="0" fillId="8" borderId="30" xfId="0" applyFill="1" applyBorder="1" applyAlignment="1">
      <alignment horizontal="center" vertical="center"/>
    </xf>
    <xf numFmtId="0" fontId="18" fillId="7" borderId="6" xfId="0" applyFont="1" applyFill="1" applyBorder="1"/>
    <xf numFmtId="0" fontId="18" fillId="0" borderId="8" xfId="0" applyFont="1" applyBorder="1"/>
    <xf numFmtId="0" fontId="18" fillId="0" borderId="9" xfId="0" applyFont="1" applyBorder="1"/>
    <xf numFmtId="0" fontId="18" fillId="0" borderId="10" xfId="0" applyFont="1" applyBorder="1"/>
    <xf numFmtId="0" fontId="20" fillId="0" borderId="8" xfId="0" applyFont="1" applyBorder="1"/>
    <xf numFmtId="0" fontId="20" fillId="0" borderId="9" xfId="0" applyFont="1" applyBorder="1"/>
    <xf numFmtId="0" fontId="20" fillId="0" borderId="10" xfId="0" applyFont="1" applyBorder="1"/>
    <xf numFmtId="0" fontId="19" fillId="0" borderId="3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0" fontId="19" fillId="0" borderId="31" xfId="0" applyFont="1" applyBorder="1"/>
    <xf numFmtId="0" fontId="0" fillId="0" borderId="35" xfId="0" applyBorder="1"/>
    <xf numFmtId="0" fontId="0" fillId="0" borderId="34" xfId="0" applyBorder="1"/>
    <xf numFmtId="0" fontId="19" fillId="0" borderId="6" xfId="0" applyFont="1" applyBorder="1" applyAlignment="1">
      <alignment horizontal="center" vertical="center"/>
    </xf>
    <xf numFmtId="164" fontId="14" fillId="3" borderId="4" xfId="0" applyNumberFormat="1" applyFont="1" applyFill="1" applyBorder="1" applyAlignment="1">
      <alignment horizontal="center" vertical="center"/>
    </xf>
    <xf numFmtId="164" fontId="14" fillId="3" borderId="5" xfId="0" applyNumberFormat="1" applyFont="1" applyFill="1" applyBorder="1" applyAlignment="1">
      <alignment horizontal="center" vertical="center"/>
    </xf>
    <xf numFmtId="0" fontId="19" fillId="0" borderId="0" xfId="0" applyFont="1" applyBorder="1"/>
    <xf numFmtId="0" fontId="18" fillId="0" borderId="0" xfId="0" applyFont="1" applyBorder="1"/>
    <xf numFmtId="0" fontId="12" fillId="0" borderId="0" xfId="0" applyFont="1" applyFill="1" applyBorder="1" applyAlignment="1">
      <alignment wrapText="1"/>
    </xf>
    <xf numFmtId="49" fontId="0" fillId="0" borderId="13" xfId="0" applyNumberFormat="1" applyBorder="1"/>
    <xf numFmtId="49" fontId="0" fillId="0" borderId="15" xfId="0" applyNumberFormat="1" applyBorder="1"/>
    <xf numFmtId="166" fontId="0" fillId="0" borderId="0" xfId="0" applyNumberFormat="1"/>
    <xf numFmtId="0" fontId="8" fillId="0" borderId="17" xfId="0" applyFont="1" applyBorder="1" applyAlignment="1">
      <alignment horizontal="center" vertical="center"/>
    </xf>
    <xf numFmtId="0" fontId="8" fillId="0" borderId="6" xfId="0" applyFont="1" applyBorder="1" applyAlignment="1">
      <alignment vertical="center"/>
    </xf>
    <xf numFmtId="0" fontId="0" fillId="0" borderId="36" xfId="0" applyBorder="1"/>
    <xf numFmtId="0" fontId="0" fillId="0" borderId="37" xfId="0" applyBorder="1"/>
    <xf numFmtId="0" fontId="11" fillId="4" borderId="38" xfId="0" applyFont="1" applyFill="1" applyBorder="1"/>
    <xf numFmtId="0" fontId="11" fillId="4" borderId="39" xfId="0" applyFont="1" applyFill="1" applyBorder="1"/>
    <xf numFmtId="0" fontId="11" fillId="4" borderId="40" xfId="0" applyFont="1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0" borderId="19" xfId="0" applyBorder="1" applyAlignment="1">
      <alignment horizontal="right"/>
    </xf>
    <xf numFmtId="0" fontId="0" fillId="0" borderId="41" xfId="0" applyBorder="1" applyAlignment="1">
      <alignment horizontal="right"/>
    </xf>
    <xf numFmtId="0" fontId="0" fillId="0" borderId="42" xfId="0" applyBorder="1" applyAlignment="1">
      <alignment horizontal="right"/>
    </xf>
    <xf numFmtId="9" fontId="0" fillId="4" borderId="8" xfId="3" applyFont="1" applyFill="1" applyBorder="1"/>
    <xf numFmtId="9" fontId="0" fillId="4" borderId="9" xfId="3" applyFont="1" applyFill="1" applyBorder="1"/>
    <xf numFmtId="9" fontId="0" fillId="4" borderId="10" xfId="3" applyFont="1" applyFill="1" applyBorder="1"/>
    <xf numFmtId="0" fontId="21" fillId="9" borderId="44" xfId="4" applyNumberFormat="1" applyFont="1" applyFill="1" applyBorder="1" applyAlignment="1">
      <alignment horizontal="left"/>
    </xf>
    <xf numFmtId="0" fontId="21" fillId="0" borderId="44" xfId="4" applyNumberFormat="1" applyFont="1" applyFill="1" applyBorder="1" applyAlignment="1">
      <alignment horizontal="left"/>
    </xf>
    <xf numFmtId="0" fontId="21" fillId="9" borderId="44" xfId="0" applyNumberFormat="1" applyFont="1" applyFill="1" applyBorder="1" applyAlignment="1">
      <alignment horizontal="left"/>
    </xf>
    <xf numFmtId="0" fontId="21" fillId="0" borderId="44" xfId="0" applyNumberFormat="1" applyFont="1" applyFill="1" applyBorder="1" applyAlignment="1">
      <alignment horizontal="left"/>
    </xf>
    <xf numFmtId="49" fontId="21" fillId="9" borderId="45" xfId="4" applyNumberFormat="1" applyFont="1" applyFill="1" applyBorder="1" applyAlignment="1">
      <alignment horizontal="left"/>
    </xf>
    <xf numFmtId="49" fontId="21" fillId="0" borderId="45" xfId="4" applyNumberFormat="1" applyFont="1" applyFill="1" applyBorder="1" applyAlignment="1">
      <alignment horizontal="left"/>
    </xf>
    <xf numFmtId="49" fontId="21" fillId="9" borderId="45" xfId="0" applyNumberFormat="1" applyFont="1" applyFill="1" applyBorder="1" applyAlignment="1">
      <alignment horizontal="left"/>
    </xf>
    <xf numFmtId="49" fontId="21" fillId="0" borderId="45" xfId="0" applyNumberFormat="1" applyFont="1" applyFill="1" applyBorder="1" applyAlignment="1">
      <alignment horizontal="left"/>
    </xf>
    <xf numFmtId="164" fontId="21" fillId="9" borderId="45" xfId="4" applyNumberFormat="1" applyFont="1" applyFill="1" applyBorder="1" applyAlignment="1">
      <alignment horizontal="left"/>
    </xf>
    <xf numFmtId="164" fontId="21" fillId="9" borderId="46" xfId="4" applyNumberFormat="1" applyFont="1" applyFill="1" applyBorder="1" applyAlignment="1">
      <alignment horizontal="left"/>
    </xf>
    <xf numFmtId="164" fontId="21" fillId="0" borderId="45" xfId="4" applyNumberFormat="1" applyFont="1" applyFill="1" applyBorder="1" applyAlignment="1">
      <alignment horizontal="left"/>
    </xf>
    <xf numFmtId="164" fontId="21" fillId="0" borderId="46" xfId="4" applyNumberFormat="1" applyFont="1" applyFill="1" applyBorder="1" applyAlignment="1">
      <alignment horizontal="left"/>
    </xf>
    <xf numFmtId="164" fontId="21" fillId="9" borderId="45" xfId="0" applyNumberFormat="1" applyFont="1" applyFill="1" applyBorder="1" applyAlignment="1">
      <alignment horizontal="left"/>
    </xf>
    <xf numFmtId="164" fontId="21" fillId="9" borderId="46" xfId="0" applyNumberFormat="1" applyFont="1" applyFill="1" applyBorder="1" applyAlignment="1">
      <alignment horizontal="left"/>
    </xf>
    <xf numFmtId="164" fontId="21" fillId="0" borderId="45" xfId="0" applyNumberFormat="1" applyFont="1" applyFill="1" applyBorder="1" applyAlignment="1">
      <alignment horizontal="left"/>
    </xf>
    <xf numFmtId="164" fontId="21" fillId="0" borderId="46" xfId="0" applyNumberFormat="1" applyFont="1" applyFill="1" applyBorder="1" applyAlignment="1">
      <alignment horizontal="left"/>
    </xf>
    <xf numFmtId="164" fontId="0" fillId="0" borderId="0" xfId="0" applyNumberFormat="1"/>
    <xf numFmtId="164" fontId="8" fillId="0" borderId="0" xfId="0" applyNumberFormat="1" applyFont="1" applyAlignment="1">
      <alignment horizontal="center"/>
    </xf>
    <xf numFmtId="0" fontId="0" fillId="10" borderId="13" xfId="0" applyFill="1" applyBorder="1"/>
    <xf numFmtId="0" fontId="0" fillId="0" borderId="49" xfId="0" applyBorder="1"/>
    <xf numFmtId="0" fontId="0" fillId="0" borderId="50" xfId="0" applyBorder="1"/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6" xfId="0" applyBorder="1" applyAlignment="1">
      <alignment horizontal="center"/>
    </xf>
    <xf numFmtId="9" fontId="0" fillId="0" borderId="0" xfId="3" applyFont="1"/>
    <xf numFmtId="9" fontId="0" fillId="0" borderId="0" xfId="0" applyNumberFormat="1"/>
    <xf numFmtId="49" fontId="0" fillId="0" borderId="0" xfId="0" applyNumberFormat="1"/>
    <xf numFmtId="0" fontId="8" fillId="0" borderId="0" xfId="0" applyFont="1" applyFill="1" applyBorder="1" applyAlignment="1">
      <alignment horizontal="right"/>
    </xf>
    <xf numFmtId="165" fontId="0" fillId="0" borderId="0" xfId="0" applyNumberFormat="1"/>
    <xf numFmtId="0" fontId="0" fillId="0" borderId="0" xfId="0" applyAlignment="1">
      <alignment horizontal="left" vertical="center"/>
    </xf>
    <xf numFmtId="0" fontId="0" fillId="0" borderId="0" xfId="0" applyAlignment="1"/>
    <xf numFmtId="167" fontId="27" fillId="11" borderId="33" xfId="0" applyNumberFormat="1" applyFont="1" applyFill="1" applyBorder="1" applyAlignment="1">
      <alignment horizontal="center" vertical="center"/>
    </xf>
    <xf numFmtId="167" fontId="27" fillId="11" borderId="1" xfId="0" applyNumberFormat="1" applyFont="1" applyFill="1" applyBorder="1" applyAlignment="1">
      <alignment horizontal="center" vertical="center"/>
    </xf>
    <xf numFmtId="167" fontId="27" fillId="11" borderId="1" xfId="6" applyNumberFormat="1" applyFont="1" applyFill="1" applyBorder="1" applyAlignment="1">
      <alignment horizontal="center" vertical="center" wrapText="1"/>
    </xf>
    <xf numFmtId="167" fontId="27" fillId="11" borderId="33" xfId="6" applyNumberFormat="1" applyFont="1" applyFill="1" applyBorder="1" applyAlignment="1">
      <alignment horizontal="center" vertical="center" wrapText="1"/>
    </xf>
    <xf numFmtId="167" fontId="27" fillId="11" borderId="1" xfId="0" applyNumberFormat="1" applyFont="1" applyFill="1" applyBorder="1" applyAlignment="1">
      <alignment horizontal="center" vertical="center" wrapText="1"/>
    </xf>
    <xf numFmtId="167" fontId="27" fillId="11" borderId="33" xfId="0" applyNumberFormat="1" applyFont="1" applyFill="1" applyBorder="1" applyAlignment="1">
      <alignment horizontal="center" vertical="center" wrapText="1"/>
    </xf>
    <xf numFmtId="0" fontId="29" fillId="12" borderId="1" xfId="0" applyFont="1" applyFill="1" applyBorder="1" applyAlignment="1">
      <alignment horizontal="center" vertical="center"/>
    </xf>
    <xf numFmtId="0" fontId="29" fillId="12" borderId="1" xfId="0" applyFont="1" applyFill="1" applyBorder="1" applyAlignment="1">
      <alignment horizontal="left" vertical="center"/>
    </xf>
    <xf numFmtId="1" fontId="27" fillId="11" borderId="33" xfId="0" applyNumberFormat="1" applyFont="1" applyFill="1" applyBorder="1" applyAlignment="1">
      <alignment horizontal="center" vertical="center"/>
    </xf>
    <xf numFmtId="0" fontId="27" fillId="11" borderId="33" xfId="0" applyFont="1" applyFill="1" applyBorder="1" applyAlignment="1">
      <alignment horizontal="center" vertical="center"/>
    </xf>
    <xf numFmtId="0" fontId="27" fillId="11" borderId="33" xfId="0" applyFont="1" applyFill="1" applyBorder="1" applyAlignment="1">
      <alignment horizontal="left" vertical="center"/>
    </xf>
    <xf numFmtId="0" fontId="27" fillId="11" borderId="33" xfId="6" applyNumberFormat="1" applyFont="1" applyFill="1" applyBorder="1" applyAlignment="1">
      <alignment horizontal="center" vertical="center"/>
    </xf>
    <xf numFmtId="165" fontId="27" fillId="11" borderId="33" xfId="0" applyNumberFormat="1" applyFont="1" applyFill="1" applyBorder="1" applyAlignment="1">
      <alignment horizontal="center" vertical="center"/>
    </xf>
    <xf numFmtId="165" fontId="27" fillId="11" borderId="33" xfId="0" applyNumberFormat="1" applyFont="1" applyFill="1" applyBorder="1" applyAlignment="1">
      <alignment horizontal="left" vertical="center"/>
    </xf>
    <xf numFmtId="165" fontId="27" fillId="11" borderId="1" xfId="6" applyNumberFormat="1" applyFont="1" applyFill="1" applyBorder="1" applyAlignment="1">
      <alignment horizontal="left" vertical="center"/>
    </xf>
    <xf numFmtId="14" fontId="27" fillId="11" borderId="33" xfId="0" applyNumberFormat="1" applyFont="1" applyFill="1" applyBorder="1" applyAlignment="1">
      <alignment horizontal="center" vertical="center"/>
    </xf>
    <xf numFmtId="2" fontId="27" fillId="11" borderId="33" xfId="0" applyNumberFormat="1" applyFont="1" applyFill="1" applyBorder="1" applyAlignment="1">
      <alignment horizontal="center" vertical="center"/>
    </xf>
    <xf numFmtId="1" fontId="27" fillId="11" borderId="1" xfId="0" applyNumberFormat="1" applyFont="1" applyFill="1" applyBorder="1" applyAlignment="1">
      <alignment horizontal="center" vertical="center"/>
    </xf>
    <xf numFmtId="0" fontId="27" fillId="11" borderId="1" xfId="0" applyFont="1" applyFill="1" applyBorder="1" applyAlignment="1">
      <alignment horizontal="center" vertical="center"/>
    </xf>
    <xf numFmtId="0" fontId="27" fillId="11" borderId="1" xfId="0" applyFont="1" applyFill="1" applyBorder="1" applyAlignment="1">
      <alignment horizontal="left" vertical="center"/>
    </xf>
    <xf numFmtId="0" fontId="27" fillId="11" borderId="1" xfId="6" applyNumberFormat="1" applyFont="1" applyFill="1" applyBorder="1" applyAlignment="1">
      <alignment horizontal="center" vertical="center"/>
    </xf>
    <xf numFmtId="165" fontId="27" fillId="11" borderId="1" xfId="0" applyNumberFormat="1" applyFont="1" applyFill="1" applyBorder="1" applyAlignment="1">
      <alignment horizontal="center" vertical="center"/>
    </xf>
    <xf numFmtId="165" fontId="27" fillId="11" borderId="1" xfId="0" applyNumberFormat="1" applyFont="1" applyFill="1" applyBorder="1" applyAlignment="1">
      <alignment horizontal="left" vertical="center"/>
    </xf>
    <xf numFmtId="14" fontId="27" fillId="11" borderId="1" xfId="0" applyNumberFormat="1" applyFont="1" applyFill="1" applyBorder="1" applyAlignment="1">
      <alignment horizontal="center" vertical="center"/>
    </xf>
    <xf numFmtId="2" fontId="27" fillId="11" borderId="1" xfId="0" applyNumberFormat="1" applyFont="1" applyFill="1" applyBorder="1" applyAlignment="1">
      <alignment horizontal="center" vertical="center"/>
    </xf>
    <xf numFmtId="0" fontId="27" fillId="11" borderId="1" xfId="6" applyFont="1" applyFill="1" applyBorder="1" applyAlignment="1">
      <alignment horizontal="center" vertical="center"/>
    </xf>
    <xf numFmtId="0" fontId="27" fillId="11" borderId="1" xfId="6" applyFont="1" applyFill="1" applyBorder="1" applyAlignment="1">
      <alignment horizontal="left" vertical="center"/>
    </xf>
    <xf numFmtId="167" fontId="27" fillId="11" borderId="1" xfId="6" applyNumberFormat="1" applyFont="1" applyFill="1" applyBorder="1" applyAlignment="1">
      <alignment horizontal="center" vertical="center"/>
    </xf>
    <xf numFmtId="14" fontId="27" fillId="11" borderId="1" xfId="6" applyNumberFormat="1" applyFont="1" applyFill="1" applyBorder="1" applyAlignment="1">
      <alignment horizontal="center" vertical="center"/>
    </xf>
    <xf numFmtId="0" fontId="27" fillId="11" borderId="1" xfId="6" applyFont="1" applyFill="1" applyBorder="1" applyAlignment="1">
      <alignment horizontal="center" vertical="center" wrapText="1"/>
    </xf>
    <xf numFmtId="0" fontId="27" fillId="11" borderId="1" xfId="0" applyFont="1" applyFill="1" applyBorder="1" applyAlignment="1">
      <alignment horizontal="center"/>
    </xf>
    <xf numFmtId="0" fontId="27" fillId="11" borderId="33" xfId="6" applyFont="1" applyFill="1" applyBorder="1" applyAlignment="1">
      <alignment horizontal="center" vertical="center"/>
    </xf>
    <xf numFmtId="0" fontId="27" fillId="11" borderId="33" xfId="6" applyFont="1" applyFill="1" applyBorder="1" applyAlignment="1">
      <alignment horizontal="left" vertical="center"/>
    </xf>
    <xf numFmtId="165" fontId="27" fillId="11" borderId="33" xfId="6" applyNumberFormat="1" applyFont="1" applyFill="1" applyBorder="1" applyAlignment="1">
      <alignment horizontal="left" vertical="center"/>
    </xf>
    <xf numFmtId="167" fontId="27" fillId="11" borderId="33" xfId="6" applyNumberFormat="1" applyFont="1" applyFill="1" applyBorder="1" applyAlignment="1">
      <alignment horizontal="center" vertical="center"/>
    </xf>
    <xf numFmtId="14" fontId="27" fillId="11" borderId="33" xfId="6" applyNumberFormat="1" applyFont="1" applyFill="1" applyBorder="1" applyAlignment="1">
      <alignment horizontal="center" vertical="center"/>
    </xf>
    <xf numFmtId="0" fontId="27" fillId="11" borderId="33" xfId="6" applyFont="1" applyFill="1" applyBorder="1" applyAlignment="1">
      <alignment horizontal="center" vertical="center" wrapText="1"/>
    </xf>
    <xf numFmtId="0" fontId="27" fillId="11" borderId="33" xfId="0" applyFont="1" applyFill="1" applyBorder="1" applyAlignment="1">
      <alignment horizontal="center"/>
    </xf>
    <xf numFmtId="165" fontId="27" fillId="11" borderId="1" xfId="6" applyNumberFormat="1" applyFont="1" applyFill="1" applyBorder="1" applyAlignment="1">
      <alignment horizontal="center" vertical="center"/>
    </xf>
    <xf numFmtId="0" fontId="27" fillId="11" borderId="1" xfId="0" applyFont="1" applyFill="1" applyBorder="1" applyAlignment="1">
      <alignment horizontal="center" vertical="center" wrapText="1"/>
    </xf>
    <xf numFmtId="165" fontId="27" fillId="11" borderId="33" xfId="6" applyNumberFormat="1" applyFont="1" applyFill="1" applyBorder="1" applyAlignment="1">
      <alignment horizontal="center" vertical="center"/>
    </xf>
    <xf numFmtId="0" fontId="27" fillId="11" borderId="33" xfId="0" applyFont="1" applyFill="1" applyBorder="1" applyAlignment="1">
      <alignment horizontal="center" vertical="center" wrapText="1"/>
    </xf>
    <xf numFmtId="0" fontId="27" fillId="11" borderId="1" xfId="0" applyNumberFormat="1" applyFont="1" applyFill="1" applyBorder="1" applyAlignment="1">
      <alignment horizontal="center" vertical="center"/>
    </xf>
    <xf numFmtId="168" fontId="27" fillId="11" borderId="1" xfId="0" applyNumberFormat="1" applyFont="1" applyFill="1" applyBorder="1" applyAlignment="1">
      <alignment horizontal="center" vertical="center"/>
    </xf>
    <xf numFmtId="0" fontId="30" fillId="11" borderId="1" xfId="0" applyFont="1" applyFill="1" applyBorder="1" applyAlignment="1">
      <alignment horizontal="center"/>
    </xf>
    <xf numFmtId="0" fontId="30" fillId="11" borderId="1" xfId="0" applyFont="1" applyFill="1" applyBorder="1" applyAlignment="1">
      <alignment horizontal="left" wrapText="1"/>
    </xf>
    <xf numFmtId="0" fontId="30" fillId="11" borderId="1" xfId="0" applyFont="1" applyFill="1" applyBorder="1" applyAlignment="1">
      <alignment horizontal="left"/>
    </xf>
    <xf numFmtId="168" fontId="31" fillId="11" borderId="1" xfId="0" applyNumberFormat="1" applyFont="1" applyFill="1" applyBorder="1" applyAlignment="1">
      <alignment horizontal="center" vertical="center"/>
    </xf>
    <xf numFmtId="165" fontId="27" fillId="11" borderId="51" xfId="0" applyNumberFormat="1" applyFont="1" applyFill="1" applyBorder="1" applyAlignment="1">
      <alignment horizontal="left" vertical="center"/>
    </xf>
    <xf numFmtId="14" fontId="27" fillId="11" borderId="1" xfId="6" applyNumberFormat="1" applyFont="1" applyFill="1" applyBorder="1" applyAlignment="1">
      <alignment horizontal="left" vertical="center"/>
    </xf>
    <xf numFmtId="0" fontId="32" fillId="0" borderId="0" xfId="0" applyFont="1" applyFill="1" applyBorder="1" applyAlignment="1">
      <alignment vertical="center"/>
    </xf>
    <xf numFmtId="0" fontId="27" fillId="0" borderId="1" xfId="0" applyFont="1" applyFill="1" applyBorder="1" applyAlignment="1">
      <alignment vertical="center"/>
    </xf>
    <xf numFmtId="0" fontId="33" fillId="0" borderId="1" xfId="0" applyFont="1" applyFill="1" applyBorder="1" applyAlignment="1">
      <alignment vertical="center"/>
    </xf>
    <xf numFmtId="0" fontId="34" fillId="0" borderId="1" xfId="0" applyFont="1" applyFill="1" applyBorder="1" applyAlignment="1">
      <alignment horizontal="center" vertical="center"/>
    </xf>
    <xf numFmtId="0" fontId="27" fillId="11" borderId="0" xfId="0" applyFont="1" applyFill="1" applyBorder="1" applyAlignment="1">
      <alignment horizontal="left" vertical="center"/>
    </xf>
    <xf numFmtId="0" fontId="27" fillId="11" borderId="0" xfId="0" applyFont="1" applyFill="1" applyBorder="1" applyAlignment="1">
      <alignment horizontal="center" vertical="center"/>
    </xf>
    <xf numFmtId="0" fontId="27" fillId="11" borderId="1" xfId="0" applyFont="1" applyFill="1" applyBorder="1" applyAlignment="1">
      <alignment vertical="center"/>
    </xf>
    <xf numFmtId="0" fontId="0" fillId="0" borderId="47" xfId="0" applyBorder="1"/>
    <xf numFmtId="9" fontId="0" fillId="0" borderId="0" xfId="3" applyFont="1" applyAlignment="1"/>
    <xf numFmtId="0" fontId="8" fillId="0" borderId="3" xfId="0" applyFont="1" applyBorder="1" applyAlignment="1">
      <alignment horizontal="left" vertical="center"/>
    </xf>
    <xf numFmtId="1" fontId="12" fillId="0" borderId="0" xfId="0" applyNumberFormat="1" applyFont="1" applyAlignment="1">
      <alignment horizontal="center"/>
    </xf>
    <xf numFmtId="1" fontId="13" fillId="0" borderId="0" xfId="0" applyNumberFormat="1" applyFont="1" applyAlignment="1">
      <alignment horizontal="center"/>
    </xf>
    <xf numFmtId="1" fontId="12" fillId="0" borderId="0" xfId="0" applyNumberFormat="1" applyFont="1"/>
    <xf numFmtId="0" fontId="26" fillId="0" borderId="0" xfId="0" applyFont="1"/>
    <xf numFmtId="0" fontId="5" fillId="0" borderId="0" xfId="0" applyFont="1"/>
    <xf numFmtId="22" fontId="2" fillId="0" borderId="0" xfId="0" applyNumberFormat="1" applyFont="1"/>
    <xf numFmtId="0" fontId="0" fillId="0" borderId="52" xfId="0" applyBorder="1"/>
    <xf numFmtId="0" fontId="2" fillId="0" borderId="0" xfId="0" applyFont="1" applyBorder="1"/>
    <xf numFmtId="0" fontId="2" fillId="0" borderId="52" xfId="0" applyFont="1" applyBorder="1"/>
    <xf numFmtId="14" fontId="2" fillId="0" borderId="0" xfId="0" applyNumberFormat="1" applyFont="1" applyBorder="1"/>
    <xf numFmtId="14" fontId="2" fillId="0" borderId="52" xfId="0" applyNumberFormat="1" applyFont="1" applyBorder="1"/>
    <xf numFmtId="22" fontId="10" fillId="0" borderId="0" xfId="0" applyNumberFormat="1" applyFont="1" applyAlignment="1">
      <alignment horizontal="center"/>
    </xf>
    <xf numFmtId="0" fontId="0" fillId="0" borderId="53" xfId="0" applyBorder="1"/>
    <xf numFmtId="0" fontId="2" fillId="0" borderId="53" xfId="0" applyFont="1" applyBorder="1"/>
    <xf numFmtId="14" fontId="2" fillId="0" borderId="53" xfId="0" applyNumberFormat="1" applyFont="1" applyBorder="1"/>
    <xf numFmtId="0" fontId="14" fillId="3" borderId="4" xfId="0" applyFont="1" applyFill="1" applyBorder="1" applyAlignment="1">
      <alignment horizontal="right" vertical="center"/>
    </xf>
    <xf numFmtId="0" fontId="25" fillId="5" borderId="0" xfId="0" applyFont="1" applyFill="1" applyBorder="1" applyAlignment="1">
      <alignment horizontal="center"/>
    </xf>
    <xf numFmtId="0" fontId="8" fillId="0" borderId="8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0" fontId="0" fillId="5" borderId="25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0" fontId="0" fillId="0" borderId="43" xfId="0" applyBorder="1" applyAlignment="1">
      <alignment horizontal="center"/>
    </xf>
    <xf numFmtId="0" fontId="24" fillId="0" borderId="43" xfId="0" applyFont="1" applyBorder="1" applyAlignment="1">
      <alignment horizontal="left" wrapText="1"/>
    </xf>
    <xf numFmtId="1" fontId="13" fillId="0" borderId="0" xfId="0" applyNumberFormat="1" applyFont="1" applyFill="1" applyBorder="1" applyAlignment="1"/>
  </cellXfs>
  <cellStyles count="7">
    <cellStyle name="Normal" xfId="0" builtinId="0"/>
    <cellStyle name="Normal 2" xfId="1"/>
    <cellStyle name="Normal 3" xfId="2"/>
    <cellStyle name="Normal 5" xfId="6"/>
    <cellStyle name="Normal 8" xfId="4"/>
    <cellStyle name="Normal 8 3" xfId="5"/>
    <cellStyle name="Percent" xfId="3" builtinId="5"/>
  </cellStyles>
  <dxfs count="10">
    <dxf>
      <font>
        <color rgb="FF9C0006"/>
      </font>
      <fill>
        <patternFill>
          <bgColor rgb="FFFFC7CE"/>
        </patternFill>
      </fill>
    </dxf>
    <dxf>
      <font>
        <color rgb="FF003300"/>
      </font>
      <fill>
        <patternFill>
          <bgColor rgb="FFCCFFCC"/>
        </patternFill>
      </fill>
    </dxf>
    <dxf>
      <font>
        <color theme="4" tint="-0.499984740745262"/>
      </font>
      <fill>
        <patternFill>
          <bgColor theme="9" tint="0.79998168889431442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9D9D9"/>
          <bgColor rgb="FFD9D9D9"/>
        </patternFill>
      </fill>
    </dxf>
    <dxf>
      <font>
        <b/>
        <color rgb="FFFFFFFF"/>
      </font>
      <fill>
        <patternFill patternType="solid">
          <fgColor rgb="FF4C5A6A"/>
          <bgColor rgb="FF4C5A6A"/>
        </patternFill>
      </fill>
    </dxf>
    <dxf>
      <font>
        <b/>
        <color rgb="FFFFFFFF"/>
      </font>
      <fill>
        <patternFill patternType="solid">
          <fgColor rgb="FF4C5A6A"/>
          <bgColor rgb="FF4C5A6A"/>
        </patternFill>
      </fill>
    </dxf>
    <dxf>
      <border>
        <top style="double">
          <color rgb="FF292934"/>
        </top>
      </border>
    </dxf>
    <dxf>
      <font>
        <b/>
        <color rgb="FFFFFFFF"/>
      </font>
      <fill>
        <patternFill patternType="solid">
          <fgColor rgb="FF4C5A6A"/>
          <bgColor rgb="FF4C5A6A"/>
        </patternFill>
      </fill>
      <border>
        <bottom style="medium">
          <color rgb="FF292934"/>
        </bottom>
      </border>
    </dxf>
    <dxf>
      <font>
        <color rgb="FF292934"/>
      </font>
      <border>
        <top style="medium">
          <color rgb="FF292934"/>
        </top>
        <bottom style="medium">
          <color rgb="FF292934"/>
        </bottom>
      </border>
    </dxf>
  </dxfs>
  <tableStyles count="1" defaultTableStyle="TableStyleMedium9" defaultPivotStyle="PivotStyleLight16">
    <tableStyle name="TableStyleMedium19 2" pivot="0" count="7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firstColumnStripe" dxfId="3"/>
    </tableStyle>
  </tableStyles>
  <colors>
    <mruColors>
      <color rgb="FFCB540B"/>
      <color rgb="FFECF1F8"/>
      <color rgb="FFFA6500"/>
      <color rgb="FF098DE7"/>
      <color rgb="FFFFC69F"/>
      <color rgb="FFFFAF79"/>
      <color rgb="FFFF3300"/>
      <color rgb="FF126C21"/>
      <color rgb="FF7BE187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6.xml"/><Relationship Id="rId1" Type="http://schemas.openxmlformats.org/officeDocument/2006/relationships/themeOverride" Target="../theme/themeOverride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2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Reporting!$C$97</c:f>
          <c:strCache>
            <c:ptCount val="1"/>
            <c:pt idx="0">
              <c:v>Nationalization Overview August 2005</c:v>
            </c:pt>
          </c:strCache>
        </c:strRef>
      </c:tx>
      <c:layout>
        <c:manualLayout>
          <c:xMode val="edge"/>
          <c:yMode val="edge"/>
          <c:x val="0.3246037440580779"/>
          <c:y val="7.0998075240594927E-2"/>
        </c:manualLayout>
      </c:layout>
      <c:overlay val="1"/>
      <c:txPr>
        <a:bodyPr/>
        <a:lstStyle/>
        <a:p>
          <a:pPr>
            <a:defRPr sz="1600" u="sng">
              <a:solidFill>
                <a:schemeClr val="tx2">
                  <a:lumMod val="75000"/>
                </a:schemeClr>
              </a:solidFill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3552975806394338E-2"/>
          <c:y val="0.14322659667541557"/>
          <c:w val="0.89914153109040229"/>
          <c:h val="0.61010089267006351"/>
        </c:manualLayout>
      </c:layout>
      <c:barChart>
        <c:barDir val="bar"/>
        <c:grouping val="percentStacked"/>
        <c:varyColors val="0"/>
        <c:ser>
          <c:idx val="0"/>
          <c:order val="0"/>
          <c:spPr>
            <a:noFill/>
          </c:spPr>
          <c:invertIfNegative val="0"/>
          <c:cat>
            <c:strRef>
              <c:f>Reporting!$C$100:$C$114</c:f>
              <c:strCache>
                <c:ptCount val="15"/>
                <c:pt idx="0">
                  <c:v>YTD ABC Corporate (Only)</c:v>
                </c:pt>
                <c:pt idx="1">
                  <c:v>YTD ABC Corporate (Incl. Outsourced)</c:v>
                </c:pt>
                <c:pt idx="2">
                  <c:v>Corporate Management Group</c:v>
                </c:pt>
                <c:pt idx="3">
                  <c:v>Strategy Office</c:v>
                </c:pt>
                <c:pt idx="4">
                  <c:v>Marketing Office</c:v>
                </c:pt>
                <c:pt idx="5">
                  <c:v>Company Law Office</c:v>
                </c:pt>
                <c:pt idx="6">
                  <c:v>Tele Communication Office</c:v>
                </c:pt>
                <c:pt idx="7">
                  <c:v>Training Department</c:v>
                </c:pt>
                <c:pt idx="8">
                  <c:v>Human Capital Development Office</c:v>
                </c:pt>
                <c:pt idx="9">
                  <c:v>Sales Department</c:v>
                </c:pt>
                <c:pt idx="10">
                  <c:v>Operational Risk Department</c:v>
                </c:pt>
                <c:pt idx="11">
                  <c:v>Finance Department</c:v>
                </c:pt>
                <c:pt idx="12">
                  <c:v>Operations Department</c:v>
                </c:pt>
                <c:pt idx="13">
                  <c:v>Risk Management</c:v>
                </c:pt>
                <c:pt idx="14">
                  <c:v>Financial Planning Department</c:v>
                </c:pt>
              </c:strCache>
            </c:strRef>
          </c:cat>
          <c:val>
            <c:numRef>
              <c:f>Reporting!$D$100:$D$114</c:f>
              <c:numCache>
                <c:formatCode>0.000</c:formatCode>
                <c:ptCount val="15"/>
                <c:pt idx="0">
                  <c:v>0.38532110091743121</c:v>
                </c:pt>
                <c:pt idx="1">
                  <c:v>0.49433962264150944</c:v>
                </c:pt>
                <c:pt idx="2">
                  <c:v>0.38383838383838387</c:v>
                </c:pt>
                <c:pt idx="3">
                  <c:v>0.41666666666666663</c:v>
                </c:pt>
                <c:pt idx="4">
                  <c:v>0.5</c:v>
                </c:pt>
                <c:pt idx="5">
                  <c:v>0.83333333333333337</c:v>
                </c:pt>
                <c:pt idx="6">
                  <c:v>0.4285714285714286</c:v>
                </c:pt>
                <c:pt idx="7">
                  <c:v>0.44999999999999996</c:v>
                </c:pt>
                <c:pt idx="8">
                  <c:v>0.4</c:v>
                </c:pt>
                <c:pt idx="9">
                  <c:v>0.5</c:v>
                </c:pt>
                <c:pt idx="10">
                  <c:v>1</c:v>
                </c:pt>
                <c:pt idx="11">
                  <c:v>0.44444444444444442</c:v>
                </c:pt>
                <c:pt idx="12">
                  <c:v>0.61111111111111116</c:v>
                </c:pt>
                <c:pt idx="13">
                  <c:v>0.73333333333333339</c:v>
                </c:pt>
                <c:pt idx="14">
                  <c:v>0.6</c:v>
                </c:pt>
              </c:numCache>
            </c:numRef>
          </c:val>
        </c:ser>
        <c:ser>
          <c:idx val="1"/>
          <c:order val="1"/>
          <c:spPr>
            <a:solidFill>
              <a:srgbClr val="00B0F0"/>
            </a:solidFill>
            <a:ln w="12700">
              <a:solidFill>
                <a:srgbClr val="00B0F0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CC"/>
              </a:solidFill>
              <a:ln w="12700">
                <a:solidFill>
                  <a:srgbClr val="FFFFCC"/>
                </a:solidFill>
              </a:ln>
            </c:spPr>
          </c:dPt>
          <c:dPt>
            <c:idx val="1"/>
            <c:invertIfNegative val="0"/>
            <c:bubble3D val="0"/>
            <c:spPr>
              <a:solidFill>
                <a:srgbClr val="FFFFCC"/>
              </a:solidFill>
              <a:ln w="12700">
                <a:solidFill>
                  <a:srgbClr val="FFFFCC"/>
                </a:solidFill>
              </a:ln>
            </c:spPr>
          </c:dPt>
          <c:dLbls>
            <c:dLbl>
              <c:idx val="0"/>
              <c:numFmt formatCode="0.0%" sourceLinked="0"/>
              <c:spPr/>
              <c:txPr>
                <a:bodyPr/>
                <a:lstStyle/>
                <a:p>
                  <a:pPr>
                    <a:defRPr sz="1000" b="1">
                      <a:solidFill>
                        <a:schemeClr val="tx2">
                          <a:lumMod val="75000"/>
                        </a:schemeClr>
                      </a:solidFill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en-U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numFmt formatCode="0.0%" sourceLinked="0"/>
              <c:spPr/>
              <c:txPr>
                <a:bodyPr/>
                <a:lstStyle/>
                <a:p>
                  <a:pPr>
                    <a:defRPr sz="1000" b="1">
                      <a:solidFill>
                        <a:schemeClr val="tx2">
                          <a:lumMod val="75000"/>
                        </a:schemeClr>
                      </a:solidFill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en-U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.0%" sourceLinked="0"/>
            <c:txPr>
              <a:bodyPr/>
              <a:lstStyle/>
              <a:p>
                <a:pPr>
                  <a:defRPr sz="1000" b="1">
                    <a:solidFill>
                      <a:schemeClr val="bg1"/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Reporting!$C$100:$C$114</c:f>
              <c:strCache>
                <c:ptCount val="15"/>
                <c:pt idx="0">
                  <c:v>YTD ABC Corporate (Only)</c:v>
                </c:pt>
                <c:pt idx="1">
                  <c:v>YTD ABC Corporate (Incl. Outsourced)</c:v>
                </c:pt>
                <c:pt idx="2">
                  <c:v>Corporate Management Group</c:v>
                </c:pt>
                <c:pt idx="3">
                  <c:v>Strategy Office</c:v>
                </c:pt>
                <c:pt idx="4">
                  <c:v>Marketing Office</c:v>
                </c:pt>
                <c:pt idx="5">
                  <c:v>Company Law Office</c:v>
                </c:pt>
                <c:pt idx="6">
                  <c:v>Tele Communication Office</c:v>
                </c:pt>
                <c:pt idx="7">
                  <c:v>Training Department</c:v>
                </c:pt>
                <c:pt idx="8">
                  <c:v>Human Capital Development Office</c:v>
                </c:pt>
                <c:pt idx="9">
                  <c:v>Sales Department</c:v>
                </c:pt>
                <c:pt idx="10">
                  <c:v>Operational Risk Department</c:v>
                </c:pt>
                <c:pt idx="11">
                  <c:v>Finance Department</c:v>
                </c:pt>
                <c:pt idx="12">
                  <c:v>Operations Department</c:v>
                </c:pt>
                <c:pt idx="13">
                  <c:v>Risk Management</c:v>
                </c:pt>
                <c:pt idx="14">
                  <c:v>Financial Planning Department</c:v>
                </c:pt>
              </c:strCache>
            </c:strRef>
          </c:cat>
          <c:val>
            <c:numRef>
              <c:f>Reporting!$E$100:$E$114</c:f>
              <c:numCache>
                <c:formatCode>0.000</c:formatCode>
                <c:ptCount val="15"/>
                <c:pt idx="0">
                  <c:v>0.61467889908256879</c:v>
                </c:pt>
                <c:pt idx="1">
                  <c:v>0.50566037735849056</c:v>
                </c:pt>
                <c:pt idx="2">
                  <c:v>0.61616161616161613</c:v>
                </c:pt>
                <c:pt idx="3">
                  <c:v>0.58333333333333337</c:v>
                </c:pt>
                <c:pt idx="4">
                  <c:v>0.5</c:v>
                </c:pt>
                <c:pt idx="5">
                  <c:v>0.16666666666666666</c:v>
                </c:pt>
                <c:pt idx="6">
                  <c:v>0.5714285714285714</c:v>
                </c:pt>
                <c:pt idx="7">
                  <c:v>0.55000000000000004</c:v>
                </c:pt>
                <c:pt idx="8">
                  <c:v>0.6</c:v>
                </c:pt>
                <c:pt idx="9">
                  <c:v>0.5</c:v>
                </c:pt>
                <c:pt idx="10">
                  <c:v>0</c:v>
                </c:pt>
                <c:pt idx="11">
                  <c:v>0.55555555555555558</c:v>
                </c:pt>
                <c:pt idx="12">
                  <c:v>0.3888888888888889</c:v>
                </c:pt>
                <c:pt idx="13">
                  <c:v>0.26666666666666666</c:v>
                </c:pt>
                <c:pt idx="14">
                  <c:v>0.4</c:v>
                </c:pt>
              </c:numCache>
            </c:numRef>
          </c:val>
        </c:ser>
        <c:ser>
          <c:idx val="6"/>
          <c:order val="6"/>
          <c:spPr>
            <a:noFill/>
            <a:ln w="12700">
              <a:solidFill>
                <a:srgbClr val="7BE187"/>
              </a:solidFill>
            </a:ln>
          </c:spPr>
          <c:invertIfNegative val="0"/>
          <c:dLbls>
            <c:dLbl>
              <c:idx val="0"/>
              <c:layout>
                <c:manualLayout>
                  <c:x val="-2.0387742508992117E-3"/>
                  <c:y val="6.1267341582302217E-4"/>
                </c:manualLayout>
              </c:layout>
              <c:spPr>
                <a:ln w="12700">
                  <a:noFill/>
                </a:ln>
              </c:spPr>
              <c:txPr>
                <a:bodyPr anchor="ctr" anchorCtr="0"/>
                <a:lstStyle/>
                <a:p>
                  <a:pPr>
                    <a:defRPr sz="900" b="1">
                      <a:solidFill>
                        <a:schemeClr val="tx2">
                          <a:lumMod val="75000"/>
                        </a:schemeClr>
                      </a:solidFill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"/>
              <c:spPr>
                <a:ln w="12700">
                  <a:noFill/>
                </a:ln>
              </c:spPr>
              <c:txPr>
                <a:bodyPr anchor="ctr" anchorCtr="0"/>
                <a:lstStyle/>
                <a:p>
                  <a:pPr>
                    <a:defRPr sz="900" b="1">
                      <a:solidFill>
                        <a:schemeClr val="tx2">
                          <a:lumMod val="75000"/>
                        </a:schemeClr>
                      </a:solidFill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spPr>
              <a:ln w="12700">
                <a:noFill/>
              </a:ln>
            </c:spPr>
            <c:txPr>
              <a:bodyPr anchor="ctr" anchorCtr="0"/>
              <a:lstStyle/>
              <a:p>
                <a:pPr>
                  <a:defRPr sz="800" b="1">
                    <a:solidFill>
                      <a:schemeClr val="tx2">
                        <a:lumMod val="75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</c:dLbls>
          <c:cat>
            <c:strRef>
              <c:f>Reporting!$C$100:$C$114</c:f>
              <c:strCache>
                <c:ptCount val="15"/>
                <c:pt idx="0">
                  <c:v>YTD ABC Corporate (Only)</c:v>
                </c:pt>
                <c:pt idx="1">
                  <c:v>YTD ABC Corporate (Incl. Outsourced)</c:v>
                </c:pt>
                <c:pt idx="2">
                  <c:v>Corporate Management Group</c:v>
                </c:pt>
                <c:pt idx="3">
                  <c:v>Strategy Office</c:v>
                </c:pt>
                <c:pt idx="4">
                  <c:v>Marketing Office</c:v>
                </c:pt>
                <c:pt idx="5">
                  <c:v>Company Law Office</c:v>
                </c:pt>
                <c:pt idx="6">
                  <c:v>Tele Communication Office</c:v>
                </c:pt>
                <c:pt idx="7">
                  <c:v>Training Department</c:v>
                </c:pt>
                <c:pt idx="8">
                  <c:v>Human Capital Development Office</c:v>
                </c:pt>
                <c:pt idx="9">
                  <c:v>Sales Department</c:v>
                </c:pt>
                <c:pt idx="10">
                  <c:v>Operational Risk Department</c:v>
                </c:pt>
                <c:pt idx="11">
                  <c:v>Finance Department</c:v>
                </c:pt>
                <c:pt idx="12">
                  <c:v>Operations Department</c:v>
                </c:pt>
                <c:pt idx="13">
                  <c:v>Risk Management</c:v>
                </c:pt>
                <c:pt idx="14">
                  <c:v>Financial Planning Department</c:v>
                </c:pt>
              </c:strCache>
            </c:strRef>
          </c:cat>
          <c:val>
            <c:numRef>
              <c:f>Reporting!$J$100:$J$114</c:f>
              <c:numCache>
                <c:formatCode>General</c:formatCode>
                <c:ptCount val="15"/>
                <c:pt idx="0">
                  <c:v>0.65</c:v>
                </c:pt>
                <c:pt idx="1">
                  <c:v>0.65</c:v>
                </c:pt>
                <c:pt idx="2">
                  <c:v>0.65</c:v>
                </c:pt>
                <c:pt idx="3">
                  <c:v>0.65</c:v>
                </c:pt>
                <c:pt idx="4">
                  <c:v>0.65</c:v>
                </c:pt>
                <c:pt idx="5">
                  <c:v>0.65</c:v>
                </c:pt>
                <c:pt idx="6">
                  <c:v>0.65</c:v>
                </c:pt>
                <c:pt idx="7">
                  <c:v>0.65</c:v>
                </c:pt>
                <c:pt idx="8">
                  <c:v>0.65</c:v>
                </c:pt>
                <c:pt idx="9">
                  <c:v>0.65</c:v>
                </c:pt>
                <c:pt idx="10">
                  <c:v>0.65</c:v>
                </c:pt>
                <c:pt idx="11">
                  <c:v>0.65</c:v>
                </c:pt>
                <c:pt idx="12">
                  <c:v>0.65</c:v>
                </c:pt>
                <c:pt idx="13">
                  <c:v>0.65</c:v>
                </c:pt>
                <c:pt idx="14">
                  <c:v>0.65</c:v>
                </c:pt>
              </c:numCache>
            </c:numRef>
          </c:val>
        </c:ser>
        <c:ser>
          <c:idx val="7"/>
          <c:order val="7"/>
          <c:spPr>
            <a:solidFill>
              <a:srgbClr val="FA6500"/>
            </a:solidFill>
            <a:ln w="12700">
              <a:solidFill>
                <a:srgbClr val="FA6500"/>
              </a:solidFill>
            </a:ln>
          </c:spPr>
          <c:invertIfNegative val="0"/>
          <c:dLbls>
            <c:numFmt formatCode="0.0%" sourceLinked="0"/>
            <c:txPr>
              <a:bodyPr/>
              <a:lstStyle/>
              <a:p>
                <a:pPr>
                  <a:defRPr sz="1000" b="1">
                    <a:solidFill>
                      <a:schemeClr val="bg1"/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Reporting!$C$100:$C$114</c:f>
              <c:strCache>
                <c:ptCount val="15"/>
                <c:pt idx="0">
                  <c:v>YTD ABC Corporate (Only)</c:v>
                </c:pt>
                <c:pt idx="1">
                  <c:v>YTD ABC Corporate (Incl. Outsourced)</c:v>
                </c:pt>
                <c:pt idx="2">
                  <c:v>Corporate Management Group</c:v>
                </c:pt>
                <c:pt idx="3">
                  <c:v>Strategy Office</c:v>
                </c:pt>
                <c:pt idx="4">
                  <c:v>Marketing Office</c:v>
                </c:pt>
                <c:pt idx="5">
                  <c:v>Company Law Office</c:v>
                </c:pt>
                <c:pt idx="6">
                  <c:v>Tele Communication Office</c:v>
                </c:pt>
                <c:pt idx="7">
                  <c:v>Training Department</c:v>
                </c:pt>
                <c:pt idx="8">
                  <c:v>Human Capital Development Office</c:v>
                </c:pt>
                <c:pt idx="9">
                  <c:v>Sales Department</c:v>
                </c:pt>
                <c:pt idx="10">
                  <c:v>Operational Risk Department</c:v>
                </c:pt>
                <c:pt idx="11">
                  <c:v>Finance Department</c:v>
                </c:pt>
                <c:pt idx="12">
                  <c:v>Operations Department</c:v>
                </c:pt>
                <c:pt idx="13">
                  <c:v>Risk Management</c:v>
                </c:pt>
                <c:pt idx="14">
                  <c:v>Financial Planning Department</c:v>
                </c:pt>
              </c:strCache>
            </c:strRef>
          </c:cat>
          <c:val>
            <c:numRef>
              <c:f>Reporting!$K$100:$K$114</c:f>
              <c:numCache>
                <c:formatCode>0.000</c:formatCode>
                <c:ptCount val="15"/>
                <c:pt idx="0">
                  <c:v>0.38532110091743121</c:v>
                </c:pt>
                <c:pt idx="1">
                  <c:v>0.49433962264150944</c:v>
                </c:pt>
                <c:pt idx="2">
                  <c:v>0.38383838383838387</c:v>
                </c:pt>
                <c:pt idx="3">
                  <c:v>0.41666666666666663</c:v>
                </c:pt>
                <c:pt idx="4">
                  <c:v>0.5</c:v>
                </c:pt>
                <c:pt idx="5">
                  <c:v>0.83333333333333337</c:v>
                </c:pt>
                <c:pt idx="6">
                  <c:v>0.4285714285714286</c:v>
                </c:pt>
                <c:pt idx="7">
                  <c:v>0.44999999999999996</c:v>
                </c:pt>
                <c:pt idx="8">
                  <c:v>0.4</c:v>
                </c:pt>
                <c:pt idx="9">
                  <c:v>0.5</c:v>
                </c:pt>
                <c:pt idx="10">
                  <c:v>1</c:v>
                </c:pt>
                <c:pt idx="11">
                  <c:v>0.44444444444444442</c:v>
                </c:pt>
                <c:pt idx="12">
                  <c:v>0.61111111111111116</c:v>
                </c:pt>
                <c:pt idx="13">
                  <c:v>0.73333333333333339</c:v>
                </c:pt>
                <c:pt idx="14">
                  <c:v>0.6</c:v>
                </c:pt>
              </c:numCache>
            </c:numRef>
          </c:val>
        </c:ser>
        <c:ser>
          <c:idx val="8"/>
          <c:order val="8"/>
          <c:spPr>
            <a:noFill/>
            <a:ln>
              <a:noFill/>
            </a:ln>
          </c:spPr>
          <c:invertIfNegative val="0"/>
          <c:cat>
            <c:strRef>
              <c:f>Reporting!$C$100:$C$114</c:f>
              <c:strCache>
                <c:ptCount val="15"/>
                <c:pt idx="0">
                  <c:v>YTD ABC Corporate (Only)</c:v>
                </c:pt>
                <c:pt idx="1">
                  <c:v>YTD ABC Corporate (Incl. Outsourced)</c:v>
                </c:pt>
                <c:pt idx="2">
                  <c:v>Corporate Management Group</c:v>
                </c:pt>
                <c:pt idx="3">
                  <c:v>Strategy Office</c:v>
                </c:pt>
                <c:pt idx="4">
                  <c:v>Marketing Office</c:v>
                </c:pt>
                <c:pt idx="5">
                  <c:v>Company Law Office</c:v>
                </c:pt>
                <c:pt idx="6">
                  <c:v>Tele Communication Office</c:v>
                </c:pt>
                <c:pt idx="7">
                  <c:v>Training Department</c:v>
                </c:pt>
                <c:pt idx="8">
                  <c:v>Human Capital Development Office</c:v>
                </c:pt>
                <c:pt idx="9">
                  <c:v>Sales Department</c:v>
                </c:pt>
                <c:pt idx="10">
                  <c:v>Operational Risk Department</c:v>
                </c:pt>
                <c:pt idx="11">
                  <c:v>Finance Department</c:v>
                </c:pt>
                <c:pt idx="12">
                  <c:v>Operations Department</c:v>
                </c:pt>
                <c:pt idx="13">
                  <c:v>Risk Management</c:v>
                </c:pt>
                <c:pt idx="14">
                  <c:v>Financial Planning Department</c:v>
                </c:pt>
              </c:strCache>
            </c:strRef>
          </c:cat>
          <c:val>
            <c:numRef>
              <c:f>Reporting!$L$100:$L$114</c:f>
              <c:numCache>
                <c:formatCode>0.000</c:formatCode>
                <c:ptCount val="15"/>
                <c:pt idx="0">
                  <c:v>0.61467889908256879</c:v>
                </c:pt>
                <c:pt idx="1">
                  <c:v>0.50566037735849056</c:v>
                </c:pt>
                <c:pt idx="2">
                  <c:v>0.61616161616161613</c:v>
                </c:pt>
                <c:pt idx="3">
                  <c:v>0.58333333333333337</c:v>
                </c:pt>
                <c:pt idx="4">
                  <c:v>0.5</c:v>
                </c:pt>
                <c:pt idx="5">
                  <c:v>0.16666666666666663</c:v>
                </c:pt>
                <c:pt idx="6">
                  <c:v>0.5714285714285714</c:v>
                </c:pt>
                <c:pt idx="7">
                  <c:v>0.55000000000000004</c:v>
                </c:pt>
                <c:pt idx="8">
                  <c:v>0.6</c:v>
                </c:pt>
                <c:pt idx="9">
                  <c:v>0.5</c:v>
                </c:pt>
                <c:pt idx="10">
                  <c:v>0</c:v>
                </c:pt>
                <c:pt idx="11">
                  <c:v>0.55555555555555558</c:v>
                </c:pt>
                <c:pt idx="12">
                  <c:v>0.38888888888888884</c:v>
                </c:pt>
                <c:pt idx="13">
                  <c:v>0.26666666666666661</c:v>
                </c:pt>
                <c:pt idx="14">
                  <c:v>0.4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"/>
        <c:overlap val="100"/>
        <c:axId val="444394496"/>
        <c:axId val="320784064"/>
      </c:barChart>
      <c:barChart>
        <c:barDir val="bar"/>
        <c:grouping val="percentStacked"/>
        <c:varyColors val="0"/>
        <c:ser>
          <c:idx val="2"/>
          <c:order val="2"/>
          <c:spPr>
            <a:noFill/>
          </c:spPr>
          <c:invertIfNegative val="0"/>
          <c:cat>
            <c:strRef>
              <c:f>Reporting!$C$100:$C$114</c:f>
              <c:strCache>
                <c:ptCount val="15"/>
                <c:pt idx="0">
                  <c:v>YTD ABC Corporate (Only)</c:v>
                </c:pt>
                <c:pt idx="1">
                  <c:v>YTD ABC Corporate (Incl. Outsourced)</c:v>
                </c:pt>
                <c:pt idx="2">
                  <c:v>Corporate Management Group</c:v>
                </c:pt>
                <c:pt idx="3">
                  <c:v>Strategy Office</c:v>
                </c:pt>
                <c:pt idx="4">
                  <c:v>Marketing Office</c:v>
                </c:pt>
                <c:pt idx="5">
                  <c:v>Company Law Office</c:v>
                </c:pt>
                <c:pt idx="6">
                  <c:v>Tele Communication Office</c:v>
                </c:pt>
                <c:pt idx="7">
                  <c:v>Training Department</c:v>
                </c:pt>
                <c:pt idx="8">
                  <c:v>Human Capital Development Office</c:v>
                </c:pt>
                <c:pt idx="9">
                  <c:v>Sales Department</c:v>
                </c:pt>
                <c:pt idx="10">
                  <c:v>Operational Risk Department</c:v>
                </c:pt>
                <c:pt idx="11">
                  <c:v>Finance Department</c:v>
                </c:pt>
                <c:pt idx="12">
                  <c:v>Operations Department</c:v>
                </c:pt>
                <c:pt idx="13">
                  <c:v>Risk Management</c:v>
                </c:pt>
                <c:pt idx="14">
                  <c:v>Financial Planning Department</c:v>
                </c:pt>
              </c:strCache>
            </c:strRef>
          </c:cat>
          <c:val>
            <c:numRef>
              <c:f>Reporting!$F$100:$F$114</c:f>
              <c:numCache>
                <c:formatCode>General</c:formatCode>
                <c:ptCount val="15"/>
                <c:pt idx="0">
                  <c:v>0.36</c:v>
                </c:pt>
                <c:pt idx="1">
                  <c:v>0.36</c:v>
                </c:pt>
                <c:pt idx="2">
                  <c:v>0.36</c:v>
                </c:pt>
                <c:pt idx="3">
                  <c:v>0.36</c:v>
                </c:pt>
                <c:pt idx="4">
                  <c:v>0.36</c:v>
                </c:pt>
                <c:pt idx="5">
                  <c:v>0.36</c:v>
                </c:pt>
                <c:pt idx="6">
                  <c:v>0.36</c:v>
                </c:pt>
                <c:pt idx="7">
                  <c:v>0.36</c:v>
                </c:pt>
                <c:pt idx="8">
                  <c:v>0.36</c:v>
                </c:pt>
                <c:pt idx="9">
                  <c:v>0.36</c:v>
                </c:pt>
                <c:pt idx="10">
                  <c:v>0.36</c:v>
                </c:pt>
                <c:pt idx="11">
                  <c:v>0.36</c:v>
                </c:pt>
                <c:pt idx="12">
                  <c:v>0.36</c:v>
                </c:pt>
                <c:pt idx="13">
                  <c:v>0.36</c:v>
                </c:pt>
                <c:pt idx="14">
                  <c:v>0.36</c:v>
                </c:pt>
              </c:numCache>
            </c:numRef>
          </c:val>
        </c:ser>
        <c:ser>
          <c:idx val="3"/>
          <c:order val="3"/>
          <c:spPr>
            <a:solidFill>
              <a:srgbClr val="00B050"/>
            </a:solidFill>
          </c:spPr>
          <c:invertIfNegative val="0"/>
          <c:cat>
            <c:strRef>
              <c:f>Reporting!$C$100:$C$114</c:f>
              <c:strCache>
                <c:ptCount val="15"/>
                <c:pt idx="0">
                  <c:v>YTD ABC Corporate (Only)</c:v>
                </c:pt>
                <c:pt idx="1">
                  <c:v>YTD ABC Corporate (Incl. Outsourced)</c:v>
                </c:pt>
                <c:pt idx="2">
                  <c:v>Corporate Management Group</c:v>
                </c:pt>
                <c:pt idx="3">
                  <c:v>Strategy Office</c:v>
                </c:pt>
                <c:pt idx="4">
                  <c:v>Marketing Office</c:v>
                </c:pt>
                <c:pt idx="5">
                  <c:v>Company Law Office</c:v>
                </c:pt>
                <c:pt idx="6">
                  <c:v>Tele Communication Office</c:v>
                </c:pt>
                <c:pt idx="7">
                  <c:v>Training Department</c:v>
                </c:pt>
                <c:pt idx="8">
                  <c:v>Human Capital Development Office</c:v>
                </c:pt>
                <c:pt idx="9">
                  <c:v>Sales Department</c:v>
                </c:pt>
                <c:pt idx="10">
                  <c:v>Operational Risk Department</c:v>
                </c:pt>
                <c:pt idx="11">
                  <c:v>Finance Department</c:v>
                </c:pt>
                <c:pt idx="12">
                  <c:v>Operations Department</c:v>
                </c:pt>
                <c:pt idx="13">
                  <c:v>Risk Management</c:v>
                </c:pt>
                <c:pt idx="14">
                  <c:v>Financial Planning Department</c:v>
                </c:pt>
              </c:strCache>
            </c:strRef>
          </c:cat>
          <c:val>
            <c:numRef>
              <c:f>Reporting!$G$100:$G$114</c:f>
              <c:numCache>
                <c:formatCode>0.000</c:formatCode>
                <c:ptCount val="15"/>
                <c:pt idx="0">
                  <c:v>3.0000000000000001E-3</c:v>
                </c:pt>
                <c:pt idx="1">
                  <c:v>3.0000000000000001E-3</c:v>
                </c:pt>
                <c:pt idx="2">
                  <c:v>3.0000000000000001E-3</c:v>
                </c:pt>
                <c:pt idx="3">
                  <c:v>3.0000000000000001E-3</c:v>
                </c:pt>
                <c:pt idx="4">
                  <c:v>3.0000000000000001E-3</c:v>
                </c:pt>
                <c:pt idx="5">
                  <c:v>3.0000000000000001E-3</c:v>
                </c:pt>
                <c:pt idx="6">
                  <c:v>3.0000000000000001E-3</c:v>
                </c:pt>
                <c:pt idx="7">
                  <c:v>3.0000000000000001E-3</c:v>
                </c:pt>
                <c:pt idx="8">
                  <c:v>3.0000000000000001E-3</c:v>
                </c:pt>
                <c:pt idx="9">
                  <c:v>3.0000000000000001E-3</c:v>
                </c:pt>
                <c:pt idx="10">
                  <c:v>3.0000000000000001E-3</c:v>
                </c:pt>
                <c:pt idx="11">
                  <c:v>3.0000000000000001E-3</c:v>
                </c:pt>
                <c:pt idx="12">
                  <c:v>3.0000000000000001E-3</c:v>
                </c:pt>
                <c:pt idx="13">
                  <c:v>3.0000000000000001E-3</c:v>
                </c:pt>
                <c:pt idx="14">
                  <c:v>3.0000000000000001E-3</c:v>
                </c:pt>
              </c:numCache>
            </c:numRef>
          </c:val>
        </c:ser>
        <c:ser>
          <c:idx val="4"/>
          <c:order val="4"/>
          <c:spPr>
            <a:noFill/>
          </c:spPr>
          <c:invertIfNegative val="0"/>
          <c:cat>
            <c:strRef>
              <c:f>Reporting!$C$100:$C$114</c:f>
              <c:strCache>
                <c:ptCount val="15"/>
                <c:pt idx="0">
                  <c:v>YTD ABC Corporate (Only)</c:v>
                </c:pt>
                <c:pt idx="1">
                  <c:v>YTD ABC Corporate (Incl. Outsourced)</c:v>
                </c:pt>
                <c:pt idx="2">
                  <c:v>Corporate Management Group</c:v>
                </c:pt>
                <c:pt idx="3">
                  <c:v>Strategy Office</c:v>
                </c:pt>
                <c:pt idx="4">
                  <c:v>Marketing Office</c:v>
                </c:pt>
                <c:pt idx="5">
                  <c:v>Company Law Office</c:v>
                </c:pt>
                <c:pt idx="6">
                  <c:v>Tele Communication Office</c:v>
                </c:pt>
                <c:pt idx="7">
                  <c:v>Training Department</c:v>
                </c:pt>
                <c:pt idx="8">
                  <c:v>Human Capital Development Office</c:v>
                </c:pt>
                <c:pt idx="9">
                  <c:v>Sales Department</c:v>
                </c:pt>
                <c:pt idx="10">
                  <c:v>Operational Risk Department</c:v>
                </c:pt>
                <c:pt idx="11">
                  <c:v>Finance Department</c:v>
                </c:pt>
                <c:pt idx="12">
                  <c:v>Operations Department</c:v>
                </c:pt>
                <c:pt idx="13">
                  <c:v>Risk Management</c:v>
                </c:pt>
                <c:pt idx="14">
                  <c:v>Financial Planning Department</c:v>
                </c:pt>
              </c:strCache>
            </c:strRef>
          </c:cat>
          <c:val>
            <c:numRef>
              <c:f>Reporting!$H$100:$H$114</c:f>
              <c:numCache>
                <c:formatCode>0.000</c:formatCode>
                <c:ptCount val="15"/>
                <c:pt idx="0">
                  <c:v>0.63699840000000008</c:v>
                </c:pt>
                <c:pt idx="1">
                  <c:v>0.63699840000000008</c:v>
                </c:pt>
                <c:pt idx="2">
                  <c:v>0.63699840000000008</c:v>
                </c:pt>
                <c:pt idx="3">
                  <c:v>0.63699840000000008</c:v>
                </c:pt>
                <c:pt idx="4">
                  <c:v>0.63699840000000008</c:v>
                </c:pt>
                <c:pt idx="5">
                  <c:v>0.63699840000000008</c:v>
                </c:pt>
                <c:pt idx="6">
                  <c:v>0.63699840000000008</c:v>
                </c:pt>
                <c:pt idx="7">
                  <c:v>0.63699840000000008</c:v>
                </c:pt>
                <c:pt idx="8">
                  <c:v>0.63699840000000008</c:v>
                </c:pt>
                <c:pt idx="9">
                  <c:v>0.63699840000000008</c:v>
                </c:pt>
                <c:pt idx="10">
                  <c:v>0.63699840000000008</c:v>
                </c:pt>
                <c:pt idx="11">
                  <c:v>0.63699840000000008</c:v>
                </c:pt>
                <c:pt idx="12">
                  <c:v>0.63699840000000008</c:v>
                </c:pt>
                <c:pt idx="13">
                  <c:v>0.63699840000000008</c:v>
                </c:pt>
                <c:pt idx="14">
                  <c:v>0.63699840000000008</c:v>
                </c:pt>
              </c:numCache>
            </c:numRef>
          </c:val>
        </c:ser>
        <c:ser>
          <c:idx val="5"/>
          <c:order val="5"/>
          <c:spPr>
            <a:noFill/>
          </c:spPr>
          <c:invertIfNegative val="0"/>
          <c:cat>
            <c:strRef>
              <c:f>Reporting!$C$100:$C$114</c:f>
              <c:strCache>
                <c:ptCount val="15"/>
                <c:pt idx="0">
                  <c:v>YTD ABC Corporate (Only)</c:v>
                </c:pt>
                <c:pt idx="1">
                  <c:v>YTD ABC Corporate (Incl. Outsourced)</c:v>
                </c:pt>
                <c:pt idx="2">
                  <c:v>Corporate Management Group</c:v>
                </c:pt>
                <c:pt idx="3">
                  <c:v>Strategy Office</c:v>
                </c:pt>
                <c:pt idx="4">
                  <c:v>Marketing Office</c:v>
                </c:pt>
                <c:pt idx="5">
                  <c:v>Company Law Office</c:v>
                </c:pt>
                <c:pt idx="6">
                  <c:v>Tele Communication Office</c:v>
                </c:pt>
                <c:pt idx="7">
                  <c:v>Training Department</c:v>
                </c:pt>
                <c:pt idx="8">
                  <c:v>Human Capital Development Office</c:v>
                </c:pt>
                <c:pt idx="9">
                  <c:v>Sales Department</c:v>
                </c:pt>
                <c:pt idx="10">
                  <c:v>Operational Risk Department</c:v>
                </c:pt>
                <c:pt idx="11">
                  <c:v>Finance Department</c:v>
                </c:pt>
                <c:pt idx="12">
                  <c:v>Operations Department</c:v>
                </c:pt>
                <c:pt idx="13">
                  <c:v>Risk Management</c:v>
                </c:pt>
                <c:pt idx="14">
                  <c:v>Financial Planning Department</c:v>
                </c:pt>
              </c:strCache>
            </c:strRef>
          </c:cat>
          <c:val>
            <c:numRef>
              <c:f>Reporting!$I$100:$I$114</c:f>
              <c:numCache>
                <c:formatCode>General</c:formatCode>
                <c:ptCount val="15"/>
                <c:pt idx="0">
                  <c:v>1.65</c:v>
                </c:pt>
                <c:pt idx="1">
                  <c:v>1.65</c:v>
                </c:pt>
                <c:pt idx="2">
                  <c:v>1.65</c:v>
                </c:pt>
                <c:pt idx="3">
                  <c:v>1.65</c:v>
                </c:pt>
                <c:pt idx="4">
                  <c:v>1.65</c:v>
                </c:pt>
                <c:pt idx="5">
                  <c:v>1.65</c:v>
                </c:pt>
                <c:pt idx="6">
                  <c:v>1.65</c:v>
                </c:pt>
                <c:pt idx="7">
                  <c:v>1.65</c:v>
                </c:pt>
                <c:pt idx="8">
                  <c:v>1.65</c:v>
                </c:pt>
                <c:pt idx="9">
                  <c:v>1.65</c:v>
                </c:pt>
                <c:pt idx="10">
                  <c:v>1.65</c:v>
                </c:pt>
                <c:pt idx="11">
                  <c:v>1.65</c:v>
                </c:pt>
                <c:pt idx="12">
                  <c:v>1.65</c:v>
                </c:pt>
                <c:pt idx="13">
                  <c:v>1.65</c:v>
                </c:pt>
                <c:pt idx="14">
                  <c:v>1.65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44391936"/>
        <c:axId val="320784640"/>
      </c:barChart>
      <c:catAx>
        <c:axId val="444394496"/>
        <c:scaling>
          <c:orientation val="minMax"/>
        </c:scaling>
        <c:delete val="1"/>
        <c:axPos val="l"/>
        <c:majorTickMark val="out"/>
        <c:minorTickMark val="none"/>
        <c:tickLblPos val="nextTo"/>
        <c:crossAx val="320784064"/>
        <c:crosses val="autoZero"/>
        <c:auto val="1"/>
        <c:lblAlgn val="ctr"/>
        <c:lblOffset val="100"/>
        <c:noMultiLvlLbl val="0"/>
      </c:catAx>
      <c:valAx>
        <c:axId val="320784064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extTo"/>
        <c:crossAx val="444394496"/>
        <c:crosses val="autoZero"/>
        <c:crossBetween val="between"/>
      </c:valAx>
      <c:valAx>
        <c:axId val="320784640"/>
        <c:scaling>
          <c:orientation val="minMax"/>
        </c:scaling>
        <c:delete val="1"/>
        <c:axPos val="t"/>
        <c:numFmt formatCode="0%" sourceLinked="1"/>
        <c:majorTickMark val="out"/>
        <c:minorTickMark val="none"/>
        <c:tickLblPos val="nextTo"/>
        <c:crossAx val="444391936"/>
        <c:crosses val="max"/>
        <c:crossBetween val="between"/>
      </c:valAx>
      <c:catAx>
        <c:axId val="444391936"/>
        <c:scaling>
          <c:orientation val="minMax"/>
        </c:scaling>
        <c:delete val="1"/>
        <c:axPos val="l"/>
        <c:majorTickMark val="out"/>
        <c:minorTickMark val="none"/>
        <c:tickLblPos val="nextTo"/>
        <c:crossAx val="320784640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Reporting!$C$116</c:f>
          <c:strCache>
            <c:ptCount val="1"/>
            <c:pt idx="0">
              <c:v>Headcount Budget per Group</c:v>
            </c:pt>
          </c:strCache>
        </c:strRef>
      </c:tx>
      <c:layout>
        <c:manualLayout>
          <c:xMode val="edge"/>
          <c:yMode val="edge"/>
          <c:x val="0.35977482911137915"/>
          <c:y val="2.6755852842809364E-2"/>
        </c:manualLayout>
      </c:layout>
      <c:overlay val="0"/>
      <c:txPr>
        <a:bodyPr/>
        <a:lstStyle/>
        <a:p>
          <a:pPr>
            <a:defRPr sz="1600">
              <a:solidFill>
                <a:schemeClr val="tx2">
                  <a:lumMod val="75000"/>
                </a:schemeClr>
              </a:solidFill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6396378542569818"/>
          <c:y val="0.10818318278777025"/>
          <c:w val="0.56698209914771891"/>
          <c:h val="0.66716093072635585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Reporting!$D$117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 w="12700">
              <a:solidFill>
                <a:schemeClr val="tx2">
                  <a:lumMod val="75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CC"/>
              </a:solidFill>
              <a:ln w="12700">
                <a:solidFill>
                  <a:schemeClr val="tx2">
                    <a:lumMod val="75000"/>
                  </a:schemeClr>
                </a:solidFill>
              </a:ln>
            </c:spPr>
          </c:dPt>
          <c:dLbls>
            <c:txPr>
              <a:bodyPr/>
              <a:lstStyle/>
              <a:p>
                <a:pPr>
                  <a:defRPr b="1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Reporting!$C$118:$C$136</c:f>
              <c:strCache>
                <c:ptCount val="19"/>
                <c:pt idx="0">
                  <c:v>Total</c:v>
                </c:pt>
                <c:pt idx="1">
                  <c:v>Corporate Management Group</c:v>
                </c:pt>
                <c:pt idx="2">
                  <c:v>Strategy Office</c:v>
                </c:pt>
                <c:pt idx="3">
                  <c:v>Marketing Office</c:v>
                </c:pt>
                <c:pt idx="4">
                  <c:v>Company Law Office</c:v>
                </c:pt>
                <c:pt idx="5">
                  <c:v>Tele Communication Office</c:v>
                </c:pt>
                <c:pt idx="6">
                  <c:v>Training Department</c:v>
                </c:pt>
                <c:pt idx="7">
                  <c:v>Human Capital Development Office</c:v>
                </c:pt>
                <c:pt idx="8">
                  <c:v>Sales Department</c:v>
                </c:pt>
                <c:pt idx="9">
                  <c:v>Operational Risk Department</c:v>
                </c:pt>
                <c:pt idx="10">
                  <c:v>Finance Department</c:v>
                </c:pt>
                <c:pt idx="11">
                  <c:v>Operations Department</c:v>
                </c:pt>
                <c:pt idx="12">
                  <c:v>Risk Management</c:v>
                </c:pt>
                <c:pt idx="13">
                  <c:v>Financial Planning Department</c:v>
                </c:pt>
                <c:pt idx="14">
                  <c:v>Sales Strategy Department</c:v>
                </c:pt>
                <c:pt idx="15">
                  <c:v>Marketing Strategy Department</c:v>
                </c:pt>
                <c:pt idx="16">
                  <c:v>Technology Department</c:v>
                </c:pt>
                <c:pt idx="17">
                  <c:v>Legal Department</c:v>
                </c:pt>
                <c:pt idx="18">
                  <c:v>Sales Execution Department</c:v>
                </c:pt>
              </c:strCache>
            </c:strRef>
          </c:cat>
          <c:val>
            <c:numRef>
              <c:f>Reporting!$D$118:$D$136</c:f>
              <c:numCache>
                <c:formatCode>General</c:formatCode>
                <c:ptCount val="19"/>
                <c:pt idx="0">
                  <c:v>503</c:v>
                </c:pt>
                <c:pt idx="1">
                  <c:v>100</c:v>
                </c:pt>
                <c:pt idx="2">
                  <c:v>12</c:v>
                </c:pt>
                <c:pt idx="3">
                  <c:v>10</c:v>
                </c:pt>
                <c:pt idx="4">
                  <c:v>6</c:v>
                </c:pt>
                <c:pt idx="5">
                  <c:v>7</c:v>
                </c:pt>
                <c:pt idx="6">
                  <c:v>20</c:v>
                </c:pt>
                <c:pt idx="7">
                  <c:v>5</c:v>
                </c:pt>
                <c:pt idx="8">
                  <c:v>16</c:v>
                </c:pt>
                <c:pt idx="9">
                  <c:v>5</c:v>
                </c:pt>
                <c:pt idx="10">
                  <c:v>27</c:v>
                </c:pt>
                <c:pt idx="11">
                  <c:v>18</c:v>
                </c:pt>
                <c:pt idx="12">
                  <c:v>30</c:v>
                </c:pt>
                <c:pt idx="13">
                  <c:v>10</c:v>
                </c:pt>
                <c:pt idx="14">
                  <c:v>26</c:v>
                </c:pt>
                <c:pt idx="15">
                  <c:v>11</c:v>
                </c:pt>
                <c:pt idx="16">
                  <c:v>45</c:v>
                </c:pt>
                <c:pt idx="17">
                  <c:v>19</c:v>
                </c:pt>
                <c:pt idx="18">
                  <c:v>136</c:v>
                </c:pt>
              </c:numCache>
            </c:numRef>
          </c:val>
        </c:ser>
        <c:ser>
          <c:idx val="1"/>
          <c:order val="1"/>
          <c:tx>
            <c:strRef>
              <c:f>Reporting!$E$117</c:f>
              <c:strCache>
                <c:ptCount val="1"/>
                <c:pt idx="0">
                  <c:v>Vacant</c:v>
                </c:pt>
              </c:strCache>
            </c:strRef>
          </c:tx>
          <c:spPr>
            <a:noFill/>
            <a:ln w="12700">
              <a:solidFill>
                <a:schemeClr val="tx2">
                  <a:lumMod val="75000"/>
                </a:schemeClr>
              </a:solidFill>
            </a:ln>
          </c:spPr>
          <c:invertIfNegative val="0"/>
          <c:dLbls>
            <c:dLbl>
              <c:idx val="0"/>
              <c:layout>
                <c:manualLayout>
                  <c:x val="-1.4197502768801299E-2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7625625009164494E-2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layout>
                <c:manualLayout>
                  <c:x val="-1.7625625009164494E-2"/>
                  <c:y val="-4.2809390653937629E-1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Reporting!$C$118:$C$136</c:f>
              <c:strCache>
                <c:ptCount val="19"/>
                <c:pt idx="0">
                  <c:v>Total</c:v>
                </c:pt>
                <c:pt idx="1">
                  <c:v>Corporate Management Group</c:v>
                </c:pt>
                <c:pt idx="2">
                  <c:v>Strategy Office</c:v>
                </c:pt>
                <c:pt idx="3">
                  <c:v>Marketing Office</c:v>
                </c:pt>
                <c:pt idx="4">
                  <c:v>Company Law Office</c:v>
                </c:pt>
                <c:pt idx="5">
                  <c:v>Tele Communication Office</c:v>
                </c:pt>
                <c:pt idx="6">
                  <c:v>Training Department</c:v>
                </c:pt>
                <c:pt idx="7">
                  <c:v>Human Capital Development Office</c:v>
                </c:pt>
                <c:pt idx="8">
                  <c:v>Sales Department</c:v>
                </c:pt>
                <c:pt idx="9">
                  <c:v>Operational Risk Department</c:v>
                </c:pt>
                <c:pt idx="10">
                  <c:v>Finance Department</c:v>
                </c:pt>
                <c:pt idx="11">
                  <c:v>Operations Department</c:v>
                </c:pt>
                <c:pt idx="12">
                  <c:v>Risk Management</c:v>
                </c:pt>
                <c:pt idx="13">
                  <c:v>Financial Planning Department</c:v>
                </c:pt>
                <c:pt idx="14">
                  <c:v>Sales Strategy Department</c:v>
                </c:pt>
                <c:pt idx="15">
                  <c:v>Marketing Strategy Department</c:v>
                </c:pt>
                <c:pt idx="16">
                  <c:v>Technology Department</c:v>
                </c:pt>
                <c:pt idx="17">
                  <c:v>Legal Department</c:v>
                </c:pt>
                <c:pt idx="18">
                  <c:v>Sales Execution Department</c:v>
                </c:pt>
              </c:strCache>
            </c:strRef>
          </c:cat>
          <c:val>
            <c:numRef>
              <c:f>Reporting!$E$118:$E$136</c:f>
              <c:numCache>
                <c:formatCode>General</c:formatCode>
                <c:ptCount val="19"/>
                <c:pt idx="0">
                  <c:v>58</c:v>
                </c:pt>
                <c:pt idx="1">
                  <c:v>7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8</c:v>
                </c:pt>
                <c:pt idx="8">
                  <c:v>3</c:v>
                </c:pt>
                <c:pt idx="9">
                  <c:v>3</c:v>
                </c:pt>
                <c:pt idx="10">
                  <c:v>4</c:v>
                </c:pt>
                <c:pt idx="11">
                  <c:v>2</c:v>
                </c:pt>
                <c:pt idx="12">
                  <c:v>0</c:v>
                </c:pt>
                <c:pt idx="13">
                  <c:v>4</c:v>
                </c:pt>
                <c:pt idx="14">
                  <c:v>0</c:v>
                </c:pt>
                <c:pt idx="15">
                  <c:v>9</c:v>
                </c:pt>
                <c:pt idx="16">
                  <c:v>0</c:v>
                </c:pt>
                <c:pt idx="17">
                  <c:v>2</c:v>
                </c:pt>
                <c:pt idx="18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444407808"/>
        <c:axId val="350440256"/>
      </c:barChart>
      <c:barChart>
        <c:barDir val="bar"/>
        <c:grouping val="percentStacked"/>
        <c:varyColors val="0"/>
        <c:ser>
          <c:idx val="2"/>
          <c:order val="2"/>
          <c:tx>
            <c:strRef>
              <c:f>Reporting!$F$117</c:f>
              <c:strCache>
                <c:ptCount val="1"/>
                <c:pt idx="0">
                  <c:v>Budgeted</c:v>
                </c:pt>
              </c:strCache>
            </c:strRef>
          </c:tx>
          <c:spPr>
            <a:noFill/>
            <a:ln w="19050">
              <a:solidFill>
                <a:srgbClr val="FA6500"/>
              </a:solidFill>
            </a:ln>
          </c:spPr>
          <c:invertIfNegative val="0"/>
          <c:dLbls>
            <c:dLbl>
              <c:idx val="0"/>
              <c:layout>
                <c:manualLayout>
                  <c:x val="0.30105563394171114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.30056221062254834"/>
                  <c:y val="-4.9019607843137254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0.29836751304963283"/>
                  <c:y val="-8.9868242880141127E-1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.29836751304963283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.29467457017311038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0.29317644283228628"/>
                  <c:y val="-8.9868242880141127E-1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.29686938570880889"/>
                  <c:y val="-8.9868242880141127E-1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.29836751304963283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0.29467457017311038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0.29537125836798478"/>
                  <c:y val="-8.9868242880141127E-1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layout>
                <c:manualLayout>
                  <c:x val="0.29686938570880889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layout>
                <c:manualLayout>
                  <c:x val="0.29836751304963283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"/>
              <c:layout>
                <c:manualLayout>
                  <c:x val="0.29686938570880889"/>
                  <c:y val="4.4934121440070564E-1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layout>
                <c:manualLayout>
                  <c:x val="0.29467457017311038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"/>
              <c:layout>
                <c:manualLayout>
                  <c:x val="0.29686938570880889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"/>
              <c:layout>
                <c:manualLayout>
                  <c:x val="0.29686938570880889"/>
                  <c:y val="-2.2467060720035282E-1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"/>
              <c:layout>
                <c:manualLayout>
                  <c:x val="0.30056221062254834"/>
                  <c:y val="-2.2467060720035282E-1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"/>
              <c:layout>
                <c:manualLayout>
                  <c:x val="0.29537125836798478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"/>
              <c:layout>
                <c:manualLayout>
                  <c:x val="0.29906408328172462"/>
                  <c:y val="-5.6167651800088204E-18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Reporting!$C$118:$C$136</c:f>
              <c:strCache>
                <c:ptCount val="19"/>
                <c:pt idx="0">
                  <c:v>Total</c:v>
                </c:pt>
                <c:pt idx="1">
                  <c:v>Corporate Management Group</c:v>
                </c:pt>
                <c:pt idx="2">
                  <c:v>Strategy Office</c:v>
                </c:pt>
                <c:pt idx="3">
                  <c:v>Marketing Office</c:v>
                </c:pt>
                <c:pt idx="4">
                  <c:v>Company Law Office</c:v>
                </c:pt>
                <c:pt idx="5">
                  <c:v>Tele Communication Office</c:v>
                </c:pt>
                <c:pt idx="6">
                  <c:v>Training Department</c:v>
                </c:pt>
                <c:pt idx="7">
                  <c:v>Human Capital Development Office</c:v>
                </c:pt>
                <c:pt idx="8">
                  <c:v>Sales Department</c:v>
                </c:pt>
                <c:pt idx="9">
                  <c:v>Operational Risk Department</c:v>
                </c:pt>
                <c:pt idx="10">
                  <c:v>Finance Department</c:v>
                </c:pt>
                <c:pt idx="11">
                  <c:v>Operations Department</c:v>
                </c:pt>
                <c:pt idx="12">
                  <c:v>Risk Management</c:v>
                </c:pt>
                <c:pt idx="13">
                  <c:v>Financial Planning Department</c:v>
                </c:pt>
                <c:pt idx="14">
                  <c:v>Sales Strategy Department</c:v>
                </c:pt>
                <c:pt idx="15">
                  <c:v>Marketing Strategy Department</c:v>
                </c:pt>
                <c:pt idx="16">
                  <c:v>Technology Department</c:v>
                </c:pt>
                <c:pt idx="17">
                  <c:v>Legal Department</c:v>
                </c:pt>
                <c:pt idx="18">
                  <c:v>Sales Execution Department</c:v>
                </c:pt>
              </c:strCache>
            </c:strRef>
          </c:cat>
          <c:val>
            <c:numRef>
              <c:f>Reporting!$F$118:$F$136</c:f>
              <c:numCache>
                <c:formatCode>General</c:formatCode>
                <c:ptCount val="19"/>
                <c:pt idx="0">
                  <c:v>561</c:v>
                </c:pt>
                <c:pt idx="1">
                  <c:v>107</c:v>
                </c:pt>
                <c:pt idx="2">
                  <c:v>15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20</c:v>
                </c:pt>
                <c:pt idx="7">
                  <c:v>13</c:v>
                </c:pt>
                <c:pt idx="8">
                  <c:v>19</c:v>
                </c:pt>
                <c:pt idx="9">
                  <c:v>8</c:v>
                </c:pt>
                <c:pt idx="10">
                  <c:v>31</c:v>
                </c:pt>
                <c:pt idx="11">
                  <c:v>20</c:v>
                </c:pt>
                <c:pt idx="12">
                  <c:v>30</c:v>
                </c:pt>
                <c:pt idx="13">
                  <c:v>14</c:v>
                </c:pt>
                <c:pt idx="14">
                  <c:v>26</c:v>
                </c:pt>
                <c:pt idx="15">
                  <c:v>20</c:v>
                </c:pt>
                <c:pt idx="16">
                  <c:v>45</c:v>
                </c:pt>
                <c:pt idx="17">
                  <c:v>21</c:v>
                </c:pt>
                <c:pt idx="18">
                  <c:v>146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444411904"/>
        <c:axId val="350440832"/>
      </c:barChart>
      <c:valAx>
        <c:axId val="350440256"/>
        <c:scaling>
          <c:orientation val="minMax"/>
        </c:scaling>
        <c:delete val="1"/>
        <c:axPos val="t"/>
        <c:numFmt formatCode="0%" sourceLinked="1"/>
        <c:majorTickMark val="out"/>
        <c:minorTickMark val="none"/>
        <c:tickLblPos val="nextTo"/>
        <c:crossAx val="444407808"/>
        <c:crosses val="max"/>
        <c:crossBetween val="between"/>
      </c:valAx>
      <c:catAx>
        <c:axId val="444407808"/>
        <c:scaling>
          <c:orientation val="minMax"/>
        </c:scaling>
        <c:delete val="0"/>
        <c:axPos val="l"/>
        <c:majorTickMark val="none"/>
        <c:minorTickMark val="none"/>
        <c:tickLblPos val="nextTo"/>
        <c:spPr>
          <a:ln w="19050">
            <a:solidFill>
              <a:srgbClr val="FF3300"/>
            </a:solidFill>
          </a:ln>
        </c:spPr>
        <c:txPr>
          <a:bodyPr/>
          <a:lstStyle/>
          <a:p>
            <a:pPr>
              <a:defRPr b="1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350440256"/>
        <c:crosses val="autoZero"/>
        <c:auto val="1"/>
        <c:lblAlgn val="ctr"/>
        <c:lblOffset val="100"/>
        <c:noMultiLvlLbl val="0"/>
      </c:catAx>
      <c:valAx>
        <c:axId val="350440832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extTo"/>
        <c:crossAx val="444411904"/>
        <c:crosses val="autoZero"/>
        <c:crossBetween val="between"/>
      </c:valAx>
      <c:catAx>
        <c:axId val="444411904"/>
        <c:scaling>
          <c:orientation val="minMax"/>
        </c:scaling>
        <c:delete val="1"/>
        <c:axPos val="l"/>
        <c:majorTickMark val="out"/>
        <c:minorTickMark val="none"/>
        <c:tickLblPos val="nextTo"/>
        <c:crossAx val="350440832"/>
        <c:crosses val="autoZero"/>
        <c:auto val="1"/>
        <c:lblAlgn val="ctr"/>
        <c:lblOffset val="100"/>
        <c:noMultiLvlLbl val="0"/>
      </c:catAx>
    </c:plotArea>
    <c:legend>
      <c:legendPos val="b"/>
      <c:layout>
        <c:manualLayout>
          <c:xMode val="edge"/>
          <c:yMode val="edge"/>
          <c:x val="0.36245053807357314"/>
          <c:y val="0.79059718658763156"/>
          <c:w val="0.25359379515762775"/>
          <c:h val="4.5616239459429268E-2"/>
        </c:manualLayout>
      </c:layout>
      <c:overlay val="0"/>
      <c:txPr>
        <a:bodyPr/>
        <a:lstStyle/>
        <a:p>
          <a:pPr>
            <a:defRPr sz="1100" b="1">
              <a:solidFill>
                <a:schemeClr val="tx2">
                  <a:lumMod val="75000"/>
                </a:schemeClr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noFill/>
    <a:ln w="12700">
      <a:noFill/>
      <a:prstDash val="dash"/>
    </a:ln>
  </c:sp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Reporting!$B$28</c:f>
          <c:strCache>
            <c:ptCount val="1"/>
            <c:pt idx="0">
              <c:v>Active Positions by Source</c:v>
            </c:pt>
          </c:strCache>
        </c:strRef>
      </c:tx>
      <c:layout>
        <c:manualLayout>
          <c:xMode val="edge"/>
          <c:yMode val="edge"/>
          <c:x val="0.35785216906366241"/>
          <c:y val="2.4790043211108361E-2"/>
        </c:manualLayout>
      </c:layout>
      <c:overlay val="1"/>
      <c:txPr>
        <a:bodyPr/>
        <a:lstStyle/>
        <a:p>
          <a:pPr>
            <a:defRPr sz="1600" b="1" u="sng">
              <a:solidFill>
                <a:schemeClr val="tx2">
                  <a:lumMod val="75000"/>
                </a:schemeClr>
              </a:solidFill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336320221118858"/>
          <c:y val="0.12824532526654508"/>
          <c:w val="0.31358996577492659"/>
          <c:h val="0.83221943410919785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ysClr val="window" lastClr="FFFFFF">
                  <a:lumMod val="85000"/>
                </a:sysClr>
              </a:solidFill>
              <a:ln>
                <a:noFill/>
              </a:ln>
            </c:spPr>
          </c:dPt>
          <c:dPt>
            <c:idx val="1"/>
            <c:bubble3D val="0"/>
            <c:spPr>
              <a:solidFill>
                <a:srgbClr val="FA6500"/>
              </a:solidFill>
              <a:ln w="15875">
                <a:noFill/>
              </a:ln>
            </c:spPr>
          </c:dPt>
          <c:dPt>
            <c:idx val="2"/>
            <c:bubble3D val="0"/>
            <c:explosion val="16"/>
            <c:spPr>
              <a:noFill/>
              <a:ln w="12700">
                <a:noFill/>
              </a:ln>
            </c:spPr>
          </c:dPt>
          <c:dPt>
            <c:idx val="3"/>
            <c:bubble3D val="0"/>
            <c:spPr>
              <a:solidFill>
                <a:srgbClr val="FFFF97"/>
              </a:solidFill>
              <a:ln>
                <a:noFill/>
              </a:ln>
            </c:spPr>
          </c:dPt>
          <c:dPt>
            <c:idx val="4"/>
            <c:bubble3D val="0"/>
            <c:spPr>
              <a:solidFill>
                <a:srgbClr val="00B0F0"/>
              </a:solidFill>
              <a:ln>
                <a:noFill/>
              </a:ln>
            </c:spPr>
          </c:dPt>
          <c:dLbls>
            <c:dLbl>
              <c:idx val="1"/>
              <c:layout>
                <c:manualLayout>
                  <c:x val="-5.5555555555555558E-3"/>
                  <c:y val="-1.8412367984814695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467257547580422E-2"/>
                  <c:y val="-8.13523192778473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1100" b="1">
                    <a:solidFill>
                      <a:schemeClr val="tx2">
                        <a:lumMod val="50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</c:dLbls>
          <c:cat>
            <c:strRef>
              <c:f>Reporting!$C$30:$C$34</c:f>
              <c:strCache>
                <c:ptCount val="5"/>
                <c:pt idx="0">
                  <c:v>Agency 21%</c:v>
                </c:pt>
                <c:pt idx="1">
                  <c:v>Walk-in 19%</c:v>
                </c:pt>
                <c:pt idx="2">
                  <c:v>Transfer 21%</c:v>
                </c:pt>
                <c:pt idx="3">
                  <c:v>Job Portal 21%</c:v>
                </c:pt>
                <c:pt idx="4">
                  <c:v>University 18%</c:v>
                </c:pt>
              </c:strCache>
            </c:strRef>
          </c:cat>
          <c:val>
            <c:numRef>
              <c:f>Reporting!$D$30:$D$34</c:f>
              <c:numCache>
                <c:formatCode>General</c:formatCode>
                <c:ptCount val="5"/>
                <c:pt idx="0">
                  <c:v>208</c:v>
                </c:pt>
                <c:pt idx="1">
                  <c:v>186</c:v>
                </c:pt>
                <c:pt idx="2">
                  <c:v>202</c:v>
                </c:pt>
                <c:pt idx="3">
                  <c:v>203</c:v>
                </c:pt>
                <c:pt idx="4">
                  <c:v>173</c:v>
                </c:pt>
              </c:numCache>
            </c:numRef>
          </c:val>
        </c:ser>
        <c:ser>
          <c:idx val="1"/>
          <c:order val="1"/>
          <c:spPr>
            <a:noFill/>
          </c:spPr>
          <c:dPt>
            <c:idx val="2"/>
            <c:bubble3D val="0"/>
            <c:spPr>
              <a:solidFill>
                <a:srgbClr val="7BE187"/>
              </a:solidFill>
              <a:ln w="15875">
                <a:solidFill>
                  <a:srgbClr val="126C21"/>
                </a:solidFill>
              </a:ln>
            </c:spPr>
          </c:dPt>
          <c:dLbls>
            <c:dLbl>
              <c:idx val="0"/>
              <c:layout>
                <c:manualLayout>
                  <c:x val="3.3333333333333333E-2"/>
                  <c:y val="0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2.3839935082435492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0.1034297999182263"/>
                  <c:y val="-6.7612775038634193E-2"/>
                </c:manualLayout>
              </c:layout>
              <c:spPr>
                <a:ln w="15875">
                  <a:noFill/>
                </a:ln>
              </c:spPr>
              <c:txPr>
                <a:bodyPr/>
                <a:lstStyle/>
                <a:p>
                  <a:pPr>
                    <a:defRPr sz="1000" b="1">
                      <a:solidFill>
                        <a:schemeClr val="tx2">
                          <a:lumMod val="75000"/>
                        </a:schemeClr>
                      </a:solidFill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2.0516543619182107E-2"/>
                  <c:y val="7.571966983152492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2.0323771086403146E-2"/>
                  <c:y val="-9.3457943925233638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1000" b="1">
                    <a:solidFill>
                      <a:schemeClr val="tx2">
                        <a:lumMod val="75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</c:dLbls>
          <c:cat>
            <c:strRef>
              <c:f>Reporting!$C$30:$C$34</c:f>
              <c:strCache>
                <c:ptCount val="5"/>
                <c:pt idx="0">
                  <c:v>Agency 21%</c:v>
                </c:pt>
                <c:pt idx="1">
                  <c:v>Walk-in 19%</c:v>
                </c:pt>
                <c:pt idx="2">
                  <c:v>Transfer 21%</c:v>
                </c:pt>
                <c:pt idx="3">
                  <c:v>Job Portal 21%</c:v>
                </c:pt>
                <c:pt idx="4">
                  <c:v>University 18%</c:v>
                </c:pt>
              </c:strCache>
            </c:strRef>
          </c:cat>
          <c:val>
            <c:numRef>
              <c:f>Reporting!$E$30:$E$34</c:f>
              <c:numCache>
                <c:formatCode>0%</c:formatCode>
                <c:ptCount val="5"/>
                <c:pt idx="0">
                  <c:v>0.2139917695473251</c:v>
                </c:pt>
                <c:pt idx="1">
                  <c:v>0.19135802469135801</c:v>
                </c:pt>
                <c:pt idx="2">
                  <c:v>0.20781893004115226</c:v>
                </c:pt>
                <c:pt idx="3">
                  <c:v>0.2088477366255144</c:v>
                </c:pt>
                <c:pt idx="4">
                  <c:v>0.1779835390946502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118"/>
        <c:holeSize val="43"/>
      </c:doughnut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Reporting!$B$45</c:f>
          <c:strCache>
            <c:ptCount val="1"/>
            <c:pt idx="0">
              <c:v>Recruitment by Month</c:v>
            </c:pt>
          </c:strCache>
        </c:strRef>
      </c:tx>
      <c:layout>
        <c:manualLayout>
          <c:xMode val="edge"/>
          <c:yMode val="edge"/>
          <c:x val="0.3224085016354406"/>
          <c:y val="2.7519641115943409E-2"/>
        </c:manualLayout>
      </c:layout>
      <c:overlay val="0"/>
      <c:txPr>
        <a:bodyPr/>
        <a:lstStyle/>
        <a:p>
          <a:pPr>
            <a:defRPr sz="1600" u="sng">
              <a:solidFill>
                <a:schemeClr val="tx2">
                  <a:lumMod val="75000"/>
                </a:schemeClr>
              </a:solidFill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70C0"/>
              </a:solidFill>
            </a:ln>
          </c:spPr>
          <c:marker>
            <c:symbol val="circle"/>
            <c:size val="5"/>
            <c:spPr>
              <a:solidFill>
                <a:srgbClr val="FF6600"/>
              </a:solidFill>
              <a:ln w="12700" cap="rnd">
                <a:solidFill>
                  <a:schemeClr val="accent5">
                    <a:lumMod val="50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3054755043227664E-2"/>
                  <c:y val="-4.166666666666675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3.073967339097022E-2"/>
                  <c:y val="-4.629629629629629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073967339097022E-2"/>
                  <c:y val="-6.481481481481489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8818443804034581E-2"/>
                  <c:y val="-4.629629629629629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1.9212295869356459E-2"/>
                  <c:y val="-5.55555555555555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3.4240253866571764E-2"/>
                  <c:y val="-6.07825097131675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3.3898305084745763E-2"/>
                  <c:y val="-6.69056152927120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1200" b="1">
                    <a:solidFill>
                      <a:schemeClr val="accent5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Reporting!$B$47:$B$54</c:f>
              <c:strCache>
                <c:ptCount val="8"/>
                <c:pt idx="0">
                  <c:v>Jan '17</c:v>
                </c:pt>
                <c:pt idx="1">
                  <c:v>Feb '17</c:v>
                </c:pt>
                <c:pt idx="2">
                  <c:v>Mar '17</c:v>
                </c:pt>
                <c:pt idx="3">
                  <c:v>Apr '17</c:v>
                </c:pt>
                <c:pt idx="4">
                  <c:v>May '17</c:v>
                </c:pt>
                <c:pt idx="5">
                  <c:v>Jun '17</c:v>
                </c:pt>
                <c:pt idx="6">
                  <c:v>Jul '17</c:v>
                </c:pt>
                <c:pt idx="7">
                  <c:v>Aug '17</c:v>
                </c:pt>
              </c:strCache>
            </c:strRef>
          </c:cat>
          <c:val>
            <c:numRef>
              <c:f>Reporting!$C$47:$C$54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415488"/>
        <c:axId val="351978624"/>
      </c:lineChart>
      <c:catAx>
        <c:axId val="444415488"/>
        <c:scaling>
          <c:orientation val="minMax"/>
        </c:scaling>
        <c:delete val="0"/>
        <c:axPos val="b"/>
        <c:majorTickMark val="out"/>
        <c:minorTickMark val="none"/>
        <c:tickLblPos val="low"/>
        <c:spPr>
          <a:ln w="19050" cap="rnd">
            <a:solidFill>
              <a:srgbClr val="FF6600"/>
            </a:solidFill>
          </a:ln>
        </c:spPr>
        <c:txPr>
          <a:bodyPr/>
          <a:lstStyle/>
          <a:p>
            <a:pPr>
              <a:defRPr sz="1200" b="1">
                <a:solidFill>
                  <a:schemeClr val="accent5">
                    <a:lumMod val="50000"/>
                  </a:schemeClr>
                </a:solidFill>
              </a:defRPr>
            </a:pPr>
            <a:endParaRPr lang="en-US"/>
          </a:p>
        </c:txPr>
        <c:crossAx val="351978624"/>
        <c:crosses val="autoZero"/>
        <c:auto val="0"/>
        <c:lblAlgn val="ctr"/>
        <c:lblOffset val="100"/>
        <c:noMultiLvlLbl val="0"/>
      </c:catAx>
      <c:valAx>
        <c:axId val="35197862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44415488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Reporting!$B$62</c:f>
          <c:strCache>
            <c:ptCount val="1"/>
            <c:pt idx="0">
              <c:v>Regretted / Non-Regretted by Month</c:v>
            </c:pt>
          </c:strCache>
        </c:strRef>
      </c:tx>
      <c:layout/>
      <c:overlay val="0"/>
      <c:txPr>
        <a:bodyPr/>
        <a:lstStyle/>
        <a:p>
          <a:pPr>
            <a:defRPr sz="1600" u="sng">
              <a:solidFill>
                <a:schemeClr val="tx2">
                  <a:lumMod val="75000"/>
                </a:schemeClr>
              </a:solidFill>
              <a:latin typeface="+mn-lt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8876018876018877E-2"/>
          <c:y val="0.13094822308756321"/>
          <c:w val="0.96224796224796227"/>
          <c:h val="0.47559440170921213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Reporting!$B$66</c:f>
              <c:strCache>
                <c:ptCount val="1"/>
                <c:pt idx="0">
                  <c:v>Regretted</c:v>
                </c:pt>
              </c:strCache>
            </c:strRef>
          </c:tx>
          <c:spPr>
            <a:solidFill>
              <a:srgbClr val="FA6500"/>
            </a:solidFill>
          </c:spPr>
          <c:invertIfNegative val="0"/>
          <c:dLbls>
            <c:txPr>
              <a:bodyPr/>
              <a:lstStyle/>
              <a:p>
                <a:pPr>
                  <a:defRPr b="1">
                    <a:solidFill>
                      <a:schemeClr val="tx2">
                        <a:lumMod val="75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Reporting!$C$64:$J$64</c:f>
              <c:strCache>
                <c:ptCount val="8"/>
                <c:pt idx="0">
                  <c:v>Jan '05</c:v>
                </c:pt>
                <c:pt idx="1">
                  <c:v>Feb. '05</c:v>
                </c:pt>
                <c:pt idx="2">
                  <c:v>Mar. '05</c:v>
                </c:pt>
                <c:pt idx="3">
                  <c:v>Apr. '05</c:v>
                </c:pt>
                <c:pt idx="4">
                  <c:v>May '05</c:v>
                </c:pt>
                <c:pt idx="5">
                  <c:v>Jun. '05</c:v>
                </c:pt>
                <c:pt idx="6">
                  <c:v>Jul. '05</c:v>
                </c:pt>
                <c:pt idx="7">
                  <c:v>Aug. '05</c:v>
                </c:pt>
              </c:strCache>
            </c:strRef>
          </c:cat>
          <c:val>
            <c:numRef>
              <c:f>Reporting!$C$66:$J$66</c:f>
              <c:numCache>
                <c:formatCode>General</c:formatCode>
                <c:ptCount val="8"/>
                <c:pt idx="0">
                  <c:v>2</c:v>
                </c:pt>
                <c:pt idx="1">
                  <c:v>3</c:v>
                </c:pt>
                <c:pt idx="2">
                  <c:v>3</c:v>
                </c:pt>
                <c:pt idx="3">
                  <c:v>5</c:v>
                </c:pt>
                <c:pt idx="4">
                  <c:v>4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</c:numCache>
            </c:numRef>
          </c:val>
        </c:ser>
        <c:ser>
          <c:idx val="2"/>
          <c:order val="2"/>
          <c:tx>
            <c:strRef>
              <c:f>Reporting!$B$67</c:f>
              <c:strCache>
                <c:ptCount val="1"/>
                <c:pt idx="0">
                  <c:v>Not Regretted</c:v>
                </c:pt>
              </c:strCache>
            </c:strRef>
          </c:tx>
          <c:spPr>
            <a:solidFill>
              <a:srgbClr val="098DE7"/>
            </a:solidFill>
          </c:spPr>
          <c:invertIfNegative val="0"/>
          <c:dLbls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Reporting!$C$64:$J$64</c:f>
              <c:strCache>
                <c:ptCount val="8"/>
                <c:pt idx="0">
                  <c:v>Jan '05</c:v>
                </c:pt>
                <c:pt idx="1">
                  <c:v>Feb. '05</c:v>
                </c:pt>
                <c:pt idx="2">
                  <c:v>Mar. '05</c:v>
                </c:pt>
                <c:pt idx="3">
                  <c:v>Apr. '05</c:v>
                </c:pt>
                <c:pt idx="4">
                  <c:v>May '05</c:v>
                </c:pt>
                <c:pt idx="5">
                  <c:v>Jun. '05</c:v>
                </c:pt>
                <c:pt idx="6">
                  <c:v>Jul. '05</c:v>
                </c:pt>
                <c:pt idx="7">
                  <c:v>Aug. '05</c:v>
                </c:pt>
              </c:strCache>
            </c:strRef>
          </c:cat>
          <c:val>
            <c:numRef>
              <c:f>Reporting!$C$67:$J$67</c:f>
              <c:numCache>
                <c:formatCode>General</c:formatCode>
                <c:ptCount val="8"/>
                <c:pt idx="0">
                  <c:v>6</c:v>
                </c:pt>
                <c:pt idx="1">
                  <c:v>12</c:v>
                </c:pt>
                <c:pt idx="2">
                  <c:v>7</c:v>
                </c:pt>
                <c:pt idx="3">
                  <c:v>14</c:v>
                </c:pt>
                <c:pt idx="4">
                  <c:v>12</c:v>
                </c:pt>
                <c:pt idx="5">
                  <c:v>6</c:v>
                </c:pt>
                <c:pt idx="6">
                  <c:v>8</c:v>
                </c:pt>
                <c:pt idx="7">
                  <c:v>16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44461056"/>
        <c:axId val="351980928"/>
      </c:barChart>
      <c:lineChart>
        <c:grouping val="standard"/>
        <c:varyColors val="0"/>
        <c:ser>
          <c:idx val="0"/>
          <c:order val="0"/>
          <c:tx>
            <c:strRef>
              <c:f>Reporting!$B$65</c:f>
              <c:strCache>
                <c:ptCount val="1"/>
                <c:pt idx="0">
                  <c:v>Resignations</c:v>
                </c:pt>
              </c:strCache>
            </c:strRef>
          </c:tx>
          <c:marker>
            <c:symbol val="circle"/>
            <c:size val="5"/>
            <c:spPr>
              <a:solidFill>
                <a:srgbClr val="FA6500"/>
              </a:solidFill>
            </c:spPr>
          </c:marker>
          <c:dLbls>
            <c:dLbl>
              <c:idx val="0"/>
              <c:layout>
                <c:manualLayout>
                  <c:x val="-3.0888030888030889E-2"/>
                  <c:y val="-5.55555555555555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4024024024024024E-2"/>
                  <c:y val="-5.09259259259259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2.5740025740025738E-2"/>
                  <c:y val="-6.94444444444445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6.1776061776061715E-2"/>
                  <c:y val="-1.851851851851856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1.5444015444015444E-2"/>
                  <c:y val="-5.55555555555555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2.0592020592020591E-2"/>
                  <c:y val="-5.55555555555555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2.2308022308022309E-2"/>
                  <c:y val="-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>
                        <a:lumMod val="75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Reporting!$C$64:$J$64</c:f>
              <c:strCache>
                <c:ptCount val="8"/>
                <c:pt idx="0">
                  <c:v>Jan '05</c:v>
                </c:pt>
                <c:pt idx="1">
                  <c:v>Feb. '05</c:v>
                </c:pt>
                <c:pt idx="2">
                  <c:v>Mar. '05</c:v>
                </c:pt>
                <c:pt idx="3">
                  <c:v>Apr. '05</c:v>
                </c:pt>
                <c:pt idx="4">
                  <c:v>May '05</c:v>
                </c:pt>
                <c:pt idx="5">
                  <c:v>Jun. '05</c:v>
                </c:pt>
                <c:pt idx="6">
                  <c:v>Jul. '05</c:v>
                </c:pt>
                <c:pt idx="7">
                  <c:v>Aug. '05</c:v>
                </c:pt>
              </c:strCache>
            </c:strRef>
          </c:cat>
          <c:val>
            <c:numRef>
              <c:f>Reporting!$C$65:$J$65</c:f>
              <c:numCache>
                <c:formatCode>General</c:formatCode>
                <c:ptCount val="8"/>
                <c:pt idx="0">
                  <c:v>8</c:v>
                </c:pt>
                <c:pt idx="1">
                  <c:v>15</c:v>
                </c:pt>
                <c:pt idx="2">
                  <c:v>10</c:v>
                </c:pt>
                <c:pt idx="3">
                  <c:v>19</c:v>
                </c:pt>
                <c:pt idx="4">
                  <c:v>16</c:v>
                </c:pt>
                <c:pt idx="5">
                  <c:v>9</c:v>
                </c:pt>
                <c:pt idx="6">
                  <c:v>11</c:v>
                </c:pt>
                <c:pt idx="7">
                  <c:v>19</c:v>
                </c:pt>
              </c:numCache>
            </c:numRef>
          </c:val>
          <c:smooth val="1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44461056"/>
        <c:axId val="351980928"/>
      </c:lineChart>
      <c:catAx>
        <c:axId val="44446105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 w="19050">
            <a:solidFill>
              <a:srgbClr val="FA6500"/>
            </a:solidFill>
          </a:ln>
        </c:spPr>
        <c:txPr>
          <a:bodyPr/>
          <a:lstStyle/>
          <a:p>
            <a:pPr>
              <a:defRPr b="1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351980928"/>
        <c:crosses val="autoZero"/>
        <c:auto val="0"/>
        <c:lblAlgn val="ctr"/>
        <c:lblOffset val="100"/>
        <c:noMultiLvlLbl val="0"/>
      </c:catAx>
      <c:valAx>
        <c:axId val="351980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44461056"/>
        <c:crosses val="autoZero"/>
        <c:crossBetween val="between"/>
      </c:valAx>
      <c:spPr>
        <a:noFill/>
      </c:spPr>
    </c:plotArea>
    <c:legend>
      <c:legendPos val="b"/>
      <c:layout>
        <c:manualLayout>
          <c:xMode val="edge"/>
          <c:yMode val="edge"/>
          <c:x val="0.2159296304178194"/>
          <c:y val="0.69520448702114568"/>
          <c:w val="0.50979654570205757"/>
          <c:h val="5.6524144500527285E-2"/>
        </c:manualLayout>
      </c:layout>
      <c:overlay val="0"/>
      <c:txPr>
        <a:bodyPr/>
        <a:lstStyle/>
        <a:p>
          <a:pPr>
            <a:defRPr b="1">
              <a:solidFill>
                <a:schemeClr val="tx2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Reporting!$B$28</c:f>
          <c:strCache>
            <c:ptCount val="1"/>
            <c:pt idx="0">
              <c:v>Active Positions by Source</c:v>
            </c:pt>
          </c:strCache>
        </c:strRef>
      </c:tx>
      <c:layout>
        <c:manualLayout>
          <c:xMode val="edge"/>
          <c:yMode val="edge"/>
          <c:x val="0.35785216906366241"/>
          <c:y val="2.4790043211108361E-2"/>
        </c:manualLayout>
      </c:layout>
      <c:overlay val="1"/>
      <c:txPr>
        <a:bodyPr/>
        <a:lstStyle/>
        <a:p>
          <a:pPr>
            <a:defRPr sz="1600" b="1" u="sng">
              <a:solidFill>
                <a:schemeClr val="tx2">
                  <a:lumMod val="75000"/>
                </a:schemeClr>
              </a:solidFill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336320221118858"/>
          <c:y val="0.12824532526654508"/>
          <c:w val="0.31358996577492659"/>
          <c:h val="0.83221943410919785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ysClr val="window" lastClr="FFFFFF">
                  <a:lumMod val="85000"/>
                </a:sysClr>
              </a:solidFill>
              <a:ln>
                <a:noFill/>
              </a:ln>
            </c:spPr>
          </c:dPt>
          <c:dPt>
            <c:idx val="1"/>
            <c:bubble3D val="0"/>
            <c:spPr>
              <a:solidFill>
                <a:srgbClr val="FA6500"/>
              </a:solidFill>
              <a:ln w="15875">
                <a:noFill/>
              </a:ln>
            </c:spPr>
          </c:dPt>
          <c:dPt>
            <c:idx val="2"/>
            <c:bubble3D val="0"/>
            <c:explosion val="16"/>
            <c:spPr>
              <a:noFill/>
              <a:ln w="12700">
                <a:noFill/>
              </a:ln>
            </c:spPr>
          </c:dPt>
          <c:dPt>
            <c:idx val="3"/>
            <c:bubble3D val="0"/>
            <c:spPr>
              <a:solidFill>
                <a:srgbClr val="FFFF97"/>
              </a:solidFill>
              <a:ln>
                <a:noFill/>
              </a:ln>
            </c:spPr>
          </c:dPt>
          <c:dPt>
            <c:idx val="4"/>
            <c:bubble3D val="0"/>
            <c:spPr>
              <a:solidFill>
                <a:srgbClr val="00B0F0"/>
              </a:solidFill>
              <a:ln>
                <a:noFill/>
              </a:ln>
            </c:spPr>
          </c:dPt>
          <c:dLbls>
            <c:dLbl>
              <c:idx val="1"/>
              <c:layout>
                <c:manualLayout>
                  <c:x val="-5.5555555555555558E-3"/>
                  <c:y val="-1.8412367984814695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467257547580422E-2"/>
                  <c:y val="-8.13523192778473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1100" b="1">
                    <a:solidFill>
                      <a:schemeClr val="tx2">
                        <a:lumMod val="50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</c:dLbls>
          <c:cat>
            <c:strRef>
              <c:f>Reporting!$C$30:$C$34</c:f>
              <c:strCache>
                <c:ptCount val="5"/>
                <c:pt idx="0">
                  <c:v>Agency 21%</c:v>
                </c:pt>
                <c:pt idx="1">
                  <c:v>Walk-in 19%</c:v>
                </c:pt>
                <c:pt idx="2">
                  <c:v>Transfer 21%</c:v>
                </c:pt>
                <c:pt idx="3">
                  <c:v>Job Portal 21%</c:v>
                </c:pt>
                <c:pt idx="4">
                  <c:v>University 18%</c:v>
                </c:pt>
              </c:strCache>
            </c:strRef>
          </c:cat>
          <c:val>
            <c:numRef>
              <c:f>Reporting!$D$30:$D$34</c:f>
              <c:numCache>
                <c:formatCode>General</c:formatCode>
                <c:ptCount val="5"/>
                <c:pt idx="0">
                  <c:v>208</c:v>
                </c:pt>
                <c:pt idx="1">
                  <c:v>186</c:v>
                </c:pt>
                <c:pt idx="2">
                  <c:v>202</c:v>
                </c:pt>
                <c:pt idx="3">
                  <c:v>203</c:v>
                </c:pt>
                <c:pt idx="4">
                  <c:v>173</c:v>
                </c:pt>
              </c:numCache>
            </c:numRef>
          </c:val>
        </c:ser>
        <c:ser>
          <c:idx val="1"/>
          <c:order val="1"/>
          <c:spPr>
            <a:noFill/>
          </c:spPr>
          <c:dPt>
            <c:idx val="2"/>
            <c:bubble3D val="0"/>
            <c:spPr>
              <a:solidFill>
                <a:srgbClr val="7BE187"/>
              </a:solidFill>
              <a:ln w="15875">
                <a:solidFill>
                  <a:srgbClr val="126C21"/>
                </a:solidFill>
              </a:ln>
            </c:spPr>
          </c:dPt>
          <c:dLbls>
            <c:dLbl>
              <c:idx val="0"/>
              <c:layout>
                <c:manualLayout>
                  <c:x val="3.3333333333333333E-2"/>
                  <c:y val="0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2.3839935082435492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0.1034297999182263"/>
                  <c:y val="-6.7612775038634193E-2"/>
                </c:manualLayout>
              </c:layout>
              <c:spPr>
                <a:ln w="15875">
                  <a:noFill/>
                </a:ln>
              </c:spPr>
              <c:txPr>
                <a:bodyPr/>
                <a:lstStyle/>
                <a:p>
                  <a:pPr>
                    <a:defRPr sz="1000" b="1">
                      <a:solidFill>
                        <a:schemeClr val="tx2">
                          <a:lumMod val="75000"/>
                        </a:schemeClr>
                      </a:solidFill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2.0516543619182107E-2"/>
                  <c:y val="7.571966983152492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2.0323771086403146E-2"/>
                  <c:y val="-9.3457943925233638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1000" b="1">
                    <a:solidFill>
                      <a:schemeClr val="tx2">
                        <a:lumMod val="75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</c:dLbls>
          <c:cat>
            <c:strRef>
              <c:f>Reporting!$C$30:$C$34</c:f>
              <c:strCache>
                <c:ptCount val="5"/>
                <c:pt idx="0">
                  <c:v>Agency 21%</c:v>
                </c:pt>
                <c:pt idx="1">
                  <c:v>Walk-in 19%</c:v>
                </c:pt>
                <c:pt idx="2">
                  <c:v>Transfer 21%</c:v>
                </c:pt>
                <c:pt idx="3">
                  <c:v>Job Portal 21%</c:v>
                </c:pt>
                <c:pt idx="4">
                  <c:v>University 18%</c:v>
                </c:pt>
              </c:strCache>
            </c:strRef>
          </c:cat>
          <c:val>
            <c:numRef>
              <c:f>Reporting!$E$30:$E$34</c:f>
              <c:numCache>
                <c:formatCode>0%</c:formatCode>
                <c:ptCount val="5"/>
                <c:pt idx="0">
                  <c:v>0.2139917695473251</c:v>
                </c:pt>
                <c:pt idx="1">
                  <c:v>0.19135802469135801</c:v>
                </c:pt>
                <c:pt idx="2">
                  <c:v>0.20781893004115226</c:v>
                </c:pt>
                <c:pt idx="3">
                  <c:v>0.2088477366255144</c:v>
                </c:pt>
                <c:pt idx="4">
                  <c:v>0.1779835390946502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118"/>
        <c:holeSize val="43"/>
      </c:doughnut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Reporting!$B$45</c:f>
          <c:strCache>
            <c:ptCount val="1"/>
            <c:pt idx="0">
              <c:v>Recruitment by Month</c:v>
            </c:pt>
          </c:strCache>
        </c:strRef>
      </c:tx>
      <c:layout>
        <c:manualLayout>
          <c:xMode val="edge"/>
          <c:yMode val="edge"/>
          <c:x val="0.3224085016354406"/>
          <c:y val="2.7519641115943409E-2"/>
        </c:manualLayout>
      </c:layout>
      <c:overlay val="0"/>
      <c:txPr>
        <a:bodyPr/>
        <a:lstStyle/>
        <a:p>
          <a:pPr>
            <a:defRPr sz="1600" u="sng">
              <a:solidFill>
                <a:schemeClr val="tx2">
                  <a:lumMod val="75000"/>
                </a:schemeClr>
              </a:solidFill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70C0"/>
              </a:solidFill>
            </a:ln>
          </c:spPr>
          <c:marker>
            <c:symbol val="circle"/>
            <c:size val="5"/>
            <c:spPr>
              <a:solidFill>
                <a:srgbClr val="FF6600"/>
              </a:solidFill>
              <a:ln w="12700" cap="rnd">
                <a:solidFill>
                  <a:schemeClr val="accent5">
                    <a:lumMod val="50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3054755043227664E-2"/>
                  <c:y val="-4.166666666666675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3.073967339097022E-2"/>
                  <c:y val="-4.629629629629629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073967339097022E-2"/>
                  <c:y val="-6.481481481481489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8818443804034581E-2"/>
                  <c:y val="-4.629629629629629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1.9212295869356459E-2"/>
                  <c:y val="-5.55555555555555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3.4240253866571764E-2"/>
                  <c:y val="-6.07825097131675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3.3898305084745763E-2"/>
                  <c:y val="-6.69056152927120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1200" b="1">
                    <a:solidFill>
                      <a:schemeClr val="accent5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Reporting!$B$47:$B$54</c:f>
              <c:strCache>
                <c:ptCount val="8"/>
                <c:pt idx="0">
                  <c:v>Jan '17</c:v>
                </c:pt>
                <c:pt idx="1">
                  <c:v>Feb '17</c:v>
                </c:pt>
                <c:pt idx="2">
                  <c:v>Mar '17</c:v>
                </c:pt>
                <c:pt idx="3">
                  <c:v>Apr '17</c:v>
                </c:pt>
                <c:pt idx="4">
                  <c:v>May '17</c:v>
                </c:pt>
                <c:pt idx="5">
                  <c:v>Jun '17</c:v>
                </c:pt>
                <c:pt idx="6">
                  <c:v>Jul '17</c:v>
                </c:pt>
                <c:pt idx="7">
                  <c:v>Aug '17</c:v>
                </c:pt>
              </c:strCache>
            </c:strRef>
          </c:cat>
          <c:val>
            <c:numRef>
              <c:f>Reporting!$C$47:$C$54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663296"/>
        <c:axId val="351984384"/>
      </c:lineChart>
      <c:catAx>
        <c:axId val="444663296"/>
        <c:scaling>
          <c:orientation val="minMax"/>
        </c:scaling>
        <c:delete val="0"/>
        <c:axPos val="b"/>
        <c:majorTickMark val="out"/>
        <c:minorTickMark val="none"/>
        <c:tickLblPos val="low"/>
        <c:spPr>
          <a:ln w="19050" cap="rnd">
            <a:solidFill>
              <a:srgbClr val="FF6600"/>
            </a:solidFill>
          </a:ln>
        </c:spPr>
        <c:txPr>
          <a:bodyPr/>
          <a:lstStyle/>
          <a:p>
            <a:pPr>
              <a:defRPr sz="1200" b="1">
                <a:solidFill>
                  <a:schemeClr val="accent5">
                    <a:lumMod val="50000"/>
                  </a:schemeClr>
                </a:solidFill>
              </a:defRPr>
            </a:pPr>
            <a:endParaRPr lang="en-US"/>
          </a:p>
        </c:txPr>
        <c:crossAx val="351984384"/>
        <c:crosses val="autoZero"/>
        <c:auto val="0"/>
        <c:lblAlgn val="ctr"/>
        <c:lblOffset val="100"/>
        <c:noMultiLvlLbl val="0"/>
      </c:catAx>
      <c:valAx>
        <c:axId val="35198438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44663296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Reporting!$B$62</c:f>
          <c:strCache>
            <c:ptCount val="1"/>
            <c:pt idx="0">
              <c:v>Regretted / Non-Regretted by Month</c:v>
            </c:pt>
          </c:strCache>
        </c:strRef>
      </c:tx>
      <c:layout/>
      <c:overlay val="0"/>
      <c:txPr>
        <a:bodyPr/>
        <a:lstStyle/>
        <a:p>
          <a:pPr>
            <a:defRPr sz="1600" u="sng">
              <a:solidFill>
                <a:schemeClr val="tx2">
                  <a:lumMod val="75000"/>
                </a:schemeClr>
              </a:solidFill>
              <a:latin typeface="+mn-lt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8876018876018877E-2"/>
          <c:y val="0.13094822308756321"/>
          <c:w val="0.96224796224796227"/>
          <c:h val="0.47559440170921213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Reporting!$B$66</c:f>
              <c:strCache>
                <c:ptCount val="1"/>
                <c:pt idx="0">
                  <c:v>Regretted</c:v>
                </c:pt>
              </c:strCache>
            </c:strRef>
          </c:tx>
          <c:spPr>
            <a:solidFill>
              <a:srgbClr val="FA6500"/>
            </a:solidFill>
          </c:spPr>
          <c:invertIfNegative val="0"/>
          <c:dLbls>
            <c:txPr>
              <a:bodyPr/>
              <a:lstStyle/>
              <a:p>
                <a:pPr>
                  <a:defRPr b="1">
                    <a:solidFill>
                      <a:schemeClr val="tx2">
                        <a:lumMod val="75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Reporting!$C$64:$J$64</c:f>
              <c:strCache>
                <c:ptCount val="8"/>
                <c:pt idx="0">
                  <c:v>Jan '05</c:v>
                </c:pt>
                <c:pt idx="1">
                  <c:v>Feb. '05</c:v>
                </c:pt>
                <c:pt idx="2">
                  <c:v>Mar. '05</c:v>
                </c:pt>
                <c:pt idx="3">
                  <c:v>Apr. '05</c:v>
                </c:pt>
                <c:pt idx="4">
                  <c:v>May '05</c:v>
                </c:pt>
                <c:pt idx="5">
                  <c:v>Jun. '05</c:v>
                </c:pt>
                <c:pt idx="6">
                  <c:v>Jul. '05</c:v>
                </c:pt>
                <c:pt idx="7">
                  <c:v>Aug. '05</c:v>
                </c:pt>
              </c:strCache>
            </c:strRef>
          </c:cat>
          <c:val>
            <c:numRef>
              <c:f>Reporting!$C$66:$J$66</c:f>
              <c:numCache>
                <c:formatCode>General</c:formatCode>
                <c:ptCount val="8"/>
                <c:pt idx="0">
                  <c:v>2</c:v>
                </c:pt>
                <c:pt idx="1">
                  <c:v>3</c:v>
                </c:pt>
                <c:pt idx="2">
                  <c:v>3</c:v>
                </c:pt>
                <c:pt idx="3">
                  <c:v>5</c:v>
                </c:pt>
                <c:pt idx="4">
                  <c:v>4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</c:numCache>
            </c:numRef>
          </c:val>
        </c:ser>
        <c:ser>
          <c:idx val="2"/>
          <c:order val="2"/>
          <c:tx>
            <c:strRef>
              <c:f>Reporting!$B$67</c:f>
              <c:strCache>
                <c:ptCount val="1"/>
                <c:pt idx="0">
                  <c:v>Not Regretted</c:v>
                </c:pt>
              </c:strCache>
            </c:strRef>
          </c:tx>
          <c:spPr>
            <a:solidFill>
              <a:srgbClr val="098DE7"/>
            </a:solidFill>
          </c:spPr>
          <c:invertIfNegative val="0"/>
          <c:dLbls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Reporting!$C$64:$J$64</c:f>
              <c:strCache>
                <c:ptCount val="8"/>
                <c:pt idx="0">
                  <c:v>Jan '05</c:v>
                </c:pt>
                <c:pt idx="1">
                  <c:v>Feb. '05</c:v>
                </c:pt>
                <c:pt idx="2">
                  <c:v>Mar. '05</c:v>
                </c:pt>
                <c:pt idx="3">
                  <c:v>Apr. '05</c:v>
                </c:pt>
                <c:pt idx="4">
                  <c:v>May '05</c:v>
                </c:pt>
                <c:pt idx="5">
                  <c:v>Jun. '05</c:v>
                </c:pt>
                <c:pt idx="6">
                  <c:v>Jul. '05</c:v>
                </c:pt>
                <c:pt idx="7">
                  <c:v>Aug. '05</c:v>
                </c:pt>
              </c:strCache>
            </c:strRef>
          </c:cat>
          <c:val>
            <c:numRef>
              <c:f>Reporting!$C$67:$J$67</c:f>
              <c:numCache>
                <c:formatCode>General</c:formatCode>
                <c:ptCount val="8"/>
                <c:pt idx="0">
                  <c:v>6</c:v>
                </c:pt>
                <c:pt idx="1">
                  <c:v>12</c:v>
                </c:pt>
                <c:pt idx="2">
                  <c:v>7</c:v>
                </c:pt>
                <c:pt idx="3">
                  <c:v>14</c:v>
                </c:pt>
                <c:pt idx="4">
                  <c:v>12</c:v>
                </c:pt>
                <c:pt idx="5">
                  <c:v>6</c:v>
                </c:pt>
                <c:pt idx="6">
                  <c:v>8</c:v>
                </c:pt>
                <c:pt idx="7">
                  <c:v>16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44408320"/>
        <c:axId val="403596992"/>
      </c:barChart>
      <c:lineChart>
        <c:grouping val="standard"/>
        <c:varyColors val="0"/>
        <c:ser>
          <c:idx val="0"/>
          <c:order val="0"/>
          <c:tx>
            <c:strRef>
              <c:f>Reporting!$B$65</c:f>
              <c:strCache>
                <c:ptCount val="1"/>
                <c:pt idx="0">
                  <c:v>Resignations</c:v>
                </c:pt>
              </c:strCache>
            </c:strRef>
          </c:tx>
          <c:marker>
            <c:symbol val="circle"/>
            <c:size val="5"/>
            <c:spPr>
              <a:solidFill>
                <a:srgbClr val="FA6500"/>
              </a:solidFill>
            </c:spPr>
          </c:marker>
          <c:dLbls>
            <c:dLbl>
              <c:idx val="0"/>
              <c:layout>
                <c:manualLayout>
                  <c:x val="-3.0888030888030889E-2"/>
                  <c:y val="-5.55555555555555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4024024024024024E-2"/>
                  <c:y val="-5.09259259259259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2.5740025740025738E-2"/>
                  <c:y val="-6.94444444444445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6.1776061776061715E-2"/>
                  <c:y val="-1.851851851851856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1.5444015444015444E-2"/>
                  <c:y val="-5.55555555555555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2.0592020592020591E-2"/>
                  <c:y val="-5.55555555555555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2.2308022308022309E-2"/>
                  <c:y val="-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>
                        <a:lumMod val="75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Reporting!$C$64:$J$64</c:f>
              <c:strCache>
                <c:ptCount val="8"/>
                <c:pt idx="0">
                  <c:v>Jan '05</c:v>
                </c:pt>
                <c:pt idx="1">
                  <c:v>Feb. '05</c:v>
                </c:pt>
                <c:pt idx="2">
                  <c:v>Mar. '05</c:v>
                </c:pt>
                <c:pt idx="3">
                  <c:v>Apr. '05</c:v>
                </c:pt>
                <c:pt idx="4">
                  <c:v>May '05</c:v>
                </c:pt>
                <c:pt idx="5">
                  <c:v>Jun. '05</c:v>
                </c:pt>
                <c:pt idx="6">
                  <c:v>Jul. '05</c:v>
                </c:pt>
                <c:pt idx="7">
                  <c:v>Aug. '05</c:v>
                </c:pt>
              </c:strCache>
            </c:strRef>
          </c:cat>
          <c:val>
            <c:numRef>
              <c:f>Reporting!$C$65:$J$65</c:f>
              <c:numCache>
                <c:formatCode>General</c:formatCode>
                <c:ptCount val="8"/>
                <c:pt idx="0">
                  <c:v>8</c:v>
                </c:pt>
                <c:pt idx="1">
                  <c:v>15</c:v>
                </c:pt>
                <c:pt idx="2">
                  <c:v>10</c:v>
                </c:pt>
                <c:pt idx="3">
                  <c:v>19</c:v>
                </c:pt>
                <c:pt idx="4">
                  <c:v>16</c:v>
                </c:pt>
                <c:pt idx="5">
                  <c:v>9</c:v>
                </c:pt>
                <c:pt idx="6">
                  <c:v>11</c:v>
                </c:pt>
                <c:pt idx="7">
                  <c:v>19</c:v>
                </c:pt>
              </c:numCache>
            </c:numRef>
          </c:val>
          <c:smooth val="1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44408320"/>
        <c:axId val="403596992"/>
      </c:lineChart>
      <c:catAx>
        <c:axId val="44440832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 w="19050">
            <a:solidFill>
              <a:srgbClr val="FA6500"/>
            </a:solidFill>
          </a:ln>
        </c:spPr>
        <c:txPr>
          <a:bodyPr/>
          <a:lstStyle/>
          <a:p>
            <a:pPr>
              <a:defRPr b="1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403596992"/>
        <c:crosses val="autoZero"/>
        <c:auto val="0"/>
        <c:lblAlgn val="ctr"/>
        <c:lblOffset val="100"/>
        <c:noMultiLvlLbl val="0"/>
      </c:catAx>
      <c:valAx>
        <c:axId val="40359699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4440832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2159296304178194"/>
          <c:y val="0.69520448702114568"/>
          <c:w val="0.50979654570205757"/>
          <c:h val="5.6524144500527285E-2"/>
        </c:manualLayout>
      </c:layout>
      <c:overlay val="0"/>
      <c:txPr>
        <a:bodyPr/>
        <a:lstStyle/>
        <a:p>
          <a:pPr>
            <a:defRPr b="1">
              <a:solidFill>
                <a:schemeClr val="tx2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Reporting!$C$97</c:f>
          <c:strCache>
            <c:ptCount val="1"/>
            <c:pt idx="0">
              <c:v>Nationalization Overview August 2005</c:v>
            </c:pt>
          </c:strCache>
        </c:strRef>
      </c:tx>
      <c:layout>
        <c:manualLayout>
          <c:xMode val="edge"/>
          <c:yMode val="edge"/>
          <c:x val="0.3246037440580779"/>
          <c:y val="7.0998075240594927E-2"/>
        </c:manualLayout>
      </c:layout>
      <c:overlay val="1"/>
      <c:txPr>
        <a:bodyPr/>
        <a:lstStyle/>
        <a:p>
          <a:pPr>
            <a:defRPr sz="1600" u="sng">
              <a:solidFill>
                <a:schemeClr val="tx2">
                  <a:lumMod val="75000"/>
                </a:schemeClr>
              </a:solidFill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3552975806394338E-2"/>
          <c:y val="0.14322659667541557"/>
          <c:w val="0.89914153109040229"/>
          <c:h val="0.61010089267006351"/>
        </c:manualLayout>
      </c:layout>
      <c:barChart>
        <c:barDir val="bar"/>
        <c:grouping val="percentStacked"/>
        <c:varyColors val="0"/>
        <c:ser>
          <c:idx val="0"/>
          <c:order val="0"/>
          <c:spPr>
            <a:noFill/>
          </c:spPr>
          <c:invertIfNegative val="0"/>
          <c:cat>
            <c:strRef>
              <c:f>Reporting!$C$100:$C$114</c:f>
              <c:strCache>
                <c:ptCount val="15"/>
                <c:pt idx="0">
                  <c:v>YTD ABC Corporate (Only)</c:v>
                </c:pt>
                <c:pt idx="1">
                  <c:v>YTD ABC Corporate (Incl. Outsourced)</c:v>
                </c:pt>
                <c:pt idx="2">
                  <c:v>Corporate Management Group</c:v>
                </c:pt>
                <c:pt idx="3">
                  <c:v>Strategy Office</c:v>
                </c:pt>
                <c:pt idx="4">
                  <c:v>Marketing Office</c:v>
                </c:pt>
                <c:pt idx="5">
                  <c:v>Company Law Office</c:v>
                </c:pt>
                <c:pt idx="6">
                  <c:v>Tele Communication Office</c:v>
                </c:pt>
                <c:pt idx="7">
                  <c:v>Training Department</c:v>
                </c:pt>
                <c:pt idx="8">
                  <c:v>Human Capital Development Office</c:v>
                </c:pt>
                <c:pt idx="9">
                  <c:v>Sales Department</c:v>
                </c:pt>
                <c:pt idx="10">
                  <c:v>Operational Risk Department</c:v>
                </c:pt>
                <c:pt idx="11">
                  <c:v>Finance Department</c:v>
                </c:pt>
                <c:pt idx="12">
                  <c:v>Operations Department</c:v>
                </c:pt>
                <c:pt idx="13">
                  <c:v>Risk Management</c:v>
                </c:pt>
                <c:pt idx="14">
                  <c:v>Financial Planning Department</c:v>
                </c:pt>
              </c:strCache>
            </c:strRef>
          </c:cat>
          <c:val>
            <c:numRef>
              <c:f>Reporting!$D$100:$D$114</c:f>
              <c:numCache>
                <c:formatCode>0.000</c:formatCode>
                <c:ptCount val="15"/>
                <c:pt idx="0">
                  <c:v>0.38532110091743121</c:v>
                </c:pt>
                <c:pt idx="1">
                  <c:v>0.49433962264150944</c:v>
                </c:pt>
                <c:pt idx="2">
                  <c:v>0.38383838383838387</c:v>
                </c:pt>
                <c:pt idx="3">
                  <c:v>0.41666666666666663</c:v>
                </c:pt>
                <c:pt idx="4">
                  <c:v>0.5</c:v>
                </c:pt>
                <c:pt idx="5">
                  <c:v>0.83333333333333337</c:v>
                </c:pt>
                <c:pt idx="6">
                  <c:v>0.4285714285714286</c:v>
                </c:pt>
                <c:pt idx="7">
                  <c:v>0.44999999999999996</c:v>
                </c:pt>
                <c:pt idx="8">
                  <c:v>0.4</c:v>
                </c:pt>
                <c:pt idx="9">
                  <c:v>0.5</c:v>
                </c:pt>
                <c:pt idx="10">
                  <c:v>1</c:v>
                </c:pt>
                <c:pt idx="11">
                  <c:v>0.44444444444444442</c:v>
                </c:pt>
                <c:pt idx="12">
                  <c:v>0.61111111111111116</c:v>
                </c:pt>
                <c:pt idx="13">
                  <c:v>0.73333333333333339</c:v>
                </c:pt>
                <c:pt idx="14">
                  <c:v>0.6</c:v>
                </c:pt>
              </c:numCache>
            </c:numRef>
          </c:val>
        </c:ser>
        <c:ser>
          <c:idx val="1"/>
          <c:order val="1"/>
          <c:spPr>
            <a:solidFill>
              <a:srgbClr val="00B0F0"/>
            </a:solidFill>
            <a:ln w="12700">
              <a:solidFill>
                <a:srgbClr val="00B0F0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CC"/>
              </a:solidFill>
              <a:ln w="12700">
                <a:solidFill>
                  <a:srgbClr val="FFFFCC"/>
                </a:solidFill>
              </a:ln>
            </c:spPr>
          </c:dPt>
          <c:dPt>
            <c:idx val="1"/>
            <c:invertIfNegative val="0"/>
            <c:bubble3D val="0"/>
            <c:spPr>
              <a:solidFill>
                <a:srgbClr val="FFFFCC"/>
              </a:solidFill>
              <a:ln w="12700">
                <a:solidFill>
                  <a:srgbClr val="FFFFCC"/>
                </a:solidFill>
              </a:ln>
            </c:spPr>
          </c:dPt>
          <c:dLbls>
            <c:dLbl>
              <c:idx val="0"/>
              <c:numFmt formatCode="0.0%" sourceLinked="0"/>
              <c:spPr/>
              <c:txPr>
                <a:bodyPr/>
                <a:lstStyle/>
                <a:p>
                  <a:pPr>
                    <a:defRPr sz="1000" b="1">
                      <a:solidFill>
                        <a:schemeClr val="tx2">
                          <a:lumMod val="75000"/>
                        </a:schemeClr>
                      </a:solidFill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en-U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numFmt formatCode="0.0%" sourceLinked="0"/>
              <c:spPr/>
              <c:txPr>
                <a:bodyPr/>
                <a:lstStyle/>
                <a:p>
                  <a:pPr>
                    <a:defRPr sz="1000" b="1">
                      <a:solidFill>
                        <a:schemeClr val="tx2">
                          <a:lumMod val="75000"/>
                        </a:schemeClr>
                      </a:solidFill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en-U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.0%" sourceLinked="0"/>
            <c:txPr>
              <a:bodyPr/>
              <a:lstStyle/>
              <a:p>
                <a:pPr>
                  <a:defRPr sz="1000" b="1">
                    <a:solidFill>
                      <a:schemeClr val="bg1"/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Reporting!$C$100:$C$114</c:f>
              <c:strCache>
                <c:ptCount val="15"/>
                <c:pt idx="0">
                  <c:v>YTD ABC Corporate (Only)</c:v>
                </c:pt>
                <c:pt idx="1">
                  <c:v>YTD ABC Corporate (Incl. Outsourced)</c:v>
                </c:pt>
                <c:pt idx="2">
                  <c:v>Corporate Management Group</c:v>
                </c:pt>
                <c:pt idx="3">
                  <c:v>Strategy Office</c:v>
                </c:pt>
                <c:pt idx="4">
                  <c:v>Marketing Office</c:v>
                </c:pt>
                <c:pt idx="5">
                  <c:v>Company Law Office</c:v>
                </c:pt>
                <c:pt idx="6">
                  <c:v>Tele Communication Office</c:v>
                </c:pt>
                <c:pt idx="7">
                  <c:v>Training Department</c:v>
                </c:pt>
                <c:pt idx="8">
                  <c:v>Human Capital Development Office</c:v>
                </c:pt>
                <c:pt idx="9">
                  <c:v>Sales Department</c:v>
                </c:pt>
                <c:pt idx="10">
                  <c:v>Operational Risk Department</c:v>
                </c:pt>
                <c:pt idx="11">
                  <c:v>Finance Department</c:v>
                </c:pt>
                <c:pt idx="12">
                  <c:v>Operations Department</c:v>
                </c:pt>
                <c:pt idx="13">
                  <c:v>Risk Management</c:v>
                </c:pt>
                <c:pt idx="14">
                  <c:v>Financial Planning Department</c:v>
                </c:pt>
              </c:strCache>
            </c:strRef>
          </c:cat>
          <c:val>
            <c:numRef>
              <c:f>Reporting!$E$100:$E$114</c:f>
              <c:numCache>
                <c:formatCode>0.000</c:formatCode>
                <c:ptCount val="15"/>
                <c:pt idx="0">
                  <c:v>0.61467889908256879</c:v>
                </c:pt>
                <c:pt idx="1">
                  <c:v>0.50566037735849056</c:v>
                </c:pt>
                <c:pt idx="2">
                  <c:v>0.61616161616161613</c:v>
                </c:pt>
                <c:pt idx="3">
                  <c:v>0.58333333333333337</c:v>
                </c:pt>
                <c:pt idx="4">
                  <c:v>0.5</c:v>
                </c:pt>
                <c:pt idx="5">
                  <c:v>0.16666666666666666</c:v>
                </c:pt>
                <c:pt idx="6">
                  <c:v>0.5714285714285714</c:v>
                </c:pt>
                <c:pt idx="7">
                  <c:v>0.55000000000000004</c:v>
                </c:pt>
                <c:pt idx="8">
                  <c:v>0.6</c:v>
                </c:pt>
                <c:pt idx="9">
                  <c:v>0.5</c:v>
                </c:pt>
                <c:pt idx="10">
                  <c:v>0</c:v>
                </c:pt>
                <c:pt idx="11">
                  <c:v>0.55555555555555558</c:v>
                </c:pt>
                <c:pt idx="12">
                  <c:v>0.3888888888888889</c:v>
                </c:pt>
                <c:pt idx="13">
                  <c:v>0.26666666666666666</c:v>
                </c:pt>
                <c:pt idx="14">
                  <c:v>0.4</c:v>
                </c:pt>
              </c:numCache>
            </c:numRef>
          </c:val>
        </c:ser>
        <c:ser>
          <c:idx val="6"/>
          <c:order val="6"/>
          <c:spPr>
            <a:noFill/>
            <a:ln w="12700">
              <a:solidFill>
                <a:srgbClr val="7BE187"/>
              </a:solidFill>
            </a:ln>
          </c:spPr>
          <c:invertIfNegative val="0"/>
          <c:dLbls>
            <c:dLbl>
              <c:idx val="0"/>
              <c:layout>
                <c:manualLayout>
                  <c:x val="-2.0387742508992117E-3"/>
                  <c:y val="6.1267341582302217E-4"/>
                </c:manualLayout>
              </c:layout>
              <c:spPr>
                <a:ln w="12700">
                  <a:noFill/>
                </a:ln>
              </c:spPr>
              <c:txPr>
                <a:bodyPr anchor="ctr" anchorCtr="0"/>
                <a:lstStyle/>
                <a:p>
                  <a:pPr>
                    <a:defRPr sz="900" b="1">
                      <a:solidFill>
                        <a:schemeClr val="tx2">
                          <a:lumMod val="75000"/>
                        </a:schemeClr>
                      </a:solidFill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"/>
              <c:spPr>
                <a:ln w="12700">
                  <a:noFill/>
                </a:ln>
              </c:spPr>
              <c:txPr>
                <a:bodyPr anchor="ctr" anchorCtr="0"/>
                <a:lstStyle/>
                <a:p>
                  <a:pPr>
                    <a:defRPr sz="900" b="1">
                      <a:solidFill>
                        <a:schemeClr val="tx2">
                          <a:lumMod val="75000"/>
                        </a:schemeClr>
                      </a:solidFill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spPr>
              <a:ln w="12700">
                <a:noFill/>
              </a:ln>
            </c:spPr>
            <c:txPr>
              <a:bodyPr anchor="ctr" anchorCtr="0"/>
              <a:lstStyle/>
              <a:p>
                <a:pPr>
                  <a:defRPr sz="800" b="1">
                    <a:solidFill>
                      <a:schemeClr val="tx2">
                        <a:lumMod val="75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</c:dLbls>
          <c:cat>
            <c:strRef>
              <c:f>Reporting!$C$100:$C$114</c:f>
              <c:strCache>
                <c:ptCount val="15"/>
                <c:pt idx="0">
                  <c:v>YTD ABC Corporate (Only)</c:v>
                </c:pt>
                <c:pt idx="1">
                  <c:v>YTD ABC Corporate (Incl. Outsourced)</c:v>
                </c:pt>
                <c:pt idx="2">
                  <c:v>Corporate Management Group</c:v>
                </c:pt>
                <c:pt idx="3">
                  <c:v>Strategy Office</c:v>
                </c:pt>
                <c:pt idx="4">
                  <c:v>Marketing Office</c:v>
                </c:pt>
                <c:pt idx="5">
                  <c:v>Company Law Office</c:v>
                </c:pt>
                <c:pt idx="6">
                  <c:v>Tele Communication Office</c:v>
                </c:pt>
                <c:pt idx="7">
                  <c:v>Training Department</c:v>
                </c:pt>
                <c:pt idx="8">
                  <c:v>Human Capital Development Office</c:v>
                </c:pt>
                <c:pt idx="9">
                  <c:v>Sales Department</c:v>
                </c:pt>
                <c:pt idx="10">
                  <c:v>Operational Risk Department</c:v>
                </c:pt>
                <c:pt idx="11">
                  <c:v>Finance Department</c:v>
                </c:pt>
                <c:pt idx="12">
                  <c:v>Operations Department</c:v>
                </c:pt>
                <c:pt idx="13">
                  <c:v>Risk Management</c:v>
                </c:pt>
                <c:pt idx="14">
                  <c:v>Financial Planning Department</c:v>
                </c:pt>
              </c:strCache>
            </c:strRef>
          </c:cat>
          <c:val>
            <c:numRef>
              <c:f>Reporting!$J$100:$J$114</c:f>
              <c:numCache>
                <c:formatCode>General</c:formatCode>
                <c:ptCount val="15"/>
                <c:pt idx="0">
                  <c:v>0.65</c:v>
                </c:pt>
                <c:pt idx="1">
                  <c:v>0.65</c:v>
                </c:pt>
                <c:pt idx="2">
                  <c:v>0.65</c:v>
                </c:pt>
                <c:pt idx="3">
                  <c:v>0.65</c:v>
                </c:pt>
                <c:pt idx="4">
                  <c:v>0.65</c:v>
                </c:pt>
                <c:pt idx="5">
                  <c:v>0.65</c:v>
                </c:pt>
                <c:pt idx="6">
                  <c:v>0.65</c:v>
                </c:pt>
                <c:pt idx="7">
                  <c:v>0.65</c:v>
                </c:pt>
                <c:pt idx="8">
                  <c:v>0.65</c:v>
                </c:pt>
                <c:pt idx="9">
                  <c:v>0.65</c:v>
                </c:pt>
                <c:pt idx="10">
                  <c:v>0.65</c:v>
                </c:pt>
                <c:pt idx="11">
                  <c:v>0.65</c:v>
                </c:pt>
                <c:pt idx="12">
                  <c:v>0.65</c:v>
                </c:pt>
                <c:pt idx="13">
                  <c:v>0.65</c:v>
                </c:pt>
                <c:pt idx="14">
                  <c:v>0.65</c:v>
                </c:pt>
              </c:numCache>
            </c:numRef>
          </c:val>
        </c:ser>
        <c:ser>
          <c:idx val="7"/>
          <c:order val="7"/>
          <c:spPr>
            <a:solidFill>
              <a:srgbClr val="FA6500"/>
            </a:solidFill>
            <a:ln w="12700">
              <a:solidFill>
                <a:srgbClr val="FA6500"/>
              </a:solidFill>
            </a:ln>
          </c:spPr>
          <c:invertIfNegative val="0"/>
          <c:dLbls>
            <c:numFmt formatCode="0.0%" sourceLinked="0"/>
            <c:txPr>
              <a:bodyPr/>
              <a:lstStyle/>
              <a:p>
                <a:pPr>
                  <a:defRPr sz="1000" b="1">
                    <a:solidFill>
                      <a:schemeClr val="bg1"/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Reporting!$C$100:$C$114</c:f>
              <c:strCache>
                <c:ptCount val="15"/>
                <c:pt idx="0">
                  <c:v>YTD ABC Corporate (Only)</c:v>
                </c:pt>
                <c:pt idx="1">
                  <c:v>YTD ABC Corporate (Incl. Outsourced)</c:v>
                </c:pt>
                <c:pt idx="2">
                  <c:v>Corporate Management Group</c:v>
                </c:pt>
                <c:pt idx="3">
                  <c:v>Strategy Office</c:v>
                </c:pt>
                <c:pt idx="4">
                  <c:v>Marketing Office</c:v>
                </c:pt>
                <c:pt idx="5">
                  <c:v>Company Law Office</c:v>
                </c:pt>
                <c:pt idx="6">
                  <c:v>Tele Communication Office</c:v>
                </c:pt>
                <c:pt idx="7">
                  <c:v>Training Department</c:v>
                </c:pt>
                <c:pt idx="8">
                  <c:v>Human Capital Development Office</c:v>
                </c:pt>
                <c:pt idx="9">
                  <c:v>Sales Department</c:v>
                </c:pt>
                <c:pt idx="10">
                  <c:v>Operational Risk Department</c:v>
                </c:pt>
                <c:pt idx="11">
                  <c:v>Finance Department</c:v>
                </c:pt>
                <c:pt idx="12">
                  <c:v>Operations Department</c:v>
                </c:pt>
                <c:pt idx="13">
                  <c:v>Risk Management</c:v>
                </c:pt>
                <c:pt idx="14">
                  <c:v>Financial Planning Department</c:v>
                </c:pt>
              </c:strCache>
            </c:strRef>
          </c:cat>
          <c:val>
            <c:numRef>
              <c:f>Reporting!$K$100:$K$114</c:f>
              <c:numCache>
                <c:formatCode>0.000</c:formatCode>
                <c:ptCount val="15"/>
                <c:pt idx="0">
                  <c:v>0.38532110091743121</c:v>
                </c:pt>
                <c:pt idx="1">
                  <c:v>0.49433962264150944</c:v>
                </c:pt>
                <c:pt idx="2">
                  <c:v>0.38383838383838387</c:v>
                </c:pt>
                <c:pt idx="3">
                  <c:v>0.41666666666666663</c:v>
                </c:pt>
                <c:pt idx="4">
                  <c:v>0.5</c:v>
                </c:pt>
                <c:pt idx="5">
                  <c:v>0.83333333333333337</c:v>
                </c:pt>
                <c:pt idx="6">
                  <c:v>0.4285714285714286</c:v>
                </c:pt>
                <c:pt idx="7">
                  <c:v>0.44999999999999996</c:v>
                </c:pt>
                <c:pt idx="8">
                  <c:v>0.4</c:v>
                </c:pt>
                <c:pt idx="9">
                  <c:v>0.5</c:v>
                </c:pt>
                <c:pt idx="10">
                  <c:v>1</c:v>
                </c:pt>
                <c:pt idx="11">
                  <c:v>0.44444444444444442</c:v>
                </c:pt>
                <c:pt idx="12">
                  <c:v>0.61111111111111116</c:v>
                </c:pt>
                <c:pt idx="13">
                  <c:v>0.73333333333333339</c:v>
                </c:pt>
                <c:pt idx="14">
                  <c:v>0.6</c:v>
                </c:pt>
              </c:numCache>
            </c:numRef>
          </c:val>
        </c:ser>
        <c:ser>
          <c:idx val="8"/>
          <c:order val="8"/>
          <c:spPr>
            <a:noFill/>
            <a:ln>
              <a:noFill/>
            </a:ln>
          </c:spPr>
          <c:invertIfNegative val="0"/>
          <c:cat>
            <c:strRef>
              <c:f>Reporting!$C$100:$C$114</c:f>
              <c:strCache>
                <c:ptCount val="15"/>
                <c:pt idx="0">
                  <c:v>YTD ABC Corporate (Only)</c:v>
                </c:pt>
                <c:pt idx="1">
                  <c:v>YTD ABC Corporate (Incl. Outsourced)</c:v>
                </c:pt>
                <c:pt idx="2">
                  <c:v>Corporate Management Group</c:v>
                </c:pt>
                <c:pt idx="3">
                  <c:v>Strategy Office</c:v>
                </c:pt>
                <c:pt idx="4">
                  <c:v>Marketing Office</c:v>
                </c:pt>
                <c:pt idx="5">
                  <c:v>Company Law Office</c:v>
                </c:pt>
                <c:pt idx="6">
                  <c:v>Tele Communication Office</c:v>
                </c:pt>
                <c:pt idx="7">
                  <c:v>Training Department</c:v>
                </c:pt>
                <c:pt idx="8">
                  <c:v>Human Capital Development Office</c:v>
                </c:pt>
                <c:pt idx="9">
                  <c:v>Sales Department</c:v>
                </c:pt>
                <c:pt idx="10">
                  <c:v>Operational Risk Department</c:v>
                </c:pt>
                <c:pt idx="11">
                  <c:v>Finance Department</c:v>
                </c:pt>
                <c:pt idx="12">
                  <c:v>Operations Department</c:v>
                </c:pt>
                <c:pt idx="13">
                  <c:v>Risk Management</c:v>
                </c:pt>
                <c:pt idx="14">
                  <c:v>Financial Planning Department</c:v>
                </c:pt>
              </c:strCache>
            </c:strRef>
          </c:cat>
          <c:val>
            <c:numRef>
              <c:f>Reporting!$L$100:$L$114</c:f>
              <c:numCache>
                <c:formatCode>0.000</c:formatCode>
                <c:ptCount val="15"/>
                <c:pt idx="0">
                  <c:v>0.61467889908256879</c:v>
                </c:pt>
                <c:pt idx="1">
                  <c:v>0.50566037735849056</c:v>
                </c:pt>
                <c:pt idx="2">
                  <c:v>0.61616161616161613</c:v>
                </c:pt>
                <c:pt idx="3">
                  <c:v>0.58333333333333337</c:v>
                </c:pt>
                <c:pt idx="4">
                  <c:v>0.5</c:v>
                </c:pt>
                <c:pt idx="5">
                  <c:v>0.16666666666666663</c:v>
                </c:pt>
                <c:pt idx="6">
                  <c:v>0.5714285714285714</c:v>
                </c:pt>
                <c:pt idx="7">
                  <c:v>0.55000000000000004</c:v>
                </c:pt>
                <c:pt idx="8">
                  <c:v>0.6</c:v>
                </c:pt>
                <c:pt idx="9">
                  <c:v>0.5</c:v>
                </c:pt>
                <c:pt idx="10">
                  <c:v>0</c:v>
                </c:pt>
                <c:pt idx="11">
                  <c:v>0.55555555555555558</c:v>
                </c:pt>
                <c:pt idx="12">
                  <c:v>0.38888888888888884</c:v>
                </c:pt>
                <c:pt idx="13">
                  <c:v>0.26666666666666661</c:v>
                </c:pt>
                <c:pt idx="14">
                  <c:v>0.4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"/>
        <c:overlap val="100"/>
        <c:axId val="444802048"/>
        <c:axId val="403599872"/>
      </c:barChart>
      <c:barChart>
        <c:barDir val="bar"/>
        <c:grouping val="percentStacked"/>
        <c:varyColors val="0"/>
        <c:ser>
          <c:idx val="2"/>
          <c:order val="2"/>
          <c:spPr>
            <a:noFill/>
          </c:spPr>
          <c:invertIfNegative val="0"/>
          <c:cat>
            <c:strRef>
              <c:f>Reporting!$C$100:$C$114</c:f>
              <c:strCache>
                <c:ptCount val="15"/>
                <c:pt idx="0">
                  <c:v>YTD ABC Corporate (Only)</c:v>
                </c:pt>
                <c:pt idx="1">
                  <c:v>YTD ABC Corporate (Incl. Outsourced)</c:v>
                </c:pt>
                <c:pt idx="2">
                  <c:v>Corporate Management Group</c:v>
                </c:pt>
                <c:pt idx="3">
                  <c:v>Strategy Office</c:v>
                </c:pt>
                <c:pt idx="4">
                  <c:v>Marketing Office</c:v>
                </c:pt>
                <c:pt idx="5">
                  <c:v>Company Law Office</c:v>
                </c:pt>
                <c:pt idx="6">
                  <c:v>Tele Communication Office</c:v>
                </c:pt>
                <c:pt idx="7">
                  <c:v>Training Department</c:v>
                </c:pt>
                <c:pt idx="8">
                  <c:v>Human Capital Development Office</c:v>
                </c:pt>
                <c:pt idx="9">
                  <c:v>Sales Department</c:v>
                </c:pt>
                <c:pt idx="10">
                  <c:v>Operational Risk Department</c:v>
                </c:pt>
                <c:pt idx="11">
                  <c:v>Finance Department</c:v>
                </c:pt>
                <c:pt idx="12">
                  <c:v>Operations Department</c:v>
                </c:pt>
                <c:pt idx="13">
                  <c:v>Risk Management</c:v>
                </c:pt>
                <c:pt idx="14">
                  <c:v>Financial Planning Department</c:v>
                </c:pt>
              </c:strCache>
            </c:strRef>
          </c:cat>
          <c:val>
            <c:numRef>
              <c:f>Reporting!$F$100:$F$114</c:f>
              <c:numCache>
                <c:formatCode>General</c:formatCode>
                <c:ptCount val="15"/>
                <c:pt idx="0">
                  <c:v>0.36</c:v>
                </c:pt>
                <c:pt idx="1">
                  <c:v>0.36</c:v>
                </c:pt>
                <c:pt idx="2">
                  <c:v>0.36</c:v>
                </c:pt>
                <c:pt idx="3">
                  <c:v>0.36</c:v>
                </c:pt>
                <c:pt idx="4">
                  <c:v>0.36</c:v>
                </c:pt>
                <c:pt idx="5">
                  <c:v>0.36</c:v>
                </c:pt>
                <c:pt idx="6">
                  <c:v>0.36</c:v>
                </c:pt>
                <c:pt idx="7">
                  <c:v>0.36</c:v>
                </c:pt>
                <c:pt idx="8">
                  <c:v>0.36</c:v>
                </c:pt>
                <c:pt idx="9">
                  <c:v>0.36</c:v>
                </c:pt>
                <c:pt idx="10">
                  <c:v>0.36</c:v>
                </c:pt>
                <c:pt idx="11">
                  <c:v>0.36</c:v>
                </c:pt>
                <c:pt idx="12">
                  <c:v>0.36</c:v>
                </c:pt>
                <c:pt idx="13">
                  <c:v>0.36</c:v>
                </c:pt>
                <c:pt idx="14">
                  <c:v>0.36</c:v>
                </c:pt>
              </c:numCache>
            </c:numRef>
          </c:val>
        </c:ser>
        <c:ser>
          <c:idx val="3"/>
          <c:order val="3"/>
          <c:spPr>
            <a:solidFill>
              <a:srgbClr val="00B050"/>
            </a:solidFill>
          </c:spPr>
          <c:invertIfNegative val="0"/>
          <c:cat>
            <c:strRef>
              <c:f>Reporting!$C$100:$C$114</c:f>
              <c:strCache>
                <c:ptCount val="15"/>
                <c:pt idx="0">
                  <c:v>YTD ABC Corporate (Only)</c:v>
                </c:pt>
                <c:pt idx="1">
                  <c:v>YTD ABC Corporate (Incl. Outsourced)</c:v>
                </c:pt>
                <c:pt idx="2">
                  <c:v>Corporate Management Group</c:v>
                </c:pt>
                <c:pt idx="3">
                  <c:v>Strategy Office</c:v>
                </c:pt>
                <c:pt idx="4">
                  <c:v>Marketing Office</c:v>
                </c:pt>
                <c:pt idx="5">
                  <c:v>Company Law Office</c:v>
                </c:pt>
                <c:pt idx="6">
                  <c:v>Tele Communication Office</c:v>
                </c:pt>
                <c:pt idx="7">
                  <c:v>Training Department</c:v>
                </c:pt>
                <c:pt idx="8">
                  <c:v>Human Capital Development Office</c:v>
                </c:pt>
                <c:pt idx="9">
                  <c:v>Sales Department</c:v>
                </c:pt>
                <c:pt idx="10">
                  <c:v>Operational Risk Department</c:v>
                </c:pt>
                <c:pt idx="11">
                  <c:v>Finance Department</c:v>
                </c:pt>
                <c:pt idx="12">
                  <c:v>Operations Department</c:v>
                </c:pt>
                <c:pt idx="13">
                  <c:v>Risk Management</c:v>
                </c:pt>
                <c:pt idx="14">
                  <c:v>Financial Planning Department</c:v>
                </c:pt>
              </c:strCache>
            </c:strRef>
          </c:cat>
          <c:val>
            <c:numRef>
              <c:f>Reporting!$G$100:$G$114</c:f>
              <c:numCache>
                <c:formatCode>0.000</c:formatCode>
                <c:ptCount val="15"/>
                <c:pt idx="0">
                  <c:v>3.0000000000000001E-3</c:v>
                </c:pt>
                <c:pt idx="1">
                  <c:v>3.0000000000000001E-3</c:v>
                </c:pt>
                <c:pt idx="2">
                  <c:v>3.0000000000000001E-3</c:v>
                </c:pt>
                <c:pt idx="3">
                  <c:v>3.0000000000000001E-3</c:v>
                </c:pt>
                <c:pt idx="4">
                  <c:v>3.0000000000000001E-3</c:v>
                </c:pt>
                <c:pt idx="5">
                  <c:v>3.0000000000000001E-3</c:v>
                </c:pt>
                <c:pt idx="6">
                  <c:v>3.0000000000000001E-3</c:v>
                </c:pt>
                <c:pt idx="7">
                  <c:v>3.0000000000000001E-3</c:v>
                </c:pt>
                <c:pt idx="8">
                  <c:v>3.0000000000000001E-3</c:v>
                </c:pt>
                <c:pt idx="9">
                  <c:v>3.0000000000000001E-3</c:v>
                </c:pt>
                <c:pt idx="10">
                  <c:v>3.0000000000000001E-3</c:v>
                </c:pt>
                <c:pt idx="11">
                  <c:v>3.0000000000000001E-3</c:v>
                </c:pt>
                <c:pt idx="12">
                  <c:v>3.0000000000000001E-3</c:v>
                </c:pt>
                <c:pt idx="13">
                  <c:v>3.0000000000000001E-3</c:v>
                </c:pt>
                <c:pt idx="14">
                  <c:v>3.0000000000000001E-3</c:v>
                </c:pt>
              </c:numCache>
            </c:numRef>
          </c:val>
        </c:ser>
        <c:ser>
          <c:idx val="4"/>
          <c:order val="4"/>
          <c:spPr>
            <a:noFill/>
          </c:spPr>
          <c:invertIfNegative val="0"/>
          <c:cat>
            <c:strRef>
              <c:f>Reporting!$C$100:$C$114</c:f>
              <c:strCache>
                <c:ptCount val="15"/>
                <c:pt idx="0">
                  <c:v>YTD ABC Corporate (Only)</c:v>
                </c:pt>
                <c:pt idx="1">
                  <c:v>YTD ABC Corporate (Incl. Outsourced)</c:v>
                </c:pt>
                <c:pt idx="2">
                  <c:v>Corporate Management Group</c:v>
                </c:pt>
                <c:pt idx="3">
                  <c:v>Strategy Office</c:v>
                </c:pt>
                <c:pt idx="4">
                  <c:v>Marketing Office</c:v>
                </c:pt>
                <c:pt idx="5">
                  <c:v>Company Law Office</c:v>
                </c:pt>
                <c:pt idx="6">
                  <c:v>Tele Communication Office</c:v>
                </c:pt>
                <c:pt idx="7">
                  <c:v>Training Department</c:v>
                </c:pt>
                <c:pt idx="8">
                  <c:v>Human Capital Development Office</c:v>
                </c:pt>
                <c:pt idx="9">
                  <c:v>Sales Department</c:v>
                </c:pt>
                <c:pt idx="10">
                  <c:v>Operational Risk Department</c:v>
                </c:pt>
                <c:pt idx="11">
                  <c:v>Finance Department</c:v>
                </c:pt>
                <c:pt idx="12">
                  <c:v>Operations Department</c:v>
                </c:pt>
                <c:pt idx="13">
                  <c:v>Risk Management</c:v>
                </c:pt>
                <c:pt idx="14">
                  <c:v>Financial Planning Department</c:v>
                </c:pt>
              </c:strCache>
            </c:strRef>
          </c:cat>
          <c:val>
            <c:numRef>
              <c:f>Reporting!$H$100:$H$114</c:f>
              <c:numCache>
                <c:formatCode>0.000</c:formatCode>
                <c:ptCount val="15"/>
                <c:pt idx="0">
                  <c:v>0.63699840000000008</c:v>
                </c:pt>
                <c:pt idx="1">
                  <c:v>0.63699840000000008</c:v>
                </c:pt>
                <c:pt idx="2">
                  <c:v>0.63699840000000008</c:v>
                </c:pt>
                <c:pt idx="3">
                  <c:v>0.63699840000000008</c:v>
                </c:pt>
                <c:pt idx="4">
                  <c:v>0.63699840000000008</c:v>
                </c:pt>
                <c:pt idx="5">
                  <c:v>0.63699840000000008</c:v>
                </c:pt>
                <c:pt idx="6">
                  <c:v>0.63699840000000008</c:v>
                </c:pt>
                <c:pt idx="7">
                  <c:v>0.63699840000000008</c:v>
                </c:pt>
                <c:pt idx="8">
                  <c:v>0.63699840000000008</c:v>
                </c:pt>
                <c:pt idx="9">
                  <c:v>0.63699840000000008</c:v>
                </c:pt>
                <c:pt idx="10">
                  <c:v>0.63699840000000008</c:v>
                </c:pt>
                <c:pt idx="11">
                  <c:v>0.63699840000000008</c:v>
                </c:pt>
                <c:pt idx="12">
                  <c:v>0.63699840000000008</c:v>
                </c:pt>
                <c:pt idx="13">
                  <c:v>0.63699840000000008</c:v>
                </c:pt>
                <c:pt idx="14">
                  <c:v>0.63699840000000008</c:v>
                </c:pt>
              </c:numCache>
            </c:numRef>
          </c:val>
        </c:ser>
        <c:ser>
          <c:idx val="5"/>
          <c:order val="5"/>
          <c:spPr>
            <a:noFill/>
          </c:spPr>
          <c:invertIfNegative val="0"/>
          <c:cat>
            <c:strRef>
              <c:f>Reporting!$C$100:$C$114</c:f>
              <c:strCache>
                <c:ptCount val="15"/>
                <c:pt idx="0">
                  <c:v>YTD ABC Corporate (Only)</c:v>
                </c:pt>
                <c:pt idx="1">
                  <c:v>YTD ABC Corporate (Incl. Outsourced)</c:v>
                </c:pt>
                <c:pt idx="2">
                  <c:v>Corporate Management Group</c:v>
                </c:pt>
                <c:pt idx="3">
                  <c:v>Strategy Office</c:v>
                </c:pt>
                <c:pt idx="4">
                  <c:v>Marketing Office</c:v>
                </c:pt>
                <c:pt idx="5">
                  <c:v>Company Law Office</c:v>
                </c:pt>
                <c:pt idx="6">
                  <c:v>Tele Communication Office</c:v>
                </c:pt>
                <c:pt idx="7">
                  <c:v>Training Department</c:v>
                </c:pt>
                <c:pt idx="8">
                  <c:v>Human Capital Development Office</c:v>
                </c:pt>
                <c:pt idx="9">
                  <c:v>Sales Department</c:v>
                </c:pt>
                <c:pt idx="10">
                  <c:v>Operational Risk Department</c:v>
                </c:pt>
                <c:pt idx="11">
                  <c:v>Finance Department</c:v>
                </c:pt>
                <c:pt idx="12">
                  <c:v>Operations Department</c:v>
                </c:pt>
                <c:pt idx="13">
                  <c:v>Risk Management</c:v>
                </c:pt>
                <c:pt idx="14">
                  <c:v>Financial Planning Department</c:v>
                </c:pt>
              </c:strCache>
            </c:strRef>
          </c:cat>
          <c:val>
            <c:numRef>
              <c:f>Reporting!$I$100:$I$114</c:f>
              <c:numCache>
                <c:formatCode>General</c:formatCode>
                <c:ptCount val="15"/>
                <c:pt idx="0">
                  <c:v>1.65</c:v>
                </c:pt>
                <c:pt idx="1">
                  <c:v>1.65</c:v>
                </c:pt>
                <c:pt idx="2">
                  <c:v>1.65</c:v>
                </c:pt>
                <c:pt idx="3">
                  <c:v>1.65</c:v>
                </c:pt>
                <c:pt idx="4">
                  <c:v>1.65</c:v>
                </c:pt>
                <c:pt idx="5">
                  <c:v>1.65</c:v>
                </c:pt>
                <c:pt idx="6">
                  <c:v>1.65</c:v>
                </c:pt>
                <c:pt idx="7">
                  <c:v>1.65</c:v>
                </c:pt>
                <c:pt idx="8">
                  <c:v>1.65</c:v>
                </c:pt>
                <c:pt idx="9">
                  <c:v>1.65</c:v>
                </c:pt>
                <c:pt idx="10">
                  <c:v>1.65</c:v>
                </c:pt>
                <c:pt idx="11">
                  <c:v>1.65</c:v>
                </c:pt>
                <c:pt idx="12">
                  <c:v>1.65</c:v>
                </c:pt>
                <c:pt idx="13">
                  <c:v>1.65</c:v>
                </c:pt>
                <c:pt idx="14">
                  <c:v>1.65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44802560"/>
        <c:axId val="403600448"/>
      </c:barChart>
      <c:catAx>
        <c:axId val="444802048"/>
        <c:scaling>
          <c:orientation val="minMax"/>
        </c:scaling>
        <c:delete val="1"/>
        <c:axPos val="l"/>
        <c:majorTickMark val="out"/>
        <c:minorTickMark val="none"/>
        <c:tickLblPos val="nextTo"/>
        <c:crossAx val="403599872"/>
        <c:crosses val="autoZero"/>
        <c:auto val="1"/>
        <c:lblAlgn val="ctr"/>
        <c:lblOffset val="100"/>
        <c:noMultiLvlLbl val="0"/>
      </c:catAx>
      <c:valAx>
        <c:axId val="403599872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extTo"/>
        <c:crossAx val="444802048"/>
        <c:crosses val="autoZero"/>
        <c:crossBetween val="between"/>
      </c:valAx>
      <c:valAx>
        <c:axId val="403600448"/>
        <c:scaling>
          <c:orientation val="minMax"/>
        </c:scaling>
        <c:delete val="1"/>
        <c:axPos val="t"/>
        <c:numFmt formatCode="0%" sourceLinked="1"/>
        <c:majorTickMark val="out"/>
        <c:minorTickMark val="none"/>
        <c:tickLblPos val="nextTo"/>
        <c:crossAx val="444802560"/>
        <c:crosses val="max"/>
        <c:crossBetween val="between"/>
      </c:valAx>
      <c:catAx>
        <c:axId val="444802560"/>
        <c:scaling>
          <c:orientation val="minMax"/>
        </c:scaling>
        <c:delete val="1"/>
        <c:axPos val="l"/>
        <c:majorTickMark val="out"/>
        <c:minorTickMark val="none"/>
        <c:tickLblPos val="nextTo"/>
        <c:crossAx val="40360044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Reporting!$C$116</c:f>
          <c:strCache>
            <c:ptCount val="1"/>
            <c:pt idx="0">
              <c:v>Headcount Budget per Group</c:v>
            </c:pt>
          </c:strCache>
        </c:strRef>
      </c:tx>
      <c:layout>
        <c:manualLayout>
          <c:xMode val="edge"/>
          <c:yMode val="edge"/>
          <c:x val="0.35977482911137915"/>
          <c:y val="2.6755852842809364E-2"/>
        </c:manualLayout>
      </c:layout>
      <c:overlay val="0"/>
      <c:txPr>
        <a:bodyPr/>
        <a:lstStyle/>
        <a:p>
          <a:pPr>
            <a:defRPr sz="1600">
              <a:solidFill>
                <a:schemeClr val="tx2">
                  <a:lumMod val="75000"/>
                </a:schemeClr>
              </a:solidFill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6396378542569818"/>
          <c:y val="0.10818318278777025"/>
          <c:w val="0.56698209914771891"/>
          <c:h val="0.66716093072635585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Reporting!$D$117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 w="12700">
              <a:solidFill>
                <a:schemeClr val="tx2">
                  <a:lumMod val="75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CC"/>
              </a:solidFill>
              <a:ln w="12700">
                <a:solidFill>
                  <a:schemeClr val="tx2">
                    <a:lumMod val="75000"/>
                  </a:schemeClr>
                </a:solidFill>
              </a:ln>
            </c:spPr>
          </c:dPt>
          <c:dLbls>
            <c:txPr>
              <a:bodyPr/>
              <a:lstStyle/>
              <a:p>
                <a:pPr>
                  <a:defRPr b="1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Reporting!$C$118:$C$136</c:f>
              <c:strCache>
                <c:ptCount val="19"/>
                <c:pt idx="0">
                  <c:v>Total</c:v>
                </c:pt>
                <c:pt idx="1">
                  <c:v>Corporate Management Group</c:v>
                </c:pt>
                <c:pt idx="2">
                  <c:v>Strategy Office</c:v>
                </c:pt>
                <c:pt idx="3">
                  <c:v>Marketing Office</c:v>
                </c:pt>
                <c:pt idx="4">
                  <c:v>Company Law Office</c:v>
                </c:pt>
                <c:pt idx="5">
                  <c:v>Tele Communication Office</c:v>
                </c:pt>
                <c:pt idx="6">
                  <c:v>Training Department</c:v>
                </c:pt>
                <c:pt idx="7">
                  <c:v>Human Capital Development Office</c:v>
                </c:pt>
                <c:pt idx="8">
                  <c:v>Sales Department</c:v>
                </c:pt>
                <c:pt idx="9">
                  <c:v>Operational Risk Department</c:v>
                </c:pt>
                <c:pt idx="10">
                  <c:v>Finance Department</c:v>
                </c:pt>
                <c:pt idx="11">
                  <c:v>Operations Department</c:v>
                </c:pt>
                <c:pt idx="12">
                  <c:v>Risk Management</c:v>
                </c:pt>
                <c:pt idx="13">
                  <c:v>Financial Planning Department</c:v>
                </c:pt>
                <c:pt idx="14">
                  <c:v>Sales Strategy Department</c:v>
                </c:pt>
                <c:pt idx="15">
                  <c:v>Marketing Strategy Department</c:v>
                </c:pt>
                <c:pt idx="16">
                  <c:v>Technology Department</c:v>
                </c:pt>
                <c:pt idx="17">
                  <c:v>Legal Department</c:v>
                </c:pt>
                <c:pt idx="18">
                  <c:v>Sales Execution Department</c:v>
                </c:pt>
              </c:strCache>
            </c:strRef>
          </c:cat>
          <c:val>
            <c:numRef>
              <c:f>Reporting!$D$118:$D$136</c:f>
              <c:numCache>
                <c:formatCode>General</c:formatCode>
                <c:ptCount val="19"/>
                <c:pt idx="0">
                  <c:v>503</c:v>
                </c:pt>
                <c:pt idx="1">
                  <c:v>100</c:v>
                </c:pt>
                <c:pt idx="2">
                  <c:v>12</c:v>
                </c:pt>
                <c:pt idx="3">
                  <c:v>10</c:v>
                </c:pt>
                <c:pt idx="4">
                  <c:v>6</c:v>
                </c:pt>
                <c:pt idx="5">
                  <c:v>7</c:v>
                </c:pt>
                <c:pt idx="6">
                  <c:v>20</c:v>
                </c:pt>
                <c:pt idx="7">
                  <c:v>5</c:v>
                </c:pt>
                <c:pt idx="8">
                  <c:v>16</c:v>
                </c:pt>
                <c:pt idx="9">
                  <c:v>5</c:v>
                </c:pt>
                <c:pt idx="10">
                  <c:v>27</c:v>
                </c:pt>
                <c:pt idx="11">
                  <c:v>18</c:v>
                </c:pt>
                <c:pt idx="12">
                  <c:v>30</c:v>
                </c:pt>
                <c:pt idx="13">
                  <c:v>10</c:v>
                </c:pt>
                <c:pt idx="14">
                  <c:v>26</c:v>
                </c:pt>
                <c:pt idx="15">
                  <c:v>11</c:v>
                </c:pt>
                <c:pt idx="16">
                  <c:v>45</c:v>
                </c:pt>
                <c:pt idx="17">
                  <c:v>19</c:v>
                </c:pt>
                <c:pt idx="18">
                  <c:v>136</c:v>
                </c:pt>
              </c:numCache>
            </c:numRef>
          </c:val>
        </c:ser>
        <c:ser>
          <c:idx val="1"/>
          <c:order val="1"/>
          <c:tx>
            <c:strRef>
              <c:f>Reporting!$E$117</c:f>
              <c:strCache>
                <c:ptCount val="1"/>
                <c:pt idx="0">
                  <c:v>Vacant</c:v>
                </c:pt>
              </c:strCache>
            </c:strRef>
          </c:tx>
          <c:spPr>
            <a:noFill/>
            <a:ln w="12700">
              <a:solidFill>
                <a:schemeClr val="tx2">
                  <a:lumMod val="75000"/>
                </a:schemeClr>
              </a:solidFill>
            </a:ln>
          </c:spPr>
          <c:invertIfNegative val="0"/>
          <c:dLbls>
            <c:dLbl>
              <c:idx val="0"/>
              <c:layout>
                <c:manualLayout>
                  <c:x val="-1.4197502768801299E-2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7625625009164494E-2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layout>
                <c:manualLayout>
                  <c:x val="-1.7625625009164494E-2"/>
                  <c:y val="-4.2809390653937629E-1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Reporting!$C$118:$C$136</c:f>
              <c:strCache>
                <c:ptCount val="19"/>
                <c:pt idx="0">
                  <c:v>Total</c:v>
                </c:pt>
                <c:pt idx="1">
                  <c:v>Corporate Management Group</c:v>
                </c:pt>
                <c:pt idx="2">
                  <c:v>Strategy Office</c:v>
                </c:pt>
                <c:pt idx="3">
                  <c:v>Marketing Office</c:v>
                </c:pt>
                <c:pt idx="4">
                  <c:v>Company Law Office</c:v>
                </c:pt>
                <c:pt idx="5">
                  <c:v>Tele Communication Office</c:v>
                </c:pt>
                <c:pt idx="6">
                  <c:v>Training Department</c:v>
                </c:pt>
                <c:pt idx="7">
                  <c:v>Human Capital Development Office</c:v>
                </c:pt>
                <c:pt idx="8">
                  <c:v>Sales Department</c:v>
                </c:pt>
                <c:pt idx="9">
                  <c:v>Operational Risk Department</c:v>
                </c:pt>
                <c:pt idx="10">
                  <c:v>Finance Department</c:v>
                </c:pt>
                <c:pt idx="11">
                  <c:v>Operations Department</c:v>
                </c:pt>
                <c:pt idx="12">
                  <c:v>Risk Management</c:v>
                </c:pt>
                <c:pt idx="13">
                  <c:v>Financial Planning Department</c:v>
                </c:pt>
                <c:pt idx="14">
                  <c:v>Sales Strategy Department</c:v>
                </c:pt>
                <c:pt idx="15">
                  <c:v>Marketing Strategy Department</c:v>
                </c:pt>
                <c:pt idx="16">
                  <c:v>Technology Department</c:v>
                </c:pt>
                <c:pt idx="17">
                  <c:v>Legal Department</c:v>
                </c:pt>
                <c:pt idx="18">
                  <c:v>Sales Execution Department</c:v>
                </c:pt>
              </c:strCache>
            </c:strRef>
          </c:cat>
          <c:val>
            <c:numRef>
              <c:f>Reporting!$E$118:$E$136</c:f>
              <c:numCache>
                <c:formatCode>General</c:formatCode>
                <c:ptCount val="19"/>
                <c:pt idx="0">
                  <c:v>58</c:v>
                </c:pt>
                <c:pt idx="1">
                  <c:v>7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8</c:v>
                </c:pt>
                <c:pt idx="8">
                  <c:v>3</c:v>
                </c:pt>
                <c:pt idx="9">
                  <c:v>3</c:v>
                </c:pt>
                <c:pt idx="10">
                  <c:v>4</c:v>
                </c:pt>
                <c:pt idx="11">
                  <c:v>2</c:v>
                </c:pt>
                <c:pt idx="12">
                  <c:v>0</c:v>
                </c:pt>
                <c:pt idx="13">
                  <c:v>4</c:v>
                </c:pt>
                <c:pt idx="14">
                  <c:v>0</c:v>
                </c:pt>
                <c:pt idx="15">
                  <c:v>9</c:v>
                </c:pt>
                <c:pt idx="16">
                  <c:v>0</c:v>
                </c:pt>
                <c:pt idx="17">
                  <c:v>2</c:v>
                </c:pt>
                <c:pt idx="18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444803584"/>
        <c:axId val="403607488"/>
      </c:barChart>
      <c:barChart>
        <c:barDir val="bar"/>
        <c:grouping val="percentStacked"/>
        <c:varyColors val="0"/>
        <c:ser>
          <c:idx val="2"/>
          <c:order val="2"/>
          <c:tx>
            <c:strRef>
              <c:f>Reporting!$F$117</c:f>
              <c:strCache>
                <c:ptCount val="1"/>
                <c:pt idx="0">
                  <c:v>Budgeted</c:v>
                </c:pt>
              </c:strCache>
            </c:strRef>
          </c:tx>
          <c:spPr>
            <a:noFill/>
            <a:ln w="19050">
              <a:solidFill>
                <a:srgbClr val="FA6500"/>
              </a:solidFill>
            </a:ln>
          </c:spPr>
          <c:invertIfNegative val="0"/>
          <c:dLbls>
            <c:dLbl>
              <c:idx val="0"/>
              <c:layout>
                <c:manualLayout>
                  <c:x val="0.30105563394171114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.30056221062254834"/>
                  <c:y val="-4.9019607843137254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0.29836751304963283"/>
                  <c:y val="-8.9868242880141127E-1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.29836751304963283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.29467457017311038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0.29317644283228628"/>
                  <c:y val="-8.9868242880141127E-1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.29686938570880889"/>
                  <c:y val="-8.9868242880141127E-1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.29836751304963283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0.29467457017311038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0.29537125836798478"/>
                  <c:y val="-8.9868242880141127E-1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layout>
                <c:manualLayout>
                  <c:x val="0.29686938570880889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layout>
                <c:manualLayout>
                  <c:x val="0.29836751304963283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"/>
              <c:layout>
                <c:manualLayout>
                  <c:x val="0.29686938570880889"/>
                  <c:y val="4.4934121440070564E-1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layout>
                <c:manualLayout>
                  <c:x val="0.29467457017311038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"/>
              <c:layout>
                <c:manualLayout>
                  <c:x val="0.29686938570880889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"/>
              <c:layout>
                <c:manualLayout>
                  <c:x val="0.29686938570880889"/>
                  <c:y val="-2.2467060720035282E-1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"/>
              <c:layout>
                <c:manualLayout>
                  <c:x val="0.30056221062254834"/>
                  <c:y val="-2.2467060720035282E-1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"/>
              <c:layout>
                <c:manualLayout>
                  <c:x val="0.29537125836798478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"/>
              <c:layout>
                <c:manualLayout>
                  <c:x val="0.29906408328172462"/>
                  <c:y val="-5.6167651800088204E-18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Reporting!$C$118:$C$136</c:f>
              <c:strCache>
                <c:ptCount val="19"/>
                <c:pt idx="0">
                  <c:v>Total</c:v>
                </c:pt>
                <c:pt idx="1">
                  <c:v>Corporate Management Group</c:v>
                </c:pt>
                <c:pt idx="2">
                  <c:v>Strategy Office</c:v>
                </c:pt>
                <c:pt idx="3">
                  <c:v>Marketing Office</c:v>
                </c:pt>
                <c:pt idx="4">
                  <c:v>Company Law Office</c:v>
                </c:pt>
                <c:pt idx="5">
                  <c:v>Tele Communication Office</c:v>
                </c:pt>
                <c:pt idx="6">
                  <c:v>Training Department</c:v>
                </c:pt>
                <c:pt idx="7">
                  <c:v>Human Capital Development Office</c:v>
                </c:pt>
                <c:pt idx="8">
                  <c:v>Sales Department</c:v>
                </c:pt>
                <c:pt idx="9">
                  <c:v>Operational Risk Department</c:v>
                </c:pt>
                <c:pt idx="10">
                  <c:v>Finance Department</c:v>
                </c:pt>
                <c:pt idx="11">
                  <c:v>Operations Department</c:v>
                </c:pt>
                <c:pt idx="12">
                  <c:v>Risk Management</c:v>
                </c:pt>
                <c:pt idx="13">
                  <c:v>Financial Planning Department</c:v>
                </c:pt>
                <c:pt idx="14">
                  <c:v>Sales Strategy Department</c:v>
                </c:pt>
                <c:pt idx="15">
                  <c:v>Marketing Strategy Department</c:v>
                </c:pt>
                <c:pt idx="16">
                  <c:v>Technology Department</c:v>
                </c:pt>
                <c:pt idx="17">
                  <c:v>Legal Department</c:v>
                </c:pt>
                <c:pt idx="18">
                  <c:v>Sales Execution Department</c:v>
                </c:pt>
              </c:strCache>
            </c:strRef>
          </c:cat>
          <c:val>
            <c:numRef>
              <c:f>Reporting!$F$118:$F$136</c:f>
              <c:numCache>
                <c:formatCode>General</c:formatCode>
                <c:ptCount val="19"/>
                <c:pt idx="0">
                  <c:v>561</c:v>
                </c:pt>
                <c:pt idx="1">
                  <c:v>107</c:v>
                </c:pt>
                <c:pt idx="2">
                  <c:v>15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20</c:v>
                </c:pt>
                <c:pt idx="7">
                  <c:v>13</c:v>
                </c:pt>
                <c:pt idx="8">
                  <c:v>19</c:v>
                </c:pt>
                <c:pt idx="9">
                  <c:v>8</c:v>
                </c:pt>
                <c:pt idx="10">
                  <c:v>31</c:v>
                </c:pt>
                <c:pt idx="11">
                  <c:v>20</c:v>
                </c:pt>
                <c:pt idx="12">
                  <c:v>30</c:v>
                </c:pt>
                <c:pt idx="13">
                  <c:v>14</c:v>
                </c:pt>
                <c:pt idx="14">
                  <c:v>26</c:v>
                </c:pt>
                <c:pt idx="15">
                  <c:v>20</c:v>
                </c:pt>
                <c:pt idx="16">
                  <c:v>45</c:v>
                </c:pt>
                <c:pt idx="17">
                  <c:v>21</c:v>
                </c:pt>
                <c:pt idx="18">
                  <c:v>146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444868608"/>
        <c:axId val="403608064"/>
      </c:barChart>
      <c:valAx>
        <c:axId val="403607488"/>
        <c:scaling>
          <c:orientation val="minMax"/>
        </c:scaling>
        <c:delete val="1"/>
        <c:axPos val="t"/>
        <c:numFmt formatCode="0%" sourceLinked="1"/>
        <c:majorTickMark val="out"/>
        <c:minorTickMark val="none"/>
        <c:tickLblPos val="nextTo"/>
        <c:crossAx val="444803584"/>
        <c:crosses val="max"/>
        <c:crossBetween val="between"/>
      </c:valAx>
      <c:catAx>
        <c:axId val="444803584"/>
        <c:scaling>
          <c:orientation val="minMax"/>
        </c:scaling>
        <c:delete val="0"/>
        <c:axPos val="l"/>
        <c:majorTickMark val="none"/>
        <c:minorTickMark val="none"/>
        <c:tickLblPos val="nextTo"/>
        <c:spPr>
          <a:ln w="19050">
            <a:solidFill>
              <a:srgbClr val="FF3300"/>
            </a:solidFill>
          </a:ln>
        </c:spPr>
        <c:txPr>
          <a:bodyPr/>
          <a:lstStyle/>
          <a:p>
            <a:pPr>
              <a:defRPr b="1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403607488"/>
        <c:crosses val="autoZero"/>
        <c:auto val="1"/>
        <c:lblAlgn val="ctr"/>
        <c:lblOffset val="100"/>
        <c:noMultiLvlLbl val="0"/>
      </c:catAx>
      <c:valAx>
        <c:axId val="403608064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extTo"/>
        <c:crossAx val="444868608"/>
        <c:crosses val="autoZero"/>
        <c:crossBetween val="between"/>
      </c:valAx>
      <c:catAx>
        <c:axId val="444868608"/>
        <c:scaling>
          <c:orientation val="minMax"/>
        </c:scaling>
        <c:delete val="1"/>
        <c:axPos val="l"/>
        <c:majorTickMark val="out"/>
        <c:minorTickMark val="none"/>
        <c:tickLblPos val="nextTo"/>
        <c:crossAx val="403608064"/>
        <c:crosses val="autoZero"/>
        <c:auto val="1"/>
        <c:lblAlgn val="ctr"/>
        <c:lblOffset val="100"/>
        <c:noMultiLvlLbl val="0"/>
      </c:catAx>
    </c:plotArea>
    <c:legend>
      <c:legendPos val="b"/>
      <c:layout>
        <c:manualLayout>
          <c:xMode val="edge"/>
          <c:yMode val="edge"/>
          <c:x val="0.36245053807357314"/>
          <c:y val="0.79059718658763156"/>
          <c:w val="0.25359379515762775"/>
          <c:h val="4.5616239459429268E-2"/>
        </c:manualLayout>
      </c:layout>
      <c:overlay val="0"/>
      <c:txPr>
        <a:bodyPr/>
        <a:lstStyle/>
        <a:p>
          <a:pPr>
            <a:defRPr sz="1100" b="1">
              <a:solidFill>
                <a:schemeClr val="tx2">
                  <a:lumMod val="75000"/>
                </a:schemeClr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noFill/>
    <a:ln w="12700">
      <a:noFill/>
      <a:prstDash val="dash"/>
    </a:ln>
  </c:spPr>
  <c:printSettings>
    <c:headerFooter/>
    <c:pageMargins b="0.75" l="0.7" r="0.7" t="0.75" header="0.3" footer="0.3"/>
    <c:pageSetup/>
  </c:printSettings>
  <c:userShapes r:id="rId1"/>
</c:chartSpac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0</xdr:row>
      <xdr:rowOff>47625</xdr:rowOff>
    </xdr:from>
    <xdr:to>
      <xdr:col>0</xdr:col>
      <xdr:colOff>1819276</xdr:colOff>
      <xdr:row>0</xdr:row>
      <xdr:rowOff>276225</xdr:rowOff>
    </xdr:to>
    <xdr:sp macro="[0]!backup" textlink="">
      <xdr:nvSpPr>
        <xdr:cNvPr id="2" name="Rounded Rectangle 1"/>
        <xdr:cNvSpPr/>
      </xdr:nvSpPr>
      <xdr:spPr>
        <a:xfrm>
          <a:off x="571500" y="47625"/>
          <a:ext cx="1247776" cy="2286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accent6">
              <a:lumMod val="40000"/>
              <a:lumOff val="6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CB540B"/>
              </a:solidFill>
            </a:rPr>
            <a:t>Backup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2409825</xdr:colOff>
          <xdr:row>0</xdr:row>
          <xdr:rowOff>38100</xdr:rowOff>
        </xdr:from>
        <xdr:to>
          <xdr:col>3</xdr:col>
          <xdr:colOff>3171825</xdr:colOff>
          <xdr:row>0</xdr:row>
          <xdr:rowOff>276225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518582</xdr:colOff>
      <xdr:row>0</xdr:row>
      <xdr:rowOff>31750</xdr:rowOff>
    </xdr:from>
    <xdr:to>
      <xdr:col>3</xdr:col>
      <xdr:colOff>328083</xdr:colOff>
      <xdr:row>0</xdr:row>
      <xdr:rowOff>317500</xdr:rowOff>
    </xdr:to>
    <xdr:sp macro="[0]!ac" textlink="">
      <xdr:nvSpPr>
        <xdr:cNvPr id="2" name="Rounded Rectangle 1"/>
        <xdr:cNvSpPr/>
      </xdr:nvSpPr>
      <xdr:spPr>
        <a:xfrm>
          <a:off x="2984499" y="31750"/>
          <a:ext cx="1767417" cy="2857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accent5">
                  <a:lumMod val="50000"/>
                </a:schemeClr>
              </a:solidFill>
            </a:rPr>
            <a:t>To Open Form - Click Here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57150</xdr:colOff>
      <xdr:row>84</xdr:row>
      <xdr:rowOff>0</xdr:rowOff>
    </xdr:from>
    <xdr:to>
      <xdr:col>27</xdr:col>
      <xdr:colOff>19051</xdr:colOff>
      <xdr:row>113</xdr:row>
      <xdr:rowOff>152400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76200</xdr:colOff>
      <xdr:row>115</xdr:row>
      <xdr:rowOff>95250</xdr:rowOff>
    </xdr:from>
    <xdr:to>
      <xdr:col>24</xdr:col>
      <xdr:colOff>295275</xdr:colOff>
      <xdr:row>144</xdr:row>
      <xdr:rowOff>38099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390525</xdr:colOff>
      <xdr:row>24</xdr:row>
      <xdr:rowOff>180974</xdr:rowOff>
    </xdr:from>
    <xdr:to>
      <xdr:col>21</xdr:col>
      <xdr:colOff>409575</xdr:colOff>
      <xdr:row>41</xdr:row>
      <xdr:rowOff>28575</xdr:rowOff>
    </xdr:to>
    <xdr:graphicFrame macro="">
      <xdr:nvGraphicFramePr>
        <xdr:cNvPr id="8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4397</xdr:colOff>
      <xdr:row>43</xdr:row>
      <xdr:rowOff>175723</xdr:rowOff>
    </xdr:from>
    <xdr:to>
      <xdr:col>18</xdr:col>
      <xdr:colOff>35903</xdr:colOff>
      <xdr:row>55</xdr:row>
      <xdr:rowOff>54683</xdr:rowOff>
    </xdr:to>
    <xdr:graphicFrame macro="">
      <xdr:nvGraphicFramePr>
        <xdr:cNvPr id="9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177312</xdr:colOff>
      <xdr:row>57</xdr:row>
      <xdr:rowOff>89754</xdr:rowOff>
    </xdr:from>
    <xdr:to>
      <xdr:col>23</xdr:col>
      <xdr:colOff>263037</xdr:colOff>
      <xdr:row>77</xdr:row>
      <xdr:rowOff>75467</xdr:rowOff>
    </xdr:to>
    <xdr:graphicFrame macro="">
      <xdr:nvGraphicFramePr>
        <xdr:cNvPr id="12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590550</xdr:colOff>
      <xdr:row>0</xdr:row>
      <xdr:rowOff>47625</xdr:rowOff>
    </xdr:from>
    <xdr:to>
      <xdr:col>9</xdr:col>
      <xdr:colOff>266700</xdr:colOff>
      <xdr:row>1</xdr:row>
      <xdr:rowOff>95250</xdr:rowOff>
    </xdr:to>
    <xdr:sp macro="[0]!ReportingPPT" textlink="">
      <xdr:nvSpPr>
        <xdr:cNvPr id="10" name="Rounded Rectangle 9"/>
        <xdr:cNvSpPr/>
      </xdr:nvSpPr>
      <xdr:spPr>
        <a:xfrm>
          <a:off x="5276850" y="47625"/>
          <a:ext cx="1504950" cy="2381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accent1">
                  <a:lumMod val="75000"/>
                </a:schemeClr>
              </a:solidFill>
            </a:rPr>
            <a:t>Create Reporting</a:t>
          </a:r>
          <a:r>
            <a:rPr lang="en-US" sz="1100" baseline="0">
              <a:solidFill>
                <a:schemeClr val="accent1">
                  <a:lumMod val="75000"/>
                </a:schemeClr>
              </a:solidFill>
            </a:rPr>
            <a:t> PPT</a:t>
          </a:r>
          <a:endParaRPr lang="en-US" sz="1100">
            <a:solidFill>
              <a:schemeClr val="accent1">
                <a:lumMod val="75000"/>
              </a:schemeClr>
            </a:solidFill>
          </a:endParaRPr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0.61174</cdr:x>
      <cdr:y>0.74726</cdr:y>
    </cdr:from>
    <cdr:to>
      <cdr:x>0.7568</cdr:x>
      <cdr:y>0.80097</cdr:y>
    </cdr:to>
    <cdr:sp macro="" textlink="Reporting!$K$98">
      <cdr:nvSpPr>
        <cdr:cNvPr id="5" name="TextBox 4"/>
        <cdr:cNvSpPr txBox="1"/>
      </cdr:nvSpPr>
      <cdr:spPr>
        <a:xfrm xmlns:a="http://schemas.openxmlformats.org/drawingml/2006/main">
          <a:off x="5943319" y="4270613"/>
          <a:ext cx="1409331" cy="3069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4EA82904-6E82-459D-84FD-32D915B861DA}" type="TxLink">
            <a:rPr lang="en-US" sz="1100" b="1" i="0" u="none" strike="noStrike">
              <a:solidFill>
                <a:schemeClr val="tx2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pPr/>
            <a:t>Expat</a:t>
          </a:fld>
          <a:endParaRPr lang="en-US" sz="1100" b="1">
            <a:solidFill>
              <a:schemeClr val="tx2">
                <a:lumMod val="7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0.29392</cdr:x>
      <cdr:y>0.74668</cdr:y>
    </cdr:from>
    <cdr:to>
      <cdr:x>0.41084</cdr:x>
      <cdr:y>0.81293</cdr:y>
    </cdr:to>
    <cdr:sp macro="" textlink="Reporting!$E$98">
      <cdr:nvSpPr>
        <cdr:cNvPr id="6" name="TextBox 5"/>
        <cdr:cNvSpPr txBox="1"/>
      </cdr:nvSpPr>
      <cdr:spPr>
        <a:xfrm xmlns:a="http://schemas.openxmlformats.org/drawingml/2006/main">
          <a:off x="2855548" y="4267265"/>
          <a:ext cx="1135937" cy="3786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fld id="{E2C96098-3EED-4D20-B7E9-13EDD0D6891B}" type="TxLink">
            <a:rPr lang="en-US" sz="1100" b="1" i="0" u="none" strike="noStrike">
              <a:solidFill>
                <a:schemeClr val="tx2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pPr algn="r"/>
            <a:t>Indian</a:t>
          </a:fld>
          <a:endParaRPr lang="en-US" sz="1100" b="1">
            <a:solidFill>
              <a:schemeClr val="tx2">
                <a:lumMod val="7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0.16285</cdr:x>
      <cdr:y>0.74846</cdr:y>
    </cdr:from>
    <cdr:to>
      <cdr:x>0.21476</cdr:x>
      <cdr:y>0.80032</cdr:y>
    </cdr:to>
    <cdr:sp macro="" textlink="Reporting!$D$98">
      <cdr:nvSpPr>
        <cdr:cNvPr id="4" name="TextBox 3"/>
        <cdr:cNvSpPr txBox="1"/>
      </cdr:nvSpPr>
      <cdr:spPr>
        <a:xfrm xmlns:a="http://schemas.openxmlformats.org/drawingml/2006/main">
          <a:off x="1582139" y="4277448"/>
          <a:ext cx="504332" cy="2963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28CD51A6-AC79-48B2-9EB7-98F0ED90CE5D}" type="TxLink">
            <a:rPr lang="en-US" sz="1100" b="1" i="0" u="none" strike="noStrike">
              <a:solidFill>
                <a:schemeClr val="tx2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pPr/>
            <a:t>64%</a:t>
          </a:fld>
          <a:endParaRPr lang="en-US" sz="1200" b="1">
            <a:solidFill>
              <a:schemeClr val="tx2">
                <a:lumMod val="7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0.05911</cdr:x>
      <cdr:y>0.85072</cdr:y>
    </cdr:from>
    <cdr:to>
      <cdr:x>0.93969</cdr:x>
      <cdr:y>0.97659</cdr:y>
    </cdr:to>
    <cdr:sp macro="" textlink="Reporting!$D$138">
      <cdr:nvSpPr>
        <cdr:cNvPr id="2" name="Rounded Rectangle 1"/>
        <cdr:cNvSpPr/>
      </cdr:nvSpPr>
      <cdr:spPr>
        <a:xfrm xmlns:a="http://schemas.openxmlformats.org/drawingml/2006/main">
          <a:off x="466725" y="5048251"/>
          <a:ext cx="6953250" cy="746898"/>
        </a:xfrm>
        <a:prstGeom xmlns:a="http://schemas.openxmlformats.org/drawingml/2006/main" prst="roundRect">
          <a:avLst/>
        </a:prstGeom>
        <a:solidFill xmlns:a="http://schemas.openxmlformats.org/drawingml/2006/main">
          <a:srgbClr val="ECF1F8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fld id="{AD33BE52-E568-4710-B07C-D121E88AE49D}" type="TxLink">
            <a:rPr lang="en-US" sz="1100" b="0" i="0" u="none" strike="noStrike">
              <a:solidFill>
                <a:schemeClr val="tx2">
                  <a:lumMod val="75000"/>
                </a:schemeClr>
              </a:solidFill>
              <a:latin typeface="Calibri"/>
            </a:rPr>
            <a:pPr/>
            <a:t> </a:t>
          </a:fld>
          <a:endParaRPr lang="en-US">
            <a:solidFill>
              <a:schemeClr val="tx2">
                <a:lumMod val="75000"/>
              </a:schemeClr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0.16687</cdr:x>
      <cdr:y>0.458</cdr:y>
    </cdr:from>
    <cdr:to>
      <cdr:x>0.41062</cdr:x>
      <cdr:y>0.62441</cdr:y>
    </cdr:to>
    <cdr:sp macro="" textlink="Reporting!$D$29">
      <cdr:nvSpPr>
        <cdr:cNvPr id="2" name="TextBox 1"/>
        <cdr:cNvSpPr txBox="1"/>
      </cdr:nvSpPr>
      <cdr:spPr>
        <a:xfrm xmlns:a="http://schemas.openxmlformats.org/drawingml/2006/main">
          <a:off x="1497293" y="1544312"/>
          <a:ext cx="2187059" cy="5611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A15ADF93-1977-4BE2-8F10-6D31E93C5A50}" type="TxLink">
            <a:rPr lang="en-US" sz="4800" b="1" i="0" u="none" strike="noStrike">
              <a:solidFill>
                <a:schemeClr val="accent2">
                  <a:lumMod val="50000"/>
                </a:schemeClr>
              </a:solidFill>
              <a:latin typeface="Calibri"/>
            </a:rPr>
            <a:pPr algn="ctr"/>
            <a:t>972</a:t>
          </a:fld>
          <a:endParaRPr lang="en-US" sz="4800" b="1">
            <a:solidFill>
              <a:schemeClr val="accent2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0.52473</cdr:x>
      <cdr:y>0.30647</cdr:y>
    </cdr:from>
    <cdr:to>
      <cdr:x>0.97498</cdr:x>
      <cdr:y>0.72171</cdr:y>
    </cdr:to>
    <cdr:sp macro="" textlink="Reporting!$C$39">
      <cdr:nvSpPr>
        <cdr:cNvPr id="3" name="Rounded Rectangle 2"/>
        <cdr:cNvSpPr/>
      </cdr:nvSpPr>
      <cdr:spPr>
        <a:xfrm xmlns:a="http://schemas.openxmlformats.org/drawingml/2006/main">
          <a:off x="5023044" y="954555"/>
          <a:ext cx="4310074" cy="1293346"/>
        </a:xfrm>
        <a:prstGeom xmlns:a="http://schemas.openxmlformats.org/drawingml/2006/main" prst="roundRect">
          <a:avLst/>
        </a:prstGeom>
        <a:solidFill xmlns:a="http://schemas.openxmlformats.org/drawingml/2006/main">
          <a:srgbClr val="ECF1F8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l"/>
          <a:fld id="{2D5D0085-13D5-48C9-8F6F-1FF6FD0BFB47}" type="TxLink">
            <a:rPr lang="en-US" sz="1100" b="0" i="0" u="none" strike="noStrike">
              <a:solidFill>
                <a:schemeClr val="tx2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pPr algn="l"/>
            <a:t>Total Active positions by Source till end August 2005are972.
Major source has been direct hires,  constituting 24%* of the total recruitment.
* Internal transfers not considered.</a:t>
          </a:fld>
          <a:endParaRPr lang="en-US">
            <a:solidFill>
              <a:schemeClr val="tx2">
                <a:lumMod val="7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0.03417</cdr:x>
      <cdr:y>0.93894</cdr:y>
    </cdr:from>
    <cdr:to>
      <cdr:x>0.95176</cdr:x>
      <cdr:y>0.93894</cdr:y>
    </cdr:to>
    <cdr:cxnSp macro="">
      <cdr:nvCxnSpPr>
        <cdr:cNvPr id="7" name="Straight Connector 6"/>
        <cdr:cNvCxnSpPr/>
      </cdr:nvCxnSpPr>
      <cdr:spPr>
        <a:xfrm xmlns:a="http://schemas.openxmlformats.org/drawingml/2006/main" flipV="1">
          <a:off x="323842" y="3255397"/>
          <a:ext cx="8696345" cy="0"/>
        </a:xfrm>
        <a:prstGeom xmlns:a="http://schemas.openxmlformats.org/drawingml/2006/main" prst="line">
          <a:avLst/>
        </a:prstGeom>
        <a:ln xmlns:a="http://schemas.openxmlformats.org/drawingml/2006/main" w="12700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0.02574</cdr:x>
      <cdr:y>0.78882</cdr:y>
    </cdr:from>
    <cdr:to>
      <cdr:x>0.97555</cdr:x>
      <cdr:y>0.92795</cdr:y>
    </cdr:to>
    <cdr:sp macro="" textlink="Reporting!$C$70">
      <cdr:nvSpPr>
        <cdr:cNvPr id="3" name="Rounded Rectangle 2"/>
        <cdr:cNvSpPr/>
      </cdr:nvSpPr>
      <cdr:spPr>
        <a:xfrm xmlns:a="http://schemas.openxmlformats.org/drawingml/2006/main">
          <a:off x="190501" y="3024190"/>
          <a:ext cx="7029450" cy="533400"/>
        </a:xfrm>
        <a:prstGeom xmlns:a="http://schemas.openxmlformats.org/drawingml/2006/main" prst="roundRect">
          <a:avLst/>
        </a:prstGeom>
        <a:solidFill xmlns:a="http://schemas.openxmlformats.org/drawingml/2006/main">
          <a:srgbClr val="ECF1F8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l"/>
          <a:fld id="{9377677A-A1D0-4DB7-93F8-C4A0469EFC4D}" type="TxLink">
            <a:rPr lang="en-US" sz="1100" b="0" i="0" u="none" strike="noStrike">
              <a:solidFill>
                <a:schemeClr val="tx2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pPr algn="l"/>
            <a:t>Overall regretted resignations are  24% of the total.</a:t>
          </a:fld>
          <a:endParaRPr lang="en-US">
            <a:solidFill>
              <a:schemeClr val="tx2">
                <a:lumMod val="7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27</xdr:row>
      <xdr:rowOff>28575</xdr:rowOff>
    </xdr:from>
    <xdr:to>
      <xdr:col>18</xdr:col>
      <xdr:colOff>28575</xdr:colOff>
      <xdr:row>43</xdr:row>
      <xdr:rowOff>95251</xdr:rowOff>
    </xdr:to>
    <xdr:graphicFrame macro="">
      <xdr:nvGraphicFramePr>
        <xdr:cNvPr id="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190500</xdr:colOff>
      <xdr:row>44</xdr:row>
      <xdr:rowOff>19050</xdr:rowOff>
    </xdr:from>
    <xdr:to>
      <xdr:col>11</xdr:col>
      <xdr:colOff>222006</xdr:colOff>
      <xdr:row>55</xdr:row>
      <xdr:rowOff>107560</xdr:rowOff>
    </xdr:to>
    <xdr:graphicFrame macro="">
      <xdr:nvGraphicFramePr>
        <xdr:cNvPr id="4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200025</xdr:colOff>
      <xdr:row>56</xdr:row>
      <xdr:rowOff>19050</xdr:rowOff>
    </xdr:from>
    <xdr:to>
      <xdr:col>15</xdr:col>
      <xdr:colOff>285750</xdr:colOff>
      <xdr:row>76</xdr:row>
      <xdr:rowOff>42863</xdr:rowOff>
    </xdr:to>
    <xdr:graphicFrame macro="">
      <xdr:nvGraphicFramePr>
        <xdr:cNvPr id="5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47625</xdr:colOff>
      <xdr:row>75</xdr:row>
      <xdr:rowOff>171450</xdr:rowOff>
    </xdr:from>
    <xdr:to>
      <xdr:col>19</xdr:col>
      <xdr:colOff>9526</xdr:colOff>
      <xdr:row>105</xdr:row>
      <xdr:rowOff>171450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76200</xdr:colOff>
      <xdr:row>106</xdr:row>
      <xdr:rowOff>19050</xdr:rowOff>
    </xdr:from>
    <xdr:to>
      <xdr:col>15</xdr:col>
      <xdr:colOff>295275</xdr:colOff>
      <xdr:row>134</xdr:row>
      <xdr:rowOff>190499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123825</xdr:colOff>
      <xdr:row>0</xdr:row>
      <xdr:rowOff>85725</xdr:rowOff>
    </xdr:from>
    <xdr:to>
      <xdr:col>2</xdr:col>
      <xdr:colOff>533400</xdr:colOff>
      <xdr:row>2</xdr:row>
      <xdr:rowOff>76200</xdr:rowOff>
    </xdr:to>
    <xdr:sp macro="[0]!ReportingPPT" textlink="">
      <xdr:nvSpPr>
        <xdr:cNvPr id="8" name="Rounded Rectangle 7"/>
        <xdr:cNvSpPr/>
      </xdr:nvSpPr>
      <xdr:spPr>
        <a:xfrm>
          <a:off x="123825" y="85725"/>
          <a:ext cx="1628775" cy="371475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2">
                  <a:lumMod val="75000"/>
                </a:schemeClr>
              </a:solidFill>
            </a:rPr>
            <a:t>Create Presentation</a:t>
          </a:r>
        </a:p>
      </xdr:txBody>
    </xdr:sp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0.16687</cdr:x>
      <cdr:y>0.458</cdr:y>
    </cdr:from>
    <cdr:to>
      <cdr:x>0.41062</cdr:x>
      <cdr:y>0.62441</cdr:y>
    </cdr:to>
    <cdr:sp macro="" textlink="Reporting!$D$29">
      <cdr:nvSpPr>
        <cdr:cNvPr id="2" name="TextBox 1"/>
        <cdr:cNvSpPr txBox="1"/>
      </cdr:nvSpPr>
      <cdr:spPr>
        <a:xfrm xmlns:a="http://schemas.openxmlformats.org/drawingml/2006/main">
          <a:off x="1497293" y="1544312"/>
          <a:ext cx="2187059" cy="5611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A15ADF93-1977-4BE2-8F10-6D31E93C5A50}" type="TxLink">
            <a:rPr lang="en-US" sz="4800" b="1" i="0" u="none" strike="noStrike">
              <a:solidFill>
                <a:schemeClr val="accent2">
                  <a:lumMod val="50000"/>
                </a:schemeClr>
              </a:solidFill>
              <a:latin typeface="Calibri"/>
            </a:rPr>
            <a:pPr algn="ctr"/>
            <a:t>972</a:t>
          </a:fld>
          <a:endParaRPr lang="en-US" sz="4800" b="1">
            <a:solidFill>
              <a:schemeClr val="accent2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0.52473</cdr:x>
      <cdr:y>0.30647</cdr:y>
    </cdr:from>
    <cdr:to>
      <cdr:x>0.97498</cdr:x>
      <cdr:y>0.72171</cdr:y>
    </cdr:to>
    <cdr:sp macro="" textlink="Reporting!$C$39">
      <cdr:nvSpPr>
        <cdr:cNvPr id="3" name="Rounded Rectangle 2"/>
        <cdr:cNvSpPr/>
      </cdr:nvSpPr>
      <cdr:spPr>
        <a:xfrm xmlns:a="http://schemas.openxmlformats.org/drawingml/2006/main">
          <a:off x="5023044" y="954555"/>
          <a:ext cx="4310074" cy="1293346"/>
        </a:xfrm>
        <a:prstGeom xmlns:a="http://schemas.openxmlformats.org/drawingml/2006/main" prst="roundRect">
          <a:avLst/>
        </a:prstGeom>
        <a:solidFill xmlns:a="http://schemas.openxmlformats.org/drawingml/2006/main">
          <a:srgbClr val="ECF1F8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l"/>
          <a:fld id="{2D5D0085-13D5-48C9-8F6F-1FF6FD0BFB47}" type="TxLink">
            <a:rPr lang="en-US" sz="1100" b="0" i="0" u="none" strike="noStrike">
              <a:solidFill>
                <a:schemeClr val="tx2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pPr algn="l"/>
            <a:t>Total Active positions by Source till end August 2005are972.
Major source has been direct hires,  constituting 24%* of the total recruitment.
* Internal transfers not considered.</a:t>
          </a:fld>
          <a:endParaRPr lang="en-US">
            <a:solidFill>
              <a:schemeClr val="tx2">
                <a:lumMod val="7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0.03417</cdr:x>
      <cdr:y>0.93894</cdr:y>
    </cdr:from>
    <cdr:to>
      <cdr:x>0.95176</cdr:x>
      <cdr:y>0.93894</cdr:y>
    </cdr:to>
    <cdr:cxnSp macro="">
      <cdr:nvCxnSpPr>
        <cdr:cNvPr id="7" name="Straight Connector 6"/>
        <cdr:cNvCxnSpPr/>
      </cdr:nvCxnSpPr>
      <cdr:spPr>
        <a:xfrm xmlns:a="http://schemas.openxmlformats.org/drawingml/2006/main" flipV="1">
          <a:off x="323842" y="3255397"/>
          <a:ext cx="8696345" cy="0"/>
        </a:xfrm>
        <a:prstGeom xmlns:a="http://schemas.openxmlformats.org/drawingml/2006/main" prst="line">
          <a:avLst/>
        </a:prstGeom>
        <a:ln xmlns:a="http://schemas.openxmlformats.org/drawingml/2006/main" w="12700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0.02574</cdr:x>
      <cdr:y>0.78882</cdr:y>
    </cdr:from>
    <cdr:to>
      <cdr:x>0.97555</cdr:x>
      <cdr:y>0.92795</cdr:y>
    </cdr:to>
    <cdr:sp macro="" textlink="Reporting!$C$70">
      <cdr:nvSpPr>
        <cdr:cNvPr id="3" name="Rounded Rectangle 2"/>
        <cdr:cNvSpPr/>
      </cdr:nvSpPr>
      <cdr:spPr>
        <a:xfrm xmlns:a="http://schemas.openxmlformats.org/drawingml/2006/main">
          <a:off x="190501" y="3024190"/>
          <a:ext cx="7029450" cy="533400"/>
        </a:xfrm>
        <a:prstGeom xmlns:a="http://schemas.openxmlformats.org/drawingml/2006/main" prst="roundRect">
          <a:avLst/>
        </a:prstGeom>
        <a:solidFill xmlns:a="http://schemas.openxmlformats.org/drawingml/2006/main">
          <a:srgbClr val="ECF1F8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l"/>
          <a:fld id="{9377677A-A1D0-4DB7-93F8-C4A0469EFC4D}" type="TxLink">
            <a:rPr lang="en-US" sz="1100" b="0" i="0" u="none" strike="noStrike">
              <a:solidFill>
                <a:schemeClr val="tx2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pPr algn="l"/>
            <a:t>Overall regretted resignations are  24% of the total.</a:t>
          </a:fld>
          <a:endParaRPr lang="en-US">
            <a:solidFill>
              <a:schemeClr val="tx2">
                <a:lumMod val="7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0.61174</cdr:x>
      <cdr:y>0.74726</cdr:y>
    </cdr:from>
    <cdr:to>
      <cdr:x>0.7568</cdr:x>
      <cdr:y>0.80097</cdr:y>
    </cdr:to>
    <cdr:sp macro="" textlink="Reporting!$K$98">
      <cdr:nvSpPr>
        <cdr:cNvPr id="5" name="TextBox 4"/>
        <cdr:cNvSpPr txBox="1"/>
      </cdr:nvSpPr>
      <cdr:spPr>
        <a:xfrm xmlns:a="http://schemas.openxmlformats.org/drawingml/2006/main">
          <a:off x="5943319" y="4270613"/>
          <a:ext cx="1409331" cy="3069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4EA82904-6E82-459D-84FD-32D915B861DA}" type="TxLink">
            <a:rPr lang="en-US" sz="1100" b="1" i="0" u="none" strike="noStrike">
              <a:solidFill>
                <a:schemeClr val="tx2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pPr/>
            <a:t>Expat</a:t>
          </a:fld>
          <a:endParaRPr lang="en-US" sz="1100" b="1">
            <a:solidFill>
              <a:schemeClr val="tx2">
                <a:lumMod val="7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0.29392</cdr:x>
      <cdr:y>0.74668</cdr:y>
    </cdr:from>
    <cdr:to>
      <cdr:x>0.41084</cdr:x>
      <cdr:y>0.81293</cdr:y>
    </cdr:to>
    <cdr:sp macro="" textlink="Reporting!$E$98">
      <cdr:nvSpPr>
        <cdr:cNvPr id="6" name="TextBox 5"/>
        <cdr:cNvSpPr txBox="1"/>
      </cdr:nvSpPr>
      <cdr:spPr>
        <a:xfrm xmlns:a="http://schemas.openxmlformats.org/drawingml/2006/main">
          <a:off x="2855548" y="4267265"/>
          <a:ext cx="1135937" cy="3786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fld id="{E2C96098-3EED-4D20-B7E9-13EDD0D6891B}" type="TxLink">
            <a:rPr lang="en-US" sz="1100" b="1" i="0" u="none" strike="noStrike">
              <a:solidFill>
                <a:schemeClr val="tx2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pPr algn="r"/>
            <a:t>Indian</a:t>
          </a:fld>
          <a:endParaRPr lang="en-US" sz="1100" b="1">
            <a:solidFill>
              <a:schemeClr val="tx2">
                <a:lumMod val="7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0.16285</cdr:x>
      <cdr:y>0.74846</cdr:y>
    </cdr:from>
    <cdr:to>
      <cdr:x>0.21476</cdr:x>
      <cdr:y>0.80032</cdr:y>
    </cdr:to>
    <cdr:sp macro="" textlink="Reporting!$D$98">
      <cdr:nvSpPr>
        <cdr:cNvPr id="4" name="TextBox 3"/>
        <cdr:cNvSpPr txBox="1"/>
      </cdr:nvSpPr>
      <cdr:spPr>
        <a:xfrm xmlns:a="http://schemas.openxmlformats.org/drawingml/2006/main">
          <a:off x="1582139" y="4277448"/>
          <a:ext cx="504332" cy="2963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28CD51A6-AC79-48B2-9EB7-98F0ED90CE5D}" type="TxLink">
            <a:rPr lang="en-US" sz="1100" b="1" i="0" u="none" strike="noStrike">
              <a:solidFill>
                <a:schemeClr val="tx2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pPr/>
            <a:t>64%</a:t>
          </a:fld>
          <a:endParaRPr lang="en-US" sz="1200" b="1">
            <a:solidFill>
              <a:schemeClr val="tx2">
                <a:lumMod val="7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0.05911</cdr:x>
      <cdr:y>0.85072</cdr:y>
    </cdr:from>
    <cdr:to>
      <cdr:x>0.93969</cdr:x>
      <cdr:y>0.97659</cdr:y>
    </cdr:to>
    <cdr:sp macro="" textlink="Reporting!$D$138">
      <cdr:nvSpPr>
        <cdr:cNvPr id="2" name="Rounded Rectangle 1"/>
        <cdr:cNvSpPr/>
      </cdr:nvSpPr>
      <cdr:spPr>
        <a:xfrm xmlns:a="http://schemas.openxmlformats.org/drawingml/2006/main">
          <a:off x="466725" y="5048251"/>
          <a:ext cx="6953250" cy="746898"/>
        </a:xfrm>
        <a:prstGeom xmlns:a="http://schemas.openxmlformats.org/drawingml/2006/main" prst="roundRect">
          <a:avLst/>
        </a:prstGeom>
        <a:solidFill xmlns:a="http://schemas.openxmlformats.org/drawingml/2006/main">
          <a:srgbClr val="ECF1F8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fld id="{AD33BE52-E568-4710-B07C-D121E88AE49D}" type="TxLink">
            <a:rPr lang="en-US" sz="1100" b="0" i="0" u="none" strike="noStrike">
              <a:solidFill>
                <a:schemeClr val="tx2">
                  <a:lumMod val="75000"/>
                </a:schemeClr>
              </a:solidFill>
              <a:latin typeface="Calibri"/>
            </a:rPr>
            <a:pPr/>
            <a:t> </a:t>
          </a:fld>
          <a:endParaRPr lang="en-US">
            <a:solidFill>
              <a:schemeClr val="tx2">
                <a:lumMod val="75000"/>
              </a:schemeClr>
            </a:solidFill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WR1305-03\Users\sbaker\Desktop\RECRUTMENT%20%20REPORT\Budget%20Summary\2017\July\Budget%20Summary%20(FTE)%20July%20Master%20File%200507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sitions Summary &amp; Overview"/>
      <sheetName val="Masterfile"/>
      <sheetName val="Recruitment Status Report "/>
      <sheetName val="Regretted &amp; Not Source 2017"/>
      <sheetName val="Resig with Emp Date"/>
      <sheetName val="Transfers AX"/>
      <sheetName val="Presentations Sources"/>
      <sheetName val="Sources"/>
      <sheetName val="Kuwaitization Bar Chart"/>
      <sheetName val="Additional Data"/>
      <sheetName val="Transfers AX (2017)"/>
      <sheetName val="Budget Summary (FTE) July Mas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N479"/>
  <sheetViews>
    <sheetView workbookViewId="0">
      <selection activeCell="B31" sqref="B31"/>
    </sheetView>
  </sheetViews>
  <sheetFormatPr defaultRowHeight="15" x14ac:dyDescent="0.25"/>
  <cols>
    <col min="1" max="1" width="27.7109375" customWidth="1"/>
    <col min="2" max="2" width="31.5703125" bestFit="1" customWidth="1"/>
    <col min="3" max="3" width="27.28515625" customWidth="1"/>
    <col min="4" max="4" width="61.28515625" bestFit="1" customWidth="1"/>
    <col min="5" max="5" width="18.85546875" customWidth="1"/>
    <col min="6" max="6" width="18.28515625" customWidth="1"/>
    <col min="7" max="7" width="18.5703125" customWidth="1"/>
    <col min="8" max="8" width="19" style="2" customWidth="1"/>
    <col min="9" max="9" width="21.140625" style="2" customWidth="1"/>
    <col min="10" max="10" width="32.28515625" bestFit="1" customWidth="1"/>
    <col min="11" max="11" width="75.7109375" bestFit="1" customWidth="1"/>
    <col min="14" max="14" width="12.7109375" customWidth="1"/>
  </cols>
  <sheetData>
    <row r="1" spans="1:14" s="4" customFormat="1" ht="25.5" customHeight="1" thickBot="1" x14ac:dyDescent="0.3">
      <c r="A1" s="207" t="s">
        <v>47</v>
      </c>
      <c r="B1" s="11" t="s">
        <v>48</v>
      </c>
      <c r="C1" s="11" t="s">
        <v>5</v>
      </c>
      <c r="D1" s="11" t="s">
        <v>54</v>
      </c>
      <c r="E1" s="11" t="s">
        <v>49</v>
      </c>
      <c r="F1" s="11" t="s">
        <v>50</v>
      </c>
      <c r="G1" s="11" t="s">
        <v>51</v>
      </c>
      <c r="H1" s="12" t="s">
        <v>20</v>
      </c>
      <c r="I1" s="12" t="s">
        <v>52</v>
      </c>
      <c r="J1" s="11" t="s">
        <v>25</v>
      </c>
      <c r="K1" s="11" t="s">
        <v>26</v>
      </c>
      <c r="L1" s="11" t="s">
        <v>27</v>
      </c>
      <c r="M1" s="11" t="s">
        <v>53</v>
      </c>
      <c r="N1" s="13" t="s">
        <v>29</v>
      </c>
    </row>
    <row r="2" spans="1:14" x14ac:dyDescent="0.25">
      <c r="A2" t="s">
        <v>1825</v>
      </c>
      <c r="B2" t="s">
        <v>1825</v>
      </c>
      <c r="C2" t="s">
        <v>1843</v>
      </c>
      <c r="D2" t="s">
        <v>817</v>
      </c>
      <c r="E2" t="s">
        <v>40</v>
      </c>
      <c r="F2" t="s">
        <v>198</v>
      </c>
      <c r="G2" t="s">
        <v>170</v>
      </c>
      <c r="H2" s="2" t="s">
        <v>20</v>
      </c>
      <c r="I2" s="2" t="s">
        <v>181</v>
      </c>
      <c r="J2" t="s">
        <v>58</v>
      </c>
      <c r="K2" t="s">
        <v>1859</v>
      </c>
      <c r="L2">
        <v>1001</v>
      </c>
      <c r="M2" t="s">
        <v>2063</v>
      </c>
      <c r="N2" t="s">
        <v>2060</v>
      </c>
    </row>
    <row r="3" spans="1:14" ht="15.75" x14ac:dyDescent="0.25">
      <c r="A3" s="20" t="s">
        <v>1826</v>
      </c>
      <c r="B3" s="20" t="s">
        <v>1826</v>
      </c>
      <c r="C3" t="s">
        <v>1844</v>
      </c>
      <c r="D3" t="s">
        <v>2041</v>
      </c>
      <c r="E3" t="s">
        <v>35</v>
      </c>
      <c r="F3" t="s">
        <v>184</v>
      </c>
      <c r="G3" t="s">
        <v>36</v>
      </c>
      <c r="I3" s="2" t="s">
        <v>182</v>
      </c>
      <c r="J3" t="s">
        <v>201</v>
      </c>
      <c r="K3" t="s">
        <v>1860</v>
      </c>
      <c r="L3">
        <v>1002</v>
      </c>
      <c r="M3" t="s">
        <v>2064</v>
      </c>
      <c r="N3" t="s">
        <v>2061</v>
      </c>
    </row>
    <row r="4" spans="1:14" ht="15.75" x14ac:dyDescent="0.25">
      <c r="A4" s="22" t="s">
        <v>1827</v>
      </c>
      <c r="B4" s="22" t="s">
        <v>1827</v>
      </c>
      <c r="C4" t="s">
        <v>1845</v>
      </c>
      <c r="D4" t="s">
        <v>2042</v>
      </c>
      <c r="F4" t="s">
        <v>183</v>
      </c>
      <c r="I4" s="2" t="s">
        <v>192</v>
      </c>
      <c r="J4" t="s">
        <v>1848</v>
      </c>
      <c r="K4" t="s">
        <v>1861</v>
      </c>
      <c r="L4">
        <v>1003</v>
      </c>
    </row>
    <row r="5" spans="1:14" ht="15.75" x14ac:dyDescent="0.25">
      <c r="A5" s="20" t="s">
        <v>1828</v>
      </c>
      <c r="B5" s="20" t="s">
        <v>1828</v>
      </c>
      <c r="C5" t="s">
        <v>1846</v>
      </c>
      <c r="D5" t="s">
        <v>2043</v>
      </c>
      <c r="F5" t="s">
        <v>180</v>
      </c>
      <c r="I5" s="2" t="s">
        <v>199</v>
      </c>
      <c r="J5" t="s">
        <v>1849</v>
      </c>
      <c r="K5" t="s">
        <v>1862</v>
      </c>
      <c r="L5">
        <v>1004</v>
      </c>
    </row>
    <row r="6" spans="1:14" ht="15.75" x14ac:dyDescent="0.25">
      <c r="A6" s="20" t="s">
        <v>1829</v>
      </c>
      <c r="B6" s="20" t="s">
        <v>1829</v>
      </c>
      <c r="C6" t="s">
        <v>1847</v>
      </c>
      <c r="D6" t="s">
        <v>2044</v>
      </c>
      <c r="J6" t="s">
        <v>753</v>
      </c>
      <c r="K6" t="s">
        <v>1863</v>
      </c>
      <c r="L6">
        <v>1005</v>
      </c>
    </row>
    <row r="7" spans="1:14" ht="15.75" x14ac:dyDescent="0.25">
      <c r="A7" s="22" t="s">
        <v>1830</v>
      </c>
      <c r="B7" s="22" t="s">
        <v>1830</v>
      </c>
      <c r="D7" t="s">
        <v>2045</v>
      </c>
      <c r="J7" t="s">
        <v>1850</v>
      </c>
      <c r="K7" t="s">
        <v>1864</v>
      </c>
      <c r="L7">
        <v>1006</v>
      </c>
    </row>
    <row r="8" spans="1:14" ht="15.75" x14ac:dyDescent="0.25">
      <c r="A8" s="20" t="s">
        <v>1831</v>
      </c>
      <c r="B8" s="20" t="s">
        <v>1831</v>
      </c>
      <c r="D8" t="s">
        <v>2046</v>
      </c>
      <c r="J8" t="s">
        <v>1851</v>
      </c>
      <c r="K8" t="s">
        <v>1865</v>
      </c>
      <c r="L8">
        <v>1007</v>
      </c>
    </row>
    <row r="9" spans="1:14" ht="15.75" x14ac:dyDescent="0.25">
      <c r="A9" s="20" t="s">
        <v>1832</v>
      </c>
      <c r="B9" s="20" t="s">
        <v>1832</v>
      </c>
      <c r="D9" t="s">
        <v>2047</v>
      </c>
      <c r="J9" t="s">
        <v>1852</v>
      </c>
      <c r="K9" t="s">
        <v>1866</v>
      </c>
      <c r="L9">
        <v>1008</v>
      </c>
    </row>
    <row r="10" spans="1:14" ht="15.75" x14ac:dyDescent="0.25">
      <c r="A10" s="20" t="s">
        <v>1833</v>
      </c>
      <c r="B10" s="20" t="s">
        <v>1833</v>
      </c>
      <c r="D10" t="s">
        <v>2048</v>
      </c>
      <c r="J10" t="s">
        <v>100</v>
      </c>
      <c r="K10" t="s">
        <v>1867</v>
      </c>
      <c r="L10">
        <v>1009</v>
      </c>
    </row>
    <row r="11" spans="1:14" ht="15.75" x14ac:dyDescent="0.25">
      <c r="A11" s="22" t="s">
        <v>1834</v>
      </c>
      <c r="B11" s="22" t="s">
        <v>1834</v>
      </c>
      <c r="D11" t="s">
        <v>2049</v>
      </c>
      <c r="J11" t="s">
        <v>78</v>
      </c>
      <c r="K11" t="s">
        <v>1868</v>
      </c>
      <c r="L11">
        <v>1010</v>
      </c>
    </row>
    <row r="12" spans="1:14" ht="15.75" x14ac:dyDescent="0.25">
      <c r="A12" s="20" t="s">
        <v>1835</v>
      </c>
      <c r="B12" s="20" t="s">
        <v>1835</v>
      </c>
      <c r="D12" t="s">
        <v>2050</v>
      </c>
      <c r="J12" t="s">
        <v>1853</v>
      </c>
      <c r="K12" t="s">
        <v>1869</v>
      </c>
      <c r="L12">
        <v>1011</v>
      </c>
    </row>
    <row r="13" spans="1:14" ht="15.75" x14ac:dyDescent="0.25">
      <c r="A13" s="20" t="s">
        <v>58</v>
      </c>
      <c r="B13" s="20" t="s">
        <v>58</v>
      </c>
      <c r="D13" t="s">
        <v>2051</v>
      </c>
      <c r="J13" t="s">
        <v>1854</v>
      </c>
      <c r="K13" t="s">
        <v>1870</v>
      </c>
      <c r="L13">
        <v>1012</v>
      </c>
    </row>
    <row r="14" spans="1:14" ht="15.75" x14ac:dyDescent="0.25">
      <c r="A14" s="20" t="s">
        <v>1836</v>
      </c>
      <c r="B14" s="20" t="s">
        <v>1836</v>
      </c>
      <c r="D14" t="s">
        <v>2052</v>
      </c>
      <c r="J14" t="s">
        <v>1832</v>
      </c>
      <c r="K14" t="s">
        <v>1871</v>
      </c>
      <c r="L14">
        <v>1013</v>
      </c>
    </row>
    <row r="15" spans="1:14" ht="15.75" x14ac:dyDescent="0.25">
      <c r="A15" s="20" t="s">
        <v>1837</v>
      </c>
      <c r="B15" s="20" t="s">
        <v>1837</v>
      </c>
      <c r="D15" t="s">
        <v>2053</v>
      </c>
      <c r="J15" t="s">
        <v>1855</v>
      </c>
      <c r="K15" t="s">
        <v>1872</v>
      </c>
      <c r="L15">
        <v>1014</v>
      </c>
    </row>
    <row r="16" spans="1:14" ht="15.75" x14ac:dyDescent="0.25">
      <c r="A16" s="20" t="s">
        <v>1838</v>
      </c>
      <c r="B16" s="20" t="s">
        <v>1838</v>
      </c>
      <c r="D16" t="s">
        <v>2054</v>
      </c>
      <c r="J16" t="s">
        <v>1835</v>
      </c>
      <c r="K16" t="s">
        <v>1873</v>
      </c>
      <c r="L16">
        <v>1015</v>
      </c>
    </row>
    <row r="17" spans="1:12" ht="15.75" x14ac:dyDescent="0.25">
      <c r="A17" s="22" t="s">
        <v>1839</v>
      </c>
      <c r="B17" s="22" t="s">
        <v>1839</v>
      </c>
      <c r="D17" t="s">
        <v>2055</v>
      </c>
      <c r="J17" t="s">
        <v>34</v>
      </c>
      <c r="K17" t="s">
        <v>1874</v>
      </c>
      <c r="L17">
        <v>1016</v>
      </c>
    </row>
    <row r="18" spans="1:12" ht="15.75" x14ac:dyDescent="0.25">
      <c r="A18" s="20" t="s">
        <v>78</v>
      </c>
      <c r="B18" s="20" t="s">
        <v>78</v>
      </c>
      <c r="D18" t="s">
        <v>133</v>
      </c>
      <c r="J18" t="s">
        <v>1856</v>
      </c>
      <c r="K18" t="s">
        <v>1875</v>
      </c>
      <c r="L18">
        <v>1017</v>
      </c>
    </row>
    <row r="19" spans="1:12" ht="15.75" x14ac:dyDescent="0.25">
      <c r="A19" s="20" t="s">
        <v>1840</v>
      </c>
      <c r="B19" s="20" t="s">
        <v>1840</v>
      </c>
      <c r="D19" t="s">
        <v>135</v>
      </c>
      <c r="J19" t="s">
        <v>1857</v>
      </c>
      <c r="K19" t="s">
        <v>1876</v>
      </c>
      <c r="L19">
        <v>1018</v>
      </c>
    </row>
    <row r="20" spans="1:12" ht="15.75" x14ac:dyDescent="0.25">
      <c r="A20" s="20" t="s">
        <v>1841</v>
      </c>
      <c r="B20" s="20" t="s">
        <v>1841</v>
      </c>
      <c r="D20" t="s">
        <v>2056</v>
      </c>
      <c r="J20" t="s">
        <v>1858</v>
      </c>
      <c r="K20" t="s">
        <v>1877</v>
      </c>
      <c r="L20">
        <v>1019</v>
      </c>
    </row>
    <row r="21" spans="1:12" ht="15.75" x14ac:dyDescent="0.25">
      <c r="A21" s="20" t="s">
        <v>1842</v>
      </c>
      <c r="B21" s="20" t="s">
        <v>1842</v>
      </c>
      <c r="D21" t="s">
        <v>126</v>
      </c>
      <c r="K21" t="s">
        <v>1878</v>
      </c>
      <c r="L21">
        <v>1020</v>
      </c>
    </row>
    <row r="22" spans="1:12" x14ac:dyDescent="0.25">
      <c r="D22" t="s">
        <v>2057</v>
      </c>
      <c r="K22" t="s">
        <v>1879</v>
      </c>
      <c r="L22">
        <v>1021</v>
      </c>
    </row>
    <row r="23" spans="1:12" x14ac:dyDescent="0.25">
      <c r="D23" t="s">
        <v>2058</v>
      </c>
      <c r="K23" t="s">
        <v>1880</v>
      </c>
      <c r="L23">
        <v>1022</v>
      </c>
    </row>
    <row r="24" spans="1:12" x14ac:dyDescent="0.25">
      <c r="D24" t="s">
        <v>2059</v>
      </c>
      <c r="K24" t="s">
        <v>1881</v>
      </c>
      <c r="L24">
        <v>1023</v>
      </c>
    </row>
    <row r="25" spans="1:12" x14ac:dyDescent="0.25">
      <c r="K25" t="s">
        <v>1882</v>
      </c>
      <c r="L25">
        <v>1024</v>
      </c>
    </row>
    <row r="26" spans="1:12" x14ac:dyDescent="0.25">
      <c r="K26" t="s">
        <v>1883</v>
      </c>
      <c r="L26">
        <v>1025</v>
      </c>
    </row>
    <row r="27" spans="1:12" x14ac:dyDescent="0.25">
      <c r="K27" t="s">
        <v>1884</v>
      </c>
      <c r="L27">
        <v>1026</v>
      </c>
    </row>
    <row r="28" spans="1:12" x14ac:dyDescent="0.25">
      <c r="K28" t="s">
        <v>1885</v>
      </c>
      <c r="L28">
        <v>1027</v>
      </c>
    </row>
    <row r="29" spans="1:12" x14ac:dyDescent="0.25">
      <c r="K29" t="s">
        <v>1886</v>
      </c>
      <c r="L29">
        <v>1028</v>
      </c>
    </row>
    <row r="30" spans="1:12" x14ac:dyDescent="0.25">
      <c r="K30" t="s">
        <v>1887</v>
      </c>
      <c r="L30">
        <v>1029</v>
      </c>
    </row>
    <row r="31" spans="1:12" x14ac:dyDescent="0.25">
      <c r="K31" t="s">
        <v>1888</v>
      </c>
      <c r="L31">
        <v>1030</v>
      </c>
    </row>
    <row r="32" spans="1:12" x14ac:dyDescent="0.25">
      <c r="K32" t="s">
        <v>1889</v>
      </c>
      <c r="L32">
        <v>1031</v>
      </c>
    </row>
    <row r="33" spans="11:12" x14ac:dyDescent="0.25">
      <c r="K33" t="s">
        <v>1890</v>
      </c>
      <c r="L33">
        <v>1032</v>
      </c>
    </row>
    <row r="34" spans="11:12" x14ac:dyDescent="0.25">
      <c r="K34" t="s">
        <v>1891</v>
      </c>
      <c r="L34">
        <v>1033</v>
      </c>
    </row>
    <row r="35" spans="11:12" x14ac:dyDescent="0.25">
      <c r="K35" t="s">
        <v>1892</v>
      </c>
      <c r="L35">
        <v>1034</v>
      </c>
    </row>
    <row r="36" spans="11:12" x14ac:dyDescent="0.25">
      <c r="K36" t="s">
        <v>1893</v>
      </c>
      <c r="L36">
        <v>1035</v>
      </c>
    </row>
    <row r="37" spans="11:12" x14ac:dyDescent="0.25">
      <c r="K37" t="s">
        <v>1894</v>
      </c>
      <c r="L37">
        <v>1036</v>
      </c>
    </row>
    <row r="38" spans="11:12" x14ac:dyDescent="0.25">
      <c r="K38" t="s">
        <v>1895</v>
      </c>
      <c r="L38">
        <v>1037</v>
      </c>
    </row>
    <row r="39" spans="11:12" x14ac:dyDescent="0.25">
      <c r="K39" t="s">
        <v>1896</v>
      </c>
      <c r="L39">
        <v>1038</v>
      </c>
    </row>
    <row r="40" spans="11:12" x14ac:dyDescent="0.25">
      <c r="K40" t="s">
        <v>1897</v>
      </c>
      <c r="L40">
        <v>1039</v>
      </c>
    </row>
    <row r="41" spans="11:12" x14ac:dyDescent="0.25">
      <c r="K41" t="s">
        <v>1898</v>
      </c>
      <c r="L41">
        <v>1040</v>
      </c>
    </row>
    <row r="42" spans="11:12" x14ac:dyDescent="0.25">
      <c r="K42" t="s">
        <v>1899</v>
      </c>
      <c r="L42">
        <v>1041</v>
      </c>
    </row>
    <row r="43" spans="11:12" x14ac:dyDescent="0.25">
      <c r="K43" t="s">
        <v>1900</v>
      </c>
      <c r="L43">
        <v>1042</v>
      </c>
    </row>
    <row r="44" spans="11:12" x14ac:dyDescent="0.25">
      <c r="K44" t="s">
        <v>1901</v>
      </c>
      <c r="L44">
        <v>1043</v>
      </c>
    </row>
    <row r="45" spans="11:12" x14ac:dyDescent="0.25">
      <c r="K45" t="s">
        <v>1902</v>
      </c>
      <c r="L45">
        <v>1044</v>
      </c>
    </row>
    <row r="46" spans="11:12" x14ac:dyDescent="0.25">
      <c r="K46" t="s">
        <v>1903</v>
      </c>
      <c r="L46">
        <v>1045</v>
      </c>
    </row>
    <row r="47" spans="11:12" x14ac:dyDescent="0.25">
      <c r="K47" t="s">
        <v>1904</v>
      </c>
      <c r="L47">
        <v>1046</v>
      </c>
    </row>
    <row r="48" spans="11:12" x14ac:dyDescent="0.25">
      <c r="K48" t="s">
        <v>1905</v>
      </c>
      <c r="L48">
        <v>1047</v>
      </c>
    </row>
    <row r="49" spans="11:12" x14ac:dyDescent="0.25">
      <c r="K49" t="s">
        <v>1906</v>
      </c>
      <c r="L49">
        <v>1048</v>
      </c>
    </row>
    <row r="50" spans="11:12" x14ac:dyDescent="0.25">
      <c r="K50" t="s">
        <v>1907</v>
      </c>
      <c r="L50">
        <v>1049</v>
      </c>
    </row>
    <row r="51" spans="11:12" x14ac:dyDescent="0.25">
      <c r="K51" t="s">
        <v>1908</v>
      </c>
      <c r="L51">
        <v>1050</v>
      </c>
    </row>
    <row r="52" spans="11:12" x14ac:dyDescent="0.25">
      <c r="K52" t="s">
        <v>1909</v>
      </c>
      <c r="L52">
        <v>1051</v>
      </c>
    </row>
    <row r="53" spans="11:12" x14ac:dyDescent="0.25">
      <c r="K53" t="s">
        <v>1910</v>
      </c>
      <c r="L53">
        <v>1052</v>
      </c>
    </row>
    <row r="54" spans="11:12" x14ac:dyDescent="0.25">
      <c r="K54" t="s">
        <v>1911</v>
      </c>
      <c r="L54">
        <v>1053</v>
      </c>
    </row>
    <row r="55" spans="11:12" x14ac:dyDescent="0.25">
      <c r="K55" t="s">
        <v>1912</v>
      </c>
      <c r="L55">
        <v>1054</v>
      </c>
    </row>
    <row r="56" spans="11:12" x14ac:dyDescent="0.25">
      <c r="K56" t="s">
        <v>1913</v>
      </c>
      <c r="L56">
        <v>1055</v>
      </c>
    </row>
    <row r="57" spans="11:12" x14ac:dyDescent="0.25">
      <c r="K57" t="s">
        <v>1914</v>
      </c>
      <c r="L57">
        <v>1056</v>
      </c>
    </row>
    <row r="58" spans="11:12" x14ac:dyDescent="0.25">
      <c r="K58" t="s">
        <v>1915</v>
      </c>
      <c r="L58">
        <v>1057</v>
      </c>
    </row>
    <row r="59" spans="11:12" x14ac:dyDescent="0.25">
      <c r="K59" t="s">
        <v>1916</v>
      </c>
      <c r="L59">
        <v>1058</v>
      </c>
    </row>
    <row r="60" spans="11:12" x14ac:dyDescent="0.25">
      <c r="K60" t="s">
        <v>1917</v>
      </c>
      <c r="L60">
        <v>1059</v>
      </c>
    </row>
    <row r="61" spans="11:12" x14ac:dyDescent="0.25">
      <c r="K61" t="s">
        <v>1918</v>
      </c>
      <c r="L61">
        <v>1060</v>
      </c>
    </row>
    <row r="62" spans="11:12" x14ac:dyDescent="0.25">
      <c r="K62" t="s">
        <v>1919</v>
      </c>
      <c r="L62">
        <v>1061</v>
      </c>
    </row>
    <row r="63" spans="11:12" x14ac:dyDescent="0.25">
      <c r="K63" t="s">
        <v>1920</v>
      </c>
      <c r="L63">
        <v>1062</v>
      </c>
    </row>
    <row r="64" spans="11:12" x14ac:dyDescent="0.25">
      <c r="K64" t="s">
        <v>1921</v>
      </c>
      <c r="L64">
        <v>1063</v>
      </c>
    </row>
    <row r="65" spans="11:12" x14ac:dyDescent="0.25">
      <c r="K65" t="s">
        <v>1922</v>
      </c>
      <c r="L65">
        <v>1064</v>
      </c>
    </row>
    <row r="66" spans="11:12" x14ac:dyDescent="0.25">
      <c r="K66" t="s">
        <v>1923</v>
      </c>
      <c r="L66">
        <v>1065</v>
      </c>
    </row>
    <row r="67" spans="11:12" x14ac:dyDescent="0.25">
      <c r="K67" t="s">
        <v>1924</v>
      </c>
      <c r="L67">
        <v>1066</v>
      </c>
    </row>
    <row r="68" spans="11:12" x14ac:dyDescent="0.25">
      <c r="K68" t="s">
        <v>1925</v>
      </c>
      <c r="L68">
        <v>1067</v>
      </c>
    </row>
    <row r="69" spans="11:12" x14ac:dyDescent="0.25">
      <c r="K69" t="s">
        <v>1926</v>
      </c>
      <c r="L69">
        <v>1068</v>
      </c>
    </row>
    <row r="70" spans="11:12" x14ac:dyDescent="0.25">
      <c r="K70" t="s">
        <v>1927</v>
      </c>
      <c r="L70">
        <v>1069</v>
      </c>
    </row>
    <row r="71" spans="11:12" x14ac:dyDescent="0.25">
      <c r="K71" t="s">
        <v>1928</v>
      </c>
      <c r="L71">
        <v>1070</v>
      </c>
    </row>
    <row r="72" spans="11:12" x14ac:dyDescent="0.25">
      <c r="K72" t="s">
        <v>1929</v>
      </c>
      <c r="L72">
        <v>1071</v>
      </c>
    </row>
    <row r="73" spans="11:12" x14ac:dyDescent="0.25">
      <c r="K73" t="s">
        <v>1930</v>
      </c>
      <c r="L73">
        <v>1072</v>
      </c>
    </row>
    <row r="74" spans="11:12" x14ac:dyDescent="0.25">
      <c r="K74" t="s">
        <v>1931</v>
      </c>
      <c r="L74">
        <v>1073</v>
      </c>
    </row>
    <row r="75" spans="11:12" x14ac:dyDescent="0.25">
      <c r="K75" t="s">
        <v>1932</v>
      </c>
      <c r="L75">
        <v>1074</v>
      </c>
    </row>
    <row r="76" spans="11:12" x14ac:dyDescent="0.25">
      <c r="K76" t="s">
        <v>1933</v>
      </c>
      <c r="L76">
        <v>1075</v>
      </c>
    </row>
    <row r="77" spans="11:12" x14ac:dyDescent="0.25">
      <c r="K77" t="s">
        <v>1934</v>
      </c>
      <c r="L77">
        <v>1076</v>
      </c>
    </row>
    <row r="78" spans="11:12" x14ac:dyDescent="0.25">
      <c r="K78" t="s">
        <v>1935</v>
      </c>
      <c r="L78">
        <v>1077</v>
      </c>
    </row>
    <row r="79" spans="11:12" x14ac:dyDescent="0.25">
      <c r="K79" t="s">
        <v>1936</v>
      </c>
      <c r="L79">
        <v>1078</v>
      </c>
    </row>
    <row r="80" spans="11:12" x14ac:dyDescent="0.25">
      <c r="K80" t="s">
        <v>1937</v>
      </c>
      <c r="L80">
        <v>1079</v>
      </c>
    </row>
    <row r="81" spans="11:12" x14ac:dyDescent="0.25">
      <c r="K81" t="s">
        <v>1938</v>
      </c>
      <c r="L81">
        <v>1080</v>
      </c>
    </row>
    <row r="82" spans="11:12" x14ac:dyDescent="0.25">
      <c r="K82" t="s">
        <v>1939</v>
      </c>
      <c r="L82">
        <v>1081</v>
      </c>
    </row>
    <row r="83" spans="11:12" x14ac:dyDescent="0.25">
      <c r="K83" t="s">
        <v>1940</v>
      </c>
      <c r="L83">
        <v>1082</v>
      </c>
    </row>
    <row r="84" spans="11:12" x14ac:dyDescent="0.25">
      <c r="K84" t="s">
        <v>1941</v>
      </c>
      <c r="L84">
        <v>1083</v>
      </c>
    </row>
    <row r="85" spans="11:12" x14ac:dyDescent="0.25">
      <c r="K85" t="s">
        <v>1942</v>
      </c>
      <c r="L85">
        <v>1084</v>
      </c>
    </row>
    <row r="86" spans="11:12" x14ac:dyDescent="0.25">
      <c r="K86" t="s">
        <v>1943</v>
      </c>
      <c r="L86">
        <v>1085</v>
      </c>
    </row>
    <row r="87" spans="11:12" x14ac:dyDescent="0.25">
      <c r="K87" t="s">
        <v>1944</v>
      </c>
      <c r="L87">
        <v>1086</v>
      </c>
    </row>
    <row r="88" spans="11:12" x14ac:dyDescent="0.25">
      <c r="K88" t="s">
        <v>1945</v>
      </c>
      <c r="L88">
        <v>1087</v>
      </c>
    </row>
    <row r="89" spans="11:12" x14ac:dyDescent="0.25">
      <c r="K89" t="s">
        <v>1946</v>
      </c>
      <c r="L89">
        <v>1088</v>
      </c>
    </row>
    <row r="90" spans="11:12" x14ac:dyDescent="0.25">
      <c r="K90" t="s">
        <v>1947</v>
      </c>
      <c r="L90">
        <v>1089</v>
      </c>
    </row>
    <row r="91" spans="11:12" x14ac:dyDescent="0.25">
      <c r="K91" t="s">
        <v>1948</v>
      </c>
      <c r="L91">
        <v>1090</v>
      </c>
    </row>
    <row r="92" spans="11:12" x14ac:dyDescent="0.25">
      <c r="K92" t="s">
        <v>1949</v>
      </c>
      <c r="L92">
        <v>1091</v>
      </c>
    </row>
    <row r="93" spans="11:12" x14ac:dyDescent="0.25">
      <c r="K93" t="s">
        <v>1950</v>
      </c>
      <c r="L93">
        <v>1092</v>
      </c>
    </row>
    <row r="94" spans="11:12" x14ac:dyDescent="0.25">
      <c r="K94" t="s">
        <v>1951</v>
      </c>
      <c r="L94">
        <v>1093</v>
      </c>
    </row>
    <row r="95" spans="11:12" x14ac:dyDescent="0.25">
      <c r="K95" t="s">
        <v>1952</v>
      </c>
      <c r="L95">
        <v>1094</v>
      </c>
    </row>
    <row r="96" spans="11:12" x14ac:dyDescent="0.25">
      <c r="K96" t="s">
        <v>1953</v>
      </c>
      <c r="L96">
        <v>1095</v>
      </c>
    </row>
    <row r="97" spans="11:12" x14ac:dyDescent="0.25">
      <c r="K97" t="s">
        <v>1954</v>
      </c>
      <c r="L97">
        <v>1096</v>
      </c>
    </row>
    <row r="98" spans="11:12" x14ac:dyDescent="0.25">
      <c r="K98" t="s">
        <v>1955</v>
      </c>
      <c r="L98">
        <v>1097</v>
      </c>
    </row>
    <row r="99" spans="11:12" x14ac:dyDescent="0.25">
      <c r="K99" t="s">
        <v>1956</v>
      </c>
      <c r="L99">
        <v>1098</v>
      </c>
    </row>
    <row r="100" spans="11:12" x14ac:dyDescent="0.25">
      <c r="K100" t="s">
        <v>1957</v>
      </c>
      <c r="L100">
        <v>1099</v>
      </c>
    </row>
    <row r="101" spans="11:12" x14ac:dyDescent="0.25">
      <c r="K101" t="s">
        <v>1958</v>
      </c>
      <c r="L101">
        <v>1100</v>
      </c>
    </row>
    <row r="102" spans="11:12" x14ac:dyDescent="0.25">
      <c r="K102" t="s">
        <v>1959</v>
      </c>
      <c r="L102">
        <v>1101</v>
      </c>
    </row>
    <row r="103" spans="11:12" x14ac:dyDescent="0.25">
      <c r="K103" t="s">
        <v>1960</v>
      </c>
      <c r="L103">
        <v>1102</v>
      </c>
    </row>
    <row r="104" spans="11:12" x14ac:dyDescent="0.25">
      <c r="K104" t="s">
        <v>1961</v>
      </c>
      <c r="L104">
        <v>1103</v>
      </c>
    </row>
    <row r="105" spans="11:12" x14ac:dyDescent="0.25">
      <c r="K105" t="s">
        <v>1962</v>
      </c>
      <c r="L105">
        <v>1104</v>
      </c>
    </row>
    <row r="106" spans="11:12" x14ac:dyDescent="0.25">
      <c r="K106" t="s">
        <v>1963</v>
      </c>
      <c r="L106">
        <v>1105</v>
      </c>
    </row>
    <row r="107" spans="11:12" x14ac:dyDescent="0.25">
      <c r="K107" t="s">
        <v>1964</v>
      </c>
      <c r="L107">
        <v>1106</v>
      </c>
    </row>
    <row r="108" spans="11:12" x14ac:dyDescent="0.25">
      <c r="K108" t="s">
        <v>1965</v>
      </c>
      <c r="L108">
        <v>1107</v>
      </c>
    </row>
    <row r="109" spans="11:12" x14ac:dyDescent="0.25">
      <c r="K109" t="s">
        <v>1966</v>
      </c>
      <c r="L109">
        <v>1108</v>
      </c>
    </row>
    <row r="110" spans="11:12" x14ac:dyDescent="0.25">
      <c r="K110" t="s">
        <v>1967</v>
      </c>
      <c r="L110">
        <v>1109</v>
      </c>
    </row>
    <row r="111" spans="11:12" x14ac:dyDescent="0.25">
      <c r="K111" t="s">
        <v>1968</v>
      </c>
      <c r="L111">
        <v>1110</v>
      </c>
    </row>
    <row r="112" spans="11:12" x14ac:dyDescent="0.25">
      <c r="K112" t="s">
        <v>1969</v>
      </c>
      <c r="L112">
        <v>1111</v>
      </c>
    </row>
    <row r="113" spans="11:12" x14ac:dyDescent="0.25">
      <c r="K113" t="s">
        <v>1970</v>
      </c>
      <c r="L113">
        <v>1112</v>
      </c>
    </row>
    <row r="114" spans="11:12" x14ac:dyDescent="0.25">
      <c r="K114" t="s">
        <v>1971</v>
      </c>
      <c r="L114">
        <v>1113</v>
      </c>
    </row>
    <row r="115" spans="11:12" x14ac:dyDescent="0.25">
      <c r="K115" t="s">
        <v>1972</v>
      </c>
      <c r="L115">
        <v>1114</v>
      </c>
    </row>
    <row r="116" spans="11:12" x14ac:dyDescent="0.25">
      <c r="K116" t="s">
        <v>1973</v>
      </c>
      <c r="L116">
        <v>1115</v>
      </c>
    </row>
    <row r="117" spans="11:12" x14ac:dyDescent="0.25">
      <c r="K117" t="s">
        <v>1974</v>
      </c>
      <c r="L117">
        <v>1116</v>
      </c>
    </row>
    <row r="118" spans="11:12" x14ac:dyDescent="0.25">
      <c r="K118" t="s">
        <v>1975</v>
      </c>
      <c r="L118">
        <v>1117</v>
      </c>
    </row>
    <row r="119" spans="11:12" x14ac:dyDescent="0.25">
      <c r="K119" t="s">
        <v>1976</v>
      </c>
      <c r="L119">
        <v>1118</v>
      </c>
    </row>
    <row r="120" spans="11:12" x14ac:dyDescent="0.25">
      <c r="K120" t="s">
        <v>1977</v>
      </c>
      <c r="L120">
        <v>1119</v>
      </c>
    </row>
    <row r="121" spans="11:12" x14ac:dyDescent="0.25">
      <c r="K121" t="s">
        <v>1978</v>
      </c>
      <c r="L121">
        <v>1120</v>
      </c>
    </row>
    <row r="122" spans="11:12" x14ac:dyDescent="0.25">
      <c r="K122" t="s">
        <v>1979</v>
      </c>
      <c r="L122">
        <v>1121</v>
      </c>
    </row>
    <row r="123" spans="11:12" x14ac:dyDescent="0.25">
      <c r="K123" t="s">
        <v>1980</v>
      </c>
      <c r="L123">
        <v>1122</v>
      </c>
    </row>
    <row r="124" spans="11:12" x14ac:dyDescent="0.25">
      <c r="K124" t="s">
        <v>1981</v>
      </c>
      <c r="L124">
        <v>1123</v>
      </c>
    </row>
    <row r="125" spans="11:12" x14ac:dyDescent="0.25">
      <c r="K125" t="s">
        <v>1982</v>
      </c>
      <c r="L125">
        <v>1124</v>
      </c>
    </row>
    <row r="126" spans="11:12" x14ac:dyDescent="0.25">
      <c r="K126" t="s">
        <v>1983</v>
      </c>
      <c r="L126">
        <v>1125</v>
      </c>
    </row>
    <row r="127" spans="11:12" x14ac:dyDescent="0.25">
      <c r="K127" t="s">
        <v>1984</v>
      </c>
      <c r="L127">
        <v>1126</v>
      </c>
    </row>
    <row r="128" spans="11:12" x14ac:dyDescent="0.25">
      <c r="K128" t="s">
        <v>1985</v>
      </c>
      <c r="L128">
        <v>1127</v>
      </c>
    </row>
    <row r="129" spans="11:12" x14ac:dyDescent="0.25">
      <c r="K129" t="s">
        <v>1986</v>
      </c>
      <c r="L129">
        <v>1128</v>
      </c>
    </row>
    <row r="130" spans="11:12" x14ac:dyDescent="0.25">
      <c r="K130" t="s">
        <v>1987</v>
      </c>
      <c r="L130">
        <v>1129</v>
      </c>
    </row>
    <row r="131" spans="11:12" x14ac:dyDescent="0.25">
      <c r="K131" t="s">
        <v>1988</v>
      </c>
      <c r="L131">
        <v>1130</v>
      </c>
    </row>
    <row r="132" spans="11:12" x14ac:dyDescent="0.25">
      <c r="K132" t="s">
        <v>1989</v>
      </c>
      <c r="L132">
        <v>1131</v>
      </c>
    </row>
    <row r="133" spans="11:12" x14ac:dyDescent="0.25">
      <c r="K133" t="s">
        <v>1990</v>
      </c>
      <c r="L133">
        <v>1132</v>
      </c>
    </row>
    <row r="134" spans="11:12" x14ac:dyDescent="0.25">
      <c r="K134" t="s">
        <v>1991</v>
      </c>
      <c r="L134">
        <v>1133</v>
      </c>
    </row>
    <row r="135" spans="11:12" x14ac:dyDescent="0.25">
      <c r="K135" t="s">
        <v>1992</v>
      </c>
      <c r="L135">
        <v>1134</v>
      </c>
    </row>
    <row r="136" spans="11:12" x14ac:dyDescent="0.25">
      <c r="K136" t="s">
        <v>1993</v>
      </c>
      <c r="L136">
        <v>1135</v>
      </c>
    </row>
    <row r="137" spans="11:12" x14ac:dyDescent="0.25">
      <c r="K137" t="s">
        <v>1994</v>
      </c>
      <c r="L137">
        <v>1136</v>
      </c>
    </row>
    <row r="138" spans="11:12" x14ac:dyDescent="0.25">
      <c r="K138" t="s">
        <v>1995</v>
      </c>
      <c r="L138">
        <v>1137</v>
      </c>
    </row>
    <row r="139" spans="11:12" x14ac:dyDescent="0.25">
      <c r="K139" t="s">
        <v>1996</v>
      </c>
      <c r="L139">
        <v>1138</v>
      </c>
    </row>
    <row r="140" spans="11:12" x14ac:dyDescent="0.25">
      <c r="K140" t="s">
        <v>1997</v>
      </c>
      <c r="L140">
        <v>1139</v>
      </c>
    </row>
    <row r="141" spans="11:12" x14ac:dyDescent="0.25">
      <c r="K141" t="s">
        <v>1998</v>
      </c>
      <c r="L141">
        <v>1140</v>
      </c>
    </row>
    <row r="142" spans="11:12" x14ac:dyDescent="0.25">
      <c r="K142" t="s">
        <v>1999</v>
      </c>
      <c r="L142">
        <v>1141</v>
      </c>
    </row>
    <row r="143" spans="11:12" x14ac:dyDescent="0.25">
      <c r="K143" t="s">
        <v>2000</v>
      </c>
      <c r="L143">
        <v>1142</v>
      </c>
    </row>
    <row r="144" spans="11:12" x14ac:dyDescent="0.25">
      <c r="K144" t="s">
        <v>2001</v>
      </c>
      <c r="L144">
        <v>1143</v>
      </c>
    </row>
    <row r="145" spans="11:12" x14ac:dyDescent="0.25">
      <c r="K145" t="s">
        <v>2002</v>
      </c>
      <c r="L145">
        <v>1144</v>
      </c>
    </row>
    <row r="146" spans="11:12" x14ac:dyDescent="0.25">
      <c r="K146" t="s">
        <v>2003</v>
      </c>
      <c r="L146">
        <v>1145</v>
      </c>
    </row>
    <row r="147" spans="11:12" x14ac:dyDescent="0.25">
      <c r="K147" t="s">
        <v>2004</v>
      </c>
      <c r="L147">
        <v>1146</v>
      </c>
    </row>
    <row r="148" spans="11:12" x14ac:dyDescent="0.25">
      <c r="K148" t="s">
        <v>2005</v>
      </c>
      <c r="L148">
        <v>1147</v>
      </c>
    </row>
    <row r="149" spans="11:12" x14ac:dyDescent="0.25">
      <c r="K149" t="s">
        <v>2006</v>
      </c>
      <c r="L149">
        <v>1148</v>
      </c>
    </row>
    <row r="150" spans="11:12" x14ac:dyDescent="0.25">
      <c r="K150" t="s">
        <v>2007</v>
      </c>
      <c r="L150">
        <v>1149</v>
      </c>
    </row>
    <row r="151" spans="11:12" x14ac:dyDescent="0.25">
      <c r="K151" t="s">
        <v>2008</v>
      </c>
      <c r="L151">
        <v>1150</v>
      </c>
    </row>
    <row r="152" spans="11:12" x14ac:dyDescent="0.25">
      <c r="K152" t="s">
        <v>2009</v>
      </c>
      <c r="L152">
        <v>1151</v>
      </c>
    </row>
    <row r="153" spans="11:12" x14ac:dyDescent="0.25">
      <c r="K153" t="s">
        <v>2010</v>
      </c>
      <c r="L153">
        <v>1152</v>
      </c>
    </row>
    <row r="154" spans="11:12" x14ac:dyDescent="0.25">
      <c r="K154" t="s">
        <v>2011</v>
      </c>
      <c r="L154">
        <v>1153</v>
      </c>
    </row>
    <row r="155" spans="11:12" x14ac:dyDescent="0.25">
      <c r="K155" t="s">
        <v>2012</v>
      </c>
      <c r="L155">
        <v>1154</v>
      </c>
    </row>
    <row r="156" spans="11:12" x14ac:dyDescent="0.25">
      <c r="K156" t="s">
        <v>2013</v>
      </c>
      <c r="L156">
        <v>1155</v>
      </c>
    </row>
    <row r="157" spans="11:12" x14ac:dyDescent="0.25">
      <c r="K157" t="s">
        <v>2014</v>
      </c>
      <c r="L157">
        <v>1156</v>
      </c>
    </row>
    <row r="158" spans="11:12" x14ac:dyDescent="0.25">
      <c r="K158" t="s">
        <v>2015</v>
      </c>
      <c r="L158">
        <v>1157</v>
      </c>
    </row>
    <row r="159" spans="11:12" x14ac:dyDescent="0.25">
      <c r="K159" t="s">
        <v>2016</v>
      </c>
      <c r="L159">
        <v>1158</v>
      </c>
    </row>
    <row r="160" spans="11:12" x14ac:dyDescent="0.25">
      <c r="K160" t="s">
        <v>2017</v>
      </c>
      <c r="L160">
        <v>1159</v>
      </c>
    </row>
    <row r="161" spans="11:12" x14ac:dyDescent="0.25">
      <c r="K161" t="s">
        <v>2018</v>
      </c>
      <c r="L161">
        <v>1160</v>
      </c>
    </row>
    <row r="162" spans="11:12" x14ac:dyDescent="0.25">
      <c r="K162" t="s">
        <v>2019</v>
      </c>
      <c r="L162">
        <v>1161</v>
      </c>
    </row>
    <row r="163" spans="11:12" x14ac:dyDescent="0.25">
      <c r="K163" t="s">
        <v>2020</v>
      </c>
      <c r="L163">
        <v>1162</v>
      </c>
    </row>
    <row r="164" spans="11:12" x14ac:dyDescent="0.25">
      <c r="K164" t="s">
        <v>2021</v>
      </c>
      <c r="L164">
        <v>1163</v>
      </c>
    </row>
    <row r="165" spans="11:12" x14ac:dyDescent="0.25">
      <c r="K165" t="s">
        <v>2022</v>
      </c>
      <c r="L165">
        <v>1164</v>
      </c>
    </row>
    <row r="166" spans="11:12" x14ac:dyDescent="0.25">
      <c r="K166" t="s">
        <v>2023</v>
      </c>
      <c r="L166">
        <v>1165</v>
      </c>
    </row>
    <row r="167" spans="11:12" x14ac:dyDescent="0.25">
      <c r="K167" t="s">
        <v>2024</v>
      </c>
      <c r="L167">
        <v>1166</v>
      </c>
    </row>
    <row r="168" spans="11:12" x14ac:dyDescent="0.25">
      <c r="K168" t="s">
        <v>2025</v>
      </c>
      <c r="L168">
        <v>1167</v>
      </c>
    </row>
    <row r="169" spans="11:12" x14ac:dyDescent="0.25">
      <c r="K169" t="s">
        <v>2026</v>
      </c>
      <c r="L169">
        <v>1168</v>
      </c>
    </row>
    <row r="170" spans="11:12" x14ac:dyDescent="0.25">
      <c r="K170" t="s">
        <v>2027</v>
      </c>
      <c r="L170">
        <v>1169</v>
      </c>
    </row>
    <row r="171" spans="11:12" x14ac:dyDescent="0.25">
      <c r="K171" t="s">
        <v>2028</v>
      </c>
      <c r="L171">
        <v>1170</v>
      </c>
    </row>
    <row r="172" spans="11:12" x14ac:dyDescent="0.25">
      <c r="K172" t="s">
        <v>2029</v>
      </c>
      <c r="L172">
        <v>1171</v>
      </c>
    </row>
    <row r="173" spans="11:12" x14ac:dyDescent="0.25">
      <c r="K173" t="s">
        <v>2030</v>
      </c>
      <c r="L173">
        <v>1172</v>
      </c>
    </row>
    <row r="174" spans="11:12" x14ac:dyDescent="0.25">
      <c r="K174" t="s">
        <v>2031</v>
      </c>
      <c r="L174">
        <v>1173</v>
      </c>
    </row>
    <row r="175" spans="11:12" x14ac:dyDescent="0.25">
      <c r="K175" t="s">
        <v>2032</v>
      </c>
      <c r="L175">
        <v>1174</v>
      </c>
    </row>
    <row r="176" spans="11:12" x14ac:dyDescent="0.25">
      <c r="K176" t="s">
        <v>2033</v>
      </c>
      <c r="L176">
        <v>1175</v>
      </c>
    </row>
    <row r="177" spans="11:12" x14ac:dyDescent="0.25">
      <c r="K177" t="s">
        <v>2034</v>
      </c>
      <c r="L177">
        <v>1176</v>
      </c>
    </row>
    <row r="178" spans="11:12" x14ac:dyDescent="0.25">
      <c r="K178" t="s">
        <v>2035</v>
      </c>
      <c r="L178">
        <v>1177</v>
      </c>
    </row>
    <row r="179" spans="11:12" x14ac:dyDescent="0.25">
      <c r="K179" t="s">
        <v>2036</v>
      </c>
      <c r="L179">
        <v>1178</v>
      </c>
    </row>
    <row r="180" spans="11:12" x14ac:dyDescent="0.25">
      <c r="K180" t="s">
        <v>2037</v>
      </c>
      <c r="L180">
        <v>1179</v>
      </c>
    </row>
    <row r="181" spans="11:12" x14ac:dyDescent="0.25">
      <c r="K181" t="s">
        <v>2038</v>
      </c>
      <c r="L181">
        <v>1180</v>
      </c>
    </row>
    <row r="182" spans="11:12" x14ac:dyDescent="0.25">
      <c r="K182" t="s">
        <v>2039</v>
      </c>
      <c r="L182">
        <v>1181</v>
      </c>
    </row>
    <row r="183" spans="11:12" x14ac:dyDescent="0.25">
      <c r="K183" t="s">
        <v>2040</v>
      </c>
      <c r="L183">
        <v>1182</v>
      </c>
    </row>
    <row r="197" spans="4:4" ht="15.75" x14ac:dyDescent="0.25">
      <c r="D197" s="1"/>
    </row>
    <row r="198" spans="4:4" ht="15.75" x14ac:dyDescent="0.25">
      <c r="D198" s="1"/>
    </row>
    <row r="199" spans="4:4" ht="15.75" x14ac:dyDescent="0.25">
      <c r="D199" s="1"/>
    </row>
    <row r="200" spans="4:4" ht="15.75" x14ac:dyDescent="0.25">
      <c r="D200" s="1"/>
    </row>
    <row r="201" spans="4:4" ht="15.75" x14ac:dyDescent="0.25">
      <c r="D201" s="1"/>
    </row>
    <row r="202" spans="4:4" ht="15.75" x14ac:dyDescent="0.25">
      <c r="D202" s="1"/>
    </row>
    <row r="203" spans="4:4" ht="15.75" x14ac:dyDescent="0.25">
      <c r="D203" s="1"/>
    </row>
    <row r="204" spans="4:4" ht="15.75" x14ac:dyDescent="0.25">
      <c r="D204" s="1"/>
    </row>
    <row r="205" spans="4:4" ht="15.75" x14ac:dyDescent="0.25">
      <c r="D205" s="1"/>
    </row>
    <row r="206" spans="4:4" ht="15.75" x14ac:dyDescent="0.25">
      <c r="D206" s="10"/>
    </row>
    <row r="207" spans="4:4" ht="15.75" x14ac:dyDescent="0.25">
      <c r="D207" s="1"/>
    </row>
    <row r="208" spans="4:4" ht="15.75" x14ac:dyDescent="0.25">
      <c r="D208" s="1"/>
    </row>
    <row r="209" spans="4:4" ht="15.75" x14ac:dyDescent="0.25">
      <c r="D209" s="1"/>
    </row>
    <row r="210" spans="4:4" ht="15.75" x14ac:dyDescent="0.25">
      <c r="D210" s="1"/>
    </row>
    <row r="211" spans="4:4" ht="15.75" x14ac:dyDescent="0.25">
      <c r="D211" s="1"/>
    </row>
    <row r="212" spans="4:4" ht="15.75" x14ac:dyDescent="0.25">
      <c r="D212" s="1"/>
    </row>
    <row r="213" spans="4:4" ht="15.75" x14ac:dyDescent="0.25">
      <c r="D213" s="1"/>
    </row>
    <row r="214" spans="4:4" ht="15.75" x14ac:dyDescent="0.25">
      <c r="D214" s="1"/>
    </row>
    <row r="215" spans="4:4" ht="15.75" x14ac:dyDescent="0.25">
      <c r="D215" s="1"/>
    </row>
    <row r="216" spans="4:4" ht="15.75" x14ac:dyDescent="0.25">
      <c r="D216" s="1"/>
    </row>
    <row r="217" spans="4:4" ht="15.75" x14ac:dyDescent="0.25">
      <c r="D217" s="1"/>
    </row>
    <row r="218" spans="4:4" ht="15.75" x14ac:dyDescent="0.25">
      <c r="D218" s="1"/>
    </row>
    <row r="219" spans="4:4" ht="15.75" x14ac:dyDescent="0.25">
      <c r="D219" s="10"/>
    </row>
    <row r="220" spans="4:4" ht="15.75" x14ac:dyDescent="0.25">
      <c r="D220" s="1"/>
    </row>
    <row r="221" spans="4:4" ht="15.75" x14ac:dyDescent="0.25">
      <c r="D221" s="1"/>
    </row>
    <row r="222" spans="4:4" ht="15.75" x14ac:dyDescent="0.25">
      <c r="D222" s="1"/>
    </row>
    <row r="223" spans="4:4" ht="15.75" x14ac:dyDescent="0.25">
      <c r="D223" s="1"/>
    </row>
    <row r="224" spans="4:4" ht="15.75" x14ac:dyDescent="0.25">
      <c r="D224" s="1"/>
    </row>
    <row r="225" spans="4:4" ht="15.75" x14ac:dyDescent="0.25">
      <c r="D225" s="1"/>
    </row>
    <row r="226" spans="4:4" ht="15.75" x14ac:dyDescent="0.25">
      <c r="D226" s="1"/>
    </row>
    <row r="227" spans="4:4" ht="15.75" x14ac:dyDescent="0.25">
      <c r="D227" s="1"/>
    </row>
    <row r="228" spans="4:4" ht="15.75" x14ac:dyDescent="0.25">
      <c r="D228" s="1"/>
    </row>
    <row r="229" spans="4:4" ht="15.75" x14ac:dyDescent="0.25">
      <c r="D229" s="1"/>
    </row>
    <row r="230" spans="4:4" ht="15.75" x14ac:dyDescent="0.25">
      <c r="D230" s="1"/>
    </row>
    <row r="231" spans="4:4" ht="15.75" x14ac:dyDescent="0.25">
      <c r="D231" s="1"/>
    </row>
    <row r="232" spans="4:4" ht="15.75" x14ac:dyDescent="0.25">
      <c r="D232" s="1"/>
    </row>
    <row r="233" spans="4:4" ht="15.75" x14ac:dyDescent="0.25">
      <c r="D233" s="1"/>
    </row>
    <row r="234" spans="4:4" ht="15.75" x14ac:dyDescent="0.25">
      <c r="D234" s="1"/>
    </row>
    <row r="235" spans="4:4" ht="15.75" x14ac:dyDescent="0.25">
      <c r="D235" s="1"/>
    </row>
    <row r="236" spans="4:4" ht="15.75" x14ac:dyDescent="0.25">
      <c r="D236" s="1"/>
    </row>
    <row r="237" spans="4:4" ht="15.75" x14ac:dyDescent="0.25">
      <c r="D237" s="1"/>
    </row>
    <row r="238" spans="4:4" ht="15.75" x14ac:dyDescent="0.25">
      <c r="D238" s="1"/>
    </row>
    <row r="239" spans="4:4" ht="15.75" x14ac:dyDescent="0.25">
      <c r="D239" s="1"/>
    </row>
    <row r="240" spans="4:4" ht="15.75" x14ac:dyDescent="0.25">
      <c r="D240" s="1"/>
    </row>
    <row r="241" spans="4:4" ht="15.75" x14ac:dyDescent="0.25">
      <c r="D241" s="1"/>
    </row>
    <row r="242" spans="4:4" ht="15.75" x14ac:dyDescent="0.25">
      <c r="D242" s="1"/>
    </row>
    <row r="243" spans="4:4" ht="15.75" x14ac:dyDescent="0.25">
      <c r="D243" s="1"/>
    </row>
    <row r="244" spans="4:4" ht="15.75" x14ac:dyDescent="0.25">
      <c r="D244" s="1"/>
    </row>
    <row r="245" spans="4:4" ht="15.75" x14ac:dyDescent="0.25">
      <c r="D245" s="1"/>
    </row>
    <row r="246" spans="4:4" ht="15.75" x14ac:dyDescent="0.25">
      <c r="D246" s="1"/>
    </row>
    <row r="247" spans="4:4" ht="15.75" x14ac:dyDescent="0.25">
      <c r="D247" s="1"/>
    </row>
    <row r="248" spans="4:4" ht="15.75" x14ac:dyDescent="0.25">
      <c r="D248" s="1"/>
    </row>
    <row r="249" spans="4:4" ht="15.75" x14ac:dyDescent="0.25">
      <c r="D249" s="1"/>
    </row>
    <row r="250" spans="4:4" ht="15.75" x14ac:dyDescent="0.25">
      <c r="D250" s="1"/>
    </row>
    <row r="251" spans="4:4" ht="15.75" x14ac:dyDescent="0.25">
      <c r="D251" s="1"/>
    </row>
    <row r="252" spans="4:4" ht="15.75" x14ac:dyDescent="0.25">
      <c r="D252" s="1"/>
    </row>
    <row r="253" spans="4:4" ht="15.75" x14ac:dyDescent="0.25">
      <c r="D253" s="1"/>
    </row>
    <row r="254" spans="4:4" ht="15.75" x14ac:dyDescent="0.25">
      <c r="D254" s="1"/>
    </row>
    <row r="255" spans="4:4" ht="15.75" x14ac:dyDescent="0.25">
      <c r="D255" s="1"/>
    </row>
    <row r="256" spans="4:4" ht="15.75" x14ac:dyDescent="0.25">
      <c r="D256" s="1"/>
    </row>
    <row r="257" spans="4:4" ht="15.75" x14ac:dyDescent="0.25">
      <c r="D257" s="1"/>
    </row>
    <row r="258" spans="4:4" ht="15.75" x14ac:dyDescent="0.25">
      <c r="D258" s="1"/>
    </row>
    <row r="259" spans="4:4" ht="15.75" x14ac:dyDescent="0.25">
      <c r="D259" s="1"/>
    </row>
    <row r="260" spans="4:4" ht="15.75" x14ac:dyDescent="0.25">
      <c r="D260" s="1"/>
    </row>
    <row r="261" spans="4:4" ht="15.75" x14ac:dyDescent="0.25">
      <c r="D261" s="1"/>
    </row>
    <row r="262" spans="4:4" ht="15.75" x14ac:dyDescent="0.25">
      <c r="D262" s="1"/>
    </row>
    <row r="263" spans="4:4" ht="15.75" x14ac:dyDescent="0.25">
      <c r="D263" s="1"/>
    </row>
    <row r="264" spans="4:4" ht="15.75" x14ac:dyDescent="0.25">
      <c r="D264" s="1"/>
    </row>
    <row r="265" spans="4:4" ht="15.75" x14ac:dyDescent="0.25">
      <c r="D265" s="1"/>
    </row>
    <row r="266" spans="4:4" ht="15.75" x14ac:dyDescent="0.25">
      <c r="D266" s="1"/>
    </row>
    <row r="267" spans="4:4" ht="15.75" x14ac:dyDescent="0.25">
      <c r="D267" s="1"/>
    </row>
    <row r="268" spans="4:4" ht="15.75" x14ac:dyDescent="0.25">
      <c r="D268" s="1"/>
    </row>
    <row r="269" spans="4:4" ht="15.75" x14ac:dyDescent="0.25">
      <c r="D269" s="1"/>
    </row>
    <row r="270" spans="4:4" ht="15.75" x14ac:dyDescent="0.25">
      <c r="D270" s="1"/>
    </row>
    <row r="271" spans="4:4" ht="15.75" x14ac:dyDescent="0.25">
      <c r="D271" s="1"/>
    </row>
    <row r="272" spans="4:4" ht="15.75" x14ac:dyDescent="0.25">
      <c r="D272" s="1"/>
    </row>
    <row r="273" spans="4:4" ht="15.75" x14ac:dyDescent="0.25">
      <c r="D273" s="1"/>
    </row>
    <row r="274" spans="4:4" ht="15.75" x14ac:dyDescent="0.25">
      <c r="D274" s="1"/>
    </row>
    <row r="275" spans="4:4" ht="15.75" x14ac:dyDescent="0.25">
      <c r="D275" s="1"/>
    </row>
    <row r="276" spans="4:4" ht="15.75" x14ac:dyDescent="0.25">
      <c r="D276" s="1"/>
    </row>
    <row r="277" spans="4:4" ht="15.75" x14ac:dyDescent="0.25">
      <c r="D277" s="1"/>
    </row>
    <row r="278" spans="4:4" ht="15.75" x14ac:dyDescent="0.25">
      <c r="D278" s="1"/>
    </row>
    <row r="279" spans="4:4" ht="15.75" x14ac:dyDescent="0.25">
      <c r="D279" s="1"/>
    </row>
    <row r="280" spans="4:4" ht="15.75" x14ac:dyDescent="0.25">
      <c r="D280" s="1"/>
    </row>
    <row r="281" spans="4:4" ht="15.75" x14ac:dyDescent="0.25">
      <c r="D281" s="1"/>
    </row>
    <row r="282" spans="4:4" ht="15.75" x14ac:dyDescent="0.25">
      <c r="D282" s="1"/>
    </row>
    <row r="283" spans="4:4" ht="15.75" x14ac:dyDescent="0.25">
      <c r="D283" s="1"/>
    </row>
    <row r="284" spans="4:4" ht="15.75" x14ac:dyDescent="0.25">
      <c r="D284" s="1"/>
    </row>
    <row r="285" spans="4:4" ht="15.75" x14ac:dyDescent="0.25">
      <c r="D285" s="1"/>
    </row>
    <row r="286" spans="4:4" ht="15.75" x14ac:dyDescent="0.25">
      <c r="D286" s="1"/>
    </row>
    <row r="287" spans="4:4" ht="15.75" x14ac:dyDescent="0.25">
      <c r="D287" s="1"/>
    </row>
    <row r="288" spans="4:4" ht="15.75" x14ac:dyDescent="0.25">
      <c r="D288" s="1"/>
    </row>
    <row r="289" spans="4:4" ht="15.75" x14ac:dyDescent="0.25">
      <c r="D289" s="1"/>
    </row>
    <row r="290" spans="4:4" ht="15.75" x14ac:dyDescent="0.25">
      <c r="D290" s="1"/>
    </row>
    <row r="291" spans="4:4" ht="15.75" x14ac:dyDescent="0.25">
      <c r="D291" s="10"/>
    </row>
    <row r="292" spans="4:4" ht="15.75" x14ac:dyDescent="0.25">
      <c r="D292" s="1"/>
    </row>
    <row r="293" spans="4:4" ht="15.75" x14ac:dyDescent="0.25">
      <c r="D293" s="1"/>
    </row>
    <row r="294" spans="4:4" ht="15.75" x14ac:dyDescent="0.25">
      <c r="D294" s="10"/>
    </row>
    <row r="295" spans="4:4" ht="15.75" x14ac:dyDescent="0.25">
      <c r="D295" s="1"/>
    </row>
    <row r="296" spans="4:4" ht="15.75" x14ac:dyDescent="0.25">
      <c r="D296" s="1"/>
    </row>
    <row r="297" spans="4:4" ht="15.75" x14ac:dyDescent="0.25">
      <c r="D297" s="1"/>
    </row>
    <row r="298" spans="4:4" ht="15.75" x14ac:dyDescent="0.25">
      <c r="D298" s="1"/>
    </row>
    <row r="299" spans="4:4" ht="15.75" x14ac:dyDescent="0.25">
      <c r="D299" s="1"/>
    </row>
    <row r="300" spans="4:4" ht="15.75" x14ac:dyDescent="0.25">
      <c r="D300" s="1"/>
    </row>
    <row r="301" spans="4:4" ht="15.75" x14ac:dyDescent="0.25">
      <c r="D301" s="1"/>
    </row>
    <row r="302" spans="4:4" ht="15.75" x14ac:dyDescent="0.25">
      <c r="D302" s="1"/>
    </row>
    <row r="303" spans="4:4" ht="15.75" x14ac:dyDescent="0.25">
      <c r="D303" s="1"/>
    </row>
    <row r="304" spans="4:4" ht="15.75" x14ac:dyDescent="0.25">
      <c r="D304" s="1"/>
    </row>
    <row r="305" spans="4:4" ht="15.75" x14ac:dyDescent="0.25">
      <c r="D305" s="10"/>
    </row>
    <row r="306" spans="4:4" ht="15.75" x14ac:dyDescent="0.25">
      <c r="D306" s="1"/>
    </row>
    <row r="307" spans="4:4" ht="15.75" x14ac:dyDescent="0.25">
      <c r="D307" s="1"/>
    </row>
    <row r="308" spans="4:4" ht="15.75" x14ac:dyDescent="0.25">
      <c r="D308" s="1"/>
    </row>
    <row r="309" spans="4:4" ht="15.75" x14ac:dyDescent="0.25">
      <c r="D309" s="1"/>
    </row>
    <row r="310" spans="4:4" ht="15.75" x14ac:dyDescent="0.25">
      <c r="D310" s="1"/>
    </row>
    <row r="311" spans="4:4" ht="15.75" x14ac:dyDescent="0.25">
      <c r="D311" s="1"/>
    </row>
    <row r="312" spans="4:4" ht="15.75" x14ac:dyDescent="0.25">
      <c r="D312" s="1"/>
    </row>
    <row r="313" spans="4:4" ht="15.75" x14ac:dyDescent="0.25">
      <c r="D313" s="1"/>
    </row>
    <row r="314" spans="4:4" ht="15.75" x14ac:dyDescent="0.25">
      <c r="D314" s="1"/>
    </row>
    <row r="315" spans="4:4" ht="15.75" x14ac:dyDescent="0.25">
      <c r="D315" s="1"/>
    </row>
    <row r="316" spans="4:4" ht="15.75" x14ac:dyDescent="0.25">
      <c r="D316" s="1"/>
    </row>
    <row r="317" spans="4:4" ht="15.75" x14ac:dyDescent="0.25">
      <c r="D317" s="1"/>
    </row>
    <row r="318" spans="4:4" ht="15.75" x14ac:dyDescent="0.25">
      <c r="D318" s="1"/>
    </row>
    <row r="319" spans="4:4" ht="15.75" x14ac:dyDescent="0.25">
      <c r="D319" s="1"/>
    </row>
    <row r="320" spans="4:4" ht="15.75" x14ac:dyDescent="0.25">
      <c r="D320" s="1"/>
    </row>
    <row r="321" spans="4:4" ht="15.75" x14ac:dyDescent="0.25">
      <c r="D321" s="1"/>
    </row>
    <row r="322" spans="4:4" ht="15.75" x14ac:dyDescent="0.25">
      <c r="D322" s="1"/>
    </row>
    <row r="323" spans="4:4" ht="15.75" x14ac:dyDescent="0.25">
      <c r="D323" s="1"/>
    </row>
    <row r="324" spans="4:4" ht="15.75" x14ac:dyDescent="0.25">
      <c r="D324" s="1"/>
    </row>
    <row r="325" spans="4:4" ht="15.75" x14ac:dyDescent="0.25">
      <c r="D325" s="1"/>
    </row>
    <row r="326" spans="4:4" ht="15.75" x14ac:dyDescent="0.25">
      <c r="D326" s="1"/>
    </row>
    <row r="327" spans="4:4" ht="15.75" x14ac:dyDescent="0.25">
      <c r="D327" s="1"/>
    </row>
    <row r="328" spans="4:4" ht="15.75" x14ac:dyDescent="0.25">
      <c r="D328" s="1"/>
    </row>
    <row r="329" spans="4:4" ht="15.75" x14ac:dyDescent="0.25">
      <c r="D329" s="1"/>
    </row>
    <row r="330" spans="4:4" ht="15.75" x14ac:dyDescent="0.25">
      <c r="D330" s="1"/>
    </row>
    <row r="331" spans="4:4" ht="15.75" x14ac:dyDescent="0.25">
      <c r="D331" s="1"/>
    </row>
    <row r="332" spans="4:4" ht="15.75" x14ac:dyDescent="0.25">
      <c r="D332" s="1"/>
    </row>
    <row r="333" spans="4:4" ht="15.75" x14ac:dyDescent="0.25">
      <c r="D333" s="1"/>
    </row>
    <row r="334" spans="4:4" ht="15.75" x14ac:dyDescent="0.25">
      <c r="D334" s="1"/>
    </row>
    <row r="335" spans="4:4" ht="15.75" x14ac:dyDescent="0.25">
      <c r="D335" s="1"/>
    </row>
    <row r="336" spans="4:4" ht="15.75" x14ac:dyDescent="0.25">
      <c r="D336" s="1"/>
    </row>
    <row r="337" spans="4:4" ht="15.75" x14ac:dyDescent="0.25">
      <c r="D337" s="1"/>
    </row>
    <row r="338" spans="4:4" ht="15.75" x14ac:dyDescent="0.25">
      <c r="D338" s="1"/>
    </row>
    <row r="339" spans="4:4" ht="15.75" x14ac:dyDescent="0.25">
      <c r="D339" s="1"/>
    </row>
    <row r="340" spans="4:4" ht="15.75" x14ac:dyDescent="0.25">
      <c r="D340" s="1"/>
    </row>
    <row r="341" spans="4:4" ht="15.75" x14ac:dyDescent="0.25">
      <c r="D341" s="1"/>
    </row>
    <row r="342" spans="4:4" ht="15.75" x14ac:dyDescent="0.25">
      <c r="D342" s="1"/>
    </row>
    <row r="343" spans="4:4" ht="15.75" x14ac:dyDescent="0.25">
      <c r="D343" s="1"/>
    </row>
    <row r="344" spans="4:4" ht="15.75" x14ac:dyDescent="0.25">
      <c r="D344" s="1"/>
    </row>
    <row r="345" spans="4:4" ht="15.75" x14ac:dyDescent="0.25">
      <c r="D345" s="1"/>
    </row>
    <row r="346" spans="4:4" ht="15.75" x14ac:dyDescent="0.25">
      <c r="D346" s="1"/>
    </row>
    <row r="347" spans="4:4" ht="15.75" x14ac:dyDescent="0.25">
      <c r="D347" s="1"/>
    </row>
    <row r="348" spans="4:4" ht="15.75" x14ac:dyDescent="0.25">
      <c r="D348" s="1"/>
    </row>
    <row r="349" spans="4:4" ht="15.75" x14ac:dyDescent="0.25">
      <c r="D349" s="1"/>
    </row>
    <row r="350" spans="4:4" ht="15.75" x14ac:dyDescent="0.25">
      <c r="D350" s="1"/>
    </row>
    <row r="351" spans="4:4" ht="15.75" x14ac:dyDescent="0.25">
      <c r="D351" s="1"/>
    </row>
    <row r="352" spans="4:4" ht="15.75" x14ac:dyDescent="0.25">
      <c r="D352" s="1"/>
    </row>
    <row r="353" spans="4:4" ht="15.75" x14ac:dyDescent="0.25">
      <c r="D353" s="1"/>
    </row>
    <row r="354" spans="4:4" ht="15.75" x14ac:dyDescent="0.25">
      <c r="D354" s="1"/>
    </row>
    <row r="355" spans="4:4" ht="15.75" x14ac:dyDescent="0.25">
      <c r="D355" s="1"/>
    </row>
    <row r="356" spans="4:4" ht="15.75" x14ac:dyDescent="0.25">
      <c r="D356" s="1"/>
    </row>
    <row r="357" spans="4:4" ht="15.75" x14ac:dyDescent="0.25">
      <c r="D357" s="1"/>
    </row>
    <row r="358" spans="4:4" ht="15.75" x14ac:dyDescent="0.25">
      <c r="D358" s="1"/>
    </row>
    <row r="359" spans="4:4" ht="15.75" x14ac:dyDescent="0.25">
      <c r="D359" s="1"/>
    </row>
    <row r="360" spans="4:4" ht="15.75" x14ac:dyDescent="0.25">
      <c r="D360" s="1"/>
    </row>
    <row r="361" spans="4:4" ht="15.75" x14ac:dyDescent="0.25">
      <c r="D361" s="1"/>
    </row>
    <row r="362" spans="4:4" ht="15.75" x14ac:dyDescent="0.25">
      <c r="D362" s="1"/>
    </row>
    <row r="363" spans="4:4" ht="15.75" x14ac:dyDescent="0.25">
      <c r="D363" s="1"/>
    </row>
    <row r="364" spans="4:4" ht="15.75" x14ac:dyDescent="0.25">
      <c r="D364" s="1"/>
    </row>
    <row r="365" spans="4:4" ht="15.75" x14ac:dyDescent="0.25">
      <c r="D365" s="1"/>
    </row>
    <row r="366" spans="4:4" ht="15.75" x14ac:dyDescent="0.25">
      <c r="D366" s="1"/>
    </row>
    <row r="367" spans="4:4" ht="15.75" x14ac:dyDescent="0.25">
      <c r="D367" s="1"/>
    </row>
    <row r="368" spans="4:4" ht="15.75" x14ac:dyDescent="0.25">
      <c r="D368" s="1"/>
    </row>
    <row r="369" spans="4:4" ht="15.75" x14ac:dyDescent="0.25">
      <c r="D369" s="1"/>
    </row>
    <row r="370" spans="4:4" ht="15.75" x14ac:dyDescent="0.25">
      <c r="D370" s="10"/>
    </row>
    <row r="371" spans="4:4" ht="15.75" x14ac:dyDescent="0.25">
      <c r="D371" s="1"/>
    </row>
    <row r="372" spans="4:4" ht="15.75" x14ac:dyDescent="0.25">
      <c r="D372" s="1"/>
    </row>
    <row r="373" spans="4:4" ht="15.75" x14ac:dyDescent="0.25">
      <c r="D373" s="1"/>
    </row>
    <row r="374" spans="4:4" ht="15.75" x14ac:dyDescent="0.25">
      <c r="D374" s="1"/>
    </row>
    <row r="375" spans="4:4" ht="15.75" x14ac:dyDescent="0.25">
      <c r="D375" s="1"/>
    </row>
    <row r="376" spans="4:4" ht="15.75" x14ac:dyDescent="0.25">
      <c r="D376" s="1"/>
    </row>
    <row r="377" spans="4:4" ht="15.75" x14ac:dyDescent="0.25">
      <c r="D377" s="1"/>
    </row>
    <row r="378" spans="4:4" ht="15.75" x14ac:dyDescent="0.25">
      <c r="D378" s="1"/>
    </row>
    <row r="379" spans="4:4" ht="15.75" x14ac:dyDescent="0.25">
      <c r="D379" s="1"/>
    </row>
    <row r="380" spans="4:4" ht="15.75" x14ac:dyDescent="0.25">
      <c r="D380" s="1"/>
    </row>
    <row r="381" spans="4:4" ht="15.75" x14ac:dyDescent="0.25">
      <c r="D381" s="1"/>
    </row>
    <row r="382" spans="4:4" ht="15.75" x14ac:dyDescent="0.25">
      <c r="D382" s="1"/>
    </row>
    <row r="383" spans="4:4" ht="15.75" x14ac:dyDescent="0.25">
      <c r="D383" s="1"/>
    </row>
    <row r="384" spans="4:4" ht="15.75" x14ac:dyDescent="0.25">
      <c r="D384" s="1"/>
    </row>
    <row r="385" spans="4:4" ht="15.75" x14ac:dyDescent="0.25">
      <c r="D385" s="1"/>
    </row>
    <row r="386" spans="4:4" ht="15.75" x14ac:dyDescent="0.25">
      <c r="D386" s="1"/>
    </row>
    <row r="387" spans="4:4" ht="15.75" x14ac:dyDescent="0.25">
      <c r="D387" s="1"/>
    </row>
    <row r="388" spans="4:4" ht="15.75" x14ac:dyDescent="0.25">
      <c r="D388" s="1"/>
    </row>
    <row r="389" spans="4:4" ht="15.75" x14ac:dyDescent="0.25">
      <c r="D389" s="1"/>
    </row>
    <row r="390" spans="4:4" ht="15.75" x14ac:dyDescent="0.25">
      <c r="D390" s="1"/>
    </row>
    <row r="391" spans="4:4" ht="15.75" x14ac:dyDescent="0.25">
      <c r="D391" s="1"/>
    </row>
    <row r="392" spans="4:4" ht="15.75" x14ac:dyDescent="0.25">
      <c r="D392" s="1"/>
    </row>
    <row r="393" spans="4:4" ht="15.75" x14ac:dyDescent="0.25">
      <c r="D393" s="1"/>
    </row>
    <row r="394" spans="4:4" ht="15.75" x14ac:dyDescent="0.25">
      <c r="D394" s="1"/>
    </row>
    <row r="395" spans="4:4" ht="15.75" x14ac:dyDescent="0.25">
      <c r="D395" s="1"/>
    </row>
    <row r="396" spans="4:4" ht="15.75" x14ac:dyDescent="0.25">
      <c r="D396" s="1"/>
    </row>
    <row r="397" spans="4:4" ht="15.75" x14ac:dyDescent="0.25">
      <c r="D397" s="1"/>
    </row>
    <row r="398" spans="4:4" ht="15.75" x14ac:dyDescent="0.25">
      <c r="D398" s="1"/>
    </row>
    <row r="399" spans="4:4" ht="15.75" x14ac:dyDescent="0.25">
      <c r="D399" s="1"/>
    </row>
    <row r="400" spans="4:4" ht="15.75" x14ac:dyDescent="0.25">
      <c r="D400" s="1"/>
    </row>
    <row r="401" spans="4:4" ht="15.75" x14ac:dyDescent="0.25">
      <c r="D401" s="1"/>
    </row>
    <row r="402" spans="4:4" ht="15.75" x14ac:dyDescent="0.25">
      <c r="D402" s="1"/>
    </row>
    <row r="403" spans="4:4" ht="15.75" x14ac:dyDescent="0.25">
      <c r="D403" s="1"/>
    </row>
    <row r="404" spans="4:4" ht="15.75" x14ac:dyDescent="0.25">
      <c r="D404" s="1"/>
    </row>
    <row r="405" spans="4:4" ht="15.75" x14ac:dyDescent="0.25">
      <c r="D405" s="1"/>
    </row>
    <row r="406" spans="4:4" ht="15.75" x14ac:dyDescent="0.25">
      <c r="D406" s="1"/>
    </row>
    <row r="407" spans="4:4" ht="15.75" x14ac:dyDescent="0.25">
      <c r="D407" s="1"/>
    </row>
    <row r="408" spans="4:4" ht="15.75" x14ac:dyDescent="0.25">
      <c r="D408" s="1"/>
    </row>
    <row r="409" spans="4:4" ht="15.75" x14ac:dyDescent="0.25">
      <c r="D409" s="1"/>
    </row>
    <row r="410" spans="4:4" ht="15.75" x14ac:dyDescent="0.25">
      <c r="D410" s="1"/>
    </row>
    <row r="411" spans="4:4" ht="15.75" x14ac:dyDescent="0.25">
      <c r="D411" s="1"/>
    </row>
    <row r="412" spans="4:4" ht="15.75" x14ac:dyDescent="0.25">
      <c r="D412" s="1"/>
    </row>
    <row r="413" spans="4:4" ht="15.75" x14ac:dyDescent="0.25">
      <c r="D413" s="1"/>
    </row>
    <row r="414" spans="4:4" ht="15.75" x14ac:dyDescent="0.25">
      <c r="D414" s="1"/>
    </row>
    <row r="415" spans="4:4" ht="15.75" x14ac:dyDescent="0.25">
      <c r="D415" s="1"/>
    </row>
    <row r="416" spans="4:4" ht="15.75" x14ac:dyDescent="0.25">
      <c r="D416" s="1"/>
    </row>
    <row r="417" spans="4:4" ht="15.75" x14ac:dyDescent="0.25">
      <c r="D417" s="1"/>
    </row>
    <row r="418" spans="4:4" ht="15.75" x14ac:dyDescent="0.25">
      <c r="D418" s="1"/>
    </row>
    <row r="419" spans="4:4" ht="15.75" x14ac:dyDescent="0.25">
      <c r="D419" s="1"/>
    </row>
    <row r="420" spans="4:4" ht="15.75" x14ac:dyDescent="0.25">
      <c r="D420" s="1"/>
    </row>
    <row r="421" spans="4:4" ht="15.75" x14ac:dyDescent="0.25">
      <c r="D421" s="1"/>
    </row>
    <row r="422" spans="4:4" ht="15.75" x14ac:dyDescent="0.25">
      <c r="D422" s="1"/>
    </row>
    <row r="423" spans="4:4" ht="15.75" x14ac:dyDescent="0.25">
      <c r="D423" s="1"/>
    </row>
    <row r="424" spans="4:4" ht="15.75" x14ac:dyDescent="0.25">
      <c r="D424" s="1"/>
    </row>
    <row r="425" spans="4:4" ht="15.75" x14ac:dyDescent="0.25">
      <c r="D425" s="1"/>
    </row>
    <row r="426" spans="4:4" ht="15.75" x14ac:dyDescent="0.25">
      <c r="D426" s="1"/>
    </row>
    <row r="427" spans="4:4" ht="15.75" x14ac:dyDescent="0.25">
      <c r="D427" s="1"/>
    </row>
    <row r="428" spans="4:4" ht="15.75" x14ac:dyDescent="0.25">
      <c r="D428" s="1"/>
    </row>
    <row r="429" spans="4:4" ht="15.75" x14ac:dyDescent="0.25">
      <c r="D429" s="1"/>
    </row>
    <row r="430" spans="4:4" ht="15.75" x14ac:dyDescent="0.25">
      <c r="D430" s="1"/>
    </row>
    <row r="431" spans="4:4" ht="15.75" x14ac:dyDescent="0.25">
      <c r="D431" s="1"/>
    </row>
    <row r="432" spans="4:4" ht="15.75" x14ac:dyDescent="0.25">
      <c r="D432" s="1"/>
    </row>
    <row r="433" spans="4:4" ht="15.75" x14ac:dyDescent="0.25">
      <c r="D433" s="1"/>
    </row>
    <row r="434" spans="4:4" ht="15.75" x14ac:dyDescent="0.25">
      <c r="D434" s="1"/>
    </row>
    <row r="435" spans="4:4" ht="15.75" x14ac:dyDescent="0.25">
      <c r="D435" s="1"/>
    </row>
    <row r="436" spans="4:4" ht="15.75" x14ac:dyDescent="0.25">
      <c r="D436" s="1"/>
    </row>
    <row r="437" spans="4:4" ht="15.75" x14ac:dyDescent="0.25">
      <c r="D437" s="1"/>
    </row>
    <row r="438" spans="4:4" ht="15.75" x14ac:dyDescent="0.25">
      <c r="D438" s="1"/>
    </row>
    <row r="439" spans="4:4" ht="15.75" x14ac:dyDescent="0.25">
      <c r="D439" s="1"/>
    </row>
    <row r="440" spans="4:4" ht="15.75" x14ac:dyDescent="0.25">
      <c r="D440" s="1"/>
    </row>
    <row r="441" spans="4:4" ht="15.75" x14ac:dyDescent="0.25">
      <c r="D441" s="1"/>
    </row>
    <row r="442" spans="4:4" ht="15.75" x14ac:dyDescent="0.25">
      <c r="D442" s="1"/>
    </row>
    <row r="443" spans="4:4" ht="15.75" x14ac:dyDescent="0.25">
      <c r="D443" s="1"/>
    </row>
    <row r="444" spans="4:4" ht="15.75" x14ac:dyDescent="0.25">
      <c r="D444" s="1"/>
    </row>
    <row r="445" spans="4:4" ht="15.75" x14ac:dyDescent="0.25">
      <c r="D445" s="1"/>
    </row>
    <row r="446" spans="4:4" ht="15.75" x14ac:dyDescent="0.25">
      <c r="D446" s="1"/>
    </row>
    <row r="447" spans="4:4" ht="15.75" x14ac:dyDescent="0.25">
      <c r="D447" s="1"/>
    </row>
    <row r="448" spans="4:4" ht="15.75" x14ac:dyDescent="0.25">
      <c r="D448" s="1"/>
    </row>
    <row r="449" spans="4:4" ht="15.75" x14ac:dyDescent="0.25">
      <c r="D449" s="1"/>
    </row>
    <row r="450" spans="4:4" ht="15.75" x14ac:dyDescent="0.25">
      <c r="D450" s="1"/>
    </row>
    <row r="451" spans="4:4" ht="15.75" x14ac:dyDescent="0.25">
      <c r="D451" s="1"/>
    </row>
    <row r="452" spans="4:4" ht="15.75" x14ac:dyDescent="0.25">
      <c r="D452" s="10"/>
    </row>
    <row r="453" spans="4:4" ht="15.75" x14ac:dyDescent="0.25">
      <c r="D453" s="1"/>
    </row>
    <row r="454" spans="4:4" ht="15.75" x14ac:dyDescent="0.25">
      <c r="D454" s="1"/>
    </row>
    <row r="455" spans="4:4" ht="15.75" x14ac:dyDescent="0.25">
      <c r="D455" s="1"/>
    </row>
    <row r="456" spans="4:4" ht="15.75" x14ac:dyDescent="0.25">
      <c r="D456" s="1"/>
    </row>
    <row r="457" spans="4:4" ht="15.75" x14ac:dyDescent="0.25">
      <c r="D457" s="1"/>
    </row>
    <row r="458" spans="4:4" ht="15.75" x14ac:dyDescent="0.25">
      <c r="D458" s="1"/>
    </row>
    <row r="459" spans="4:4" ht="15.75" x14ac:dyDescent="0.25">
      <c r="D459" s="1"/>
    </row>
    <row r="460" spans="4:4" ht="15.75" x14ac:dyDescent="0.25">
      <c r="D460" s="1"/>
    </row>
    <row r="461" spans="4:4" ht="15.75" x14ac:dyDescent="0.25">
      <c r="D461" s="1"/>
    </row>
    <row r="462" spans="4:4" ht="15.75" x14ac:dyDescent="0.25">
      <c r="D462" s="1"/>
    </row>
    <row r="463" spans="4:4" ht="15.75" x14ac:dyDescent="0.25">
      <c r="D463" s="1"/>
    </row>
    <row r="464" spans="4:4" ht="15.75" x14ac:dyDescent="0.25">
      <c r="D464" s="1"/>
    </row>
    <row r="465" spans="4:4" ht="15.75" x14ac:dyDescent="0.25">
      <c r="D465" s="1"/>
    </row>
    <row r="466" spans="4:4" ht="15.75" x14ac:dyDescent="0.25">
      <c r="D466" s="1"/>
    </row>
    <row r="467" spans="4:4" ht="15.75" x14ac:dyDescent="0.25">
      <c r="D467" s="1"/>
    </row>
    <row r="468" spans="4:4" ht="15.75" x14ac:dyDescent="0.25">
      <c r="D468" s="1"/>
    </row>
    <row r="469" spans="4:4" ht="15.75" x14ac:dyDescent="0.25">
      <c r="D469" s="1"/>
    </row>
    <row r="470" spans="4:4" ht="15.75" x14ac:dyDescent="0.25">
      <c r="D470" s="1"/>
    </row>
    <row r="471" spans="4:4" ht="15.75" x14ac:dyDescent="0.25">
      <c r="D471" s="1"/>
    </row>
    <row r="472" spans="4:4" ht="15.75" x14ac:dyDescent="0.25">
      <c r="D472" s="1"/>
    </row>
    <row r="473" spans="4:4" ht="15.75" x14ac:dyDescent="0.25">
      <c r="D473" s="1"/>
    </row>
    <row r="474" spans="4:4" ht="15.75" x14ac:dyDescent="0.25">
      <c r="D474" s="1"/>
    </row>
    <row r="475" spans="4:4" ht="15.75" x14ac:dyDescent="0.25">
      <c r="D475" s="1"/>
    </row>
    <row r="476" spans="4:4" ht="15.75" x14ac:dyDescent="0.25">
      <c r="D476" s="1"/>
    </row>
    <row r="477" spans="4:4" ht="15.75" x14ac:dyDescent="0.25">
      <c r="D477" s="1"/>
    </row>
    <row r="478" spans="4:4" ht="15.75" x14ac:dyDescent="0.25">
      <c r="D478" s="1"/>
    </row>
    <row r="479" spans="4:4" ht="15.75" x14ac:dyDescent="0.25">
      <c r="D479" s="1"/>
    </row>
  </sheetData>
  <sortState ref="L2:L195">
    <sortCondition ref="L2:L195"/>
  </sortState>
  <pageMargins left="0.7" right="0.7" top="0.75" bottom="0.75" header="0.3" footer="0.3"/>
  <pageSetup paperSize="9" scale="16" fitToWidth="2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50"/>
    <pageSetUpPr fitToPage="1"/>
  </sheetPr>
  <dimension ref="A1:AJ1000"/>
  <sheetViews>
    <sheetView tabSelected="1" zoomScale="90" zoomScaleNormal="90" workbookViewId="0">
      <pane xSplit="4" ySplit="1" topLeftCell="AA2" activePane="bottomRight" state="frozen"/>
      <selection pane="topRight" activeCell="E1" sqref="E1"/>
      <selection pane="bottomLeft" activeCell="A2" sqref="A2"/>
      <selection pane="bottomRight" activeCell="A20" sqref="A20:AH20"/>
    </sheetView>
  </sheetViews>
  <sheetFormatPr defaultRowHeight="15.75" x14ac:dyDescent="0.25"/>
  <cols>
    <col min="1" max="1" width="8.28515625" style="20" customWidth="1"/>
    <col min="2" max="2" width="30.28515625" style="20" customWidth="1"/>
    <col min="3" max="3" width="29.28515625" style="20" customWidth="1"/>
    <col min="4" max="4" width="47.85546875" style="20" bestFit="1" customWidth="1"/>
    <col min="5" max="5" width="61.28515625" style="20" bestFit="1" customWidth="1"/>
    <col min="6" max="6" width="40.5703125" style="20" bestFit="1" customWidth="1"/>
    <col min="7" max="7" width="13.42578125" style="31" bestFit="1" customWidth="1"/>
    <col min="8" max="8" width="21.7109375" style="32" bestFit="1" customWidth="1"/>
    <col min="9" max="9" width="22.140625" style="32" bestFit="1" customWidth="1"/>
    <col min="10" max="10" width="20.5703125" style="32" bestFit="1" customWidth="1"/>
    <col min="11" max="11" width="11.140625" style="33" bestFit="1" customWidth="1"/>
    <col min="12" max="12" width="11.5703125" style="34" bestFit="1" customWidth="1"/>
    <col min="13" max="14" width="17.7109375" style="32" bestFit="1" customWidth="1"/>
    <col min="15" max="15" width="16.140625" style="20" bestFit="1" customWidth="1"/>
    <col min="16" max="16" width="10.140625" style="20" bestFit="1" customWidth="1"/>
    <col min="17" max="17" width="10.5703125" style="20" bestFit="1" customWidth="1"/>
    <col min="18" max="18" width="10.140625" style="20" bestFit="1" customWidth="1"/>
    <col min="19" max="19" width="11.85546875" style="20" bestFit="1" customWidth="1"/>
    <col min="20" max="20" width="15.140625" style="20" bestFit="1" customWidth="1"/>
    <col min="21" max="21" width="7.28515625" style="20" bestFit="1" customWidth="1"/>
    <col min="22" max="22" width="16.28515625" style="20" bestFit="1" customWidth="1"/>
    <col min="23" max="23" width="18.28515625" style="21" bestFit="1" customWidth="1"/>
    <col min="24" max="24" width="12.28515625" style="20" bestFit="1" customWidth="1"/>
    <col min="25" max="25" width="21.140625" style="20" customWidth="1"/>
    <col min="26" max="27" width="75.7109375" style="20" bestFit="1" customWidth="1"/>
    <col min="28" max="28" width="7.85546875" style="20" customWidth="1"/>
    <col min="29" max="29" width="9.7109375" style="20" customWidth="1"/>
    <col min="30" max="30" width="9.5703125" style="20" bestFit="1" customWidth="1"/>
    <col min="31" max="31" width="8.7109375" style="20" bestFit="1" customWidth="1"/>
    <col min="32" max="32" width="11.140625" style="20" bestFit="1" customWidth="1"/>
    <col min="33" max="33" width="9.42578125" style="20" bestFit="1" customWidth="1"/>
    <col min="34" max="34" width="13.28515625" style="21" customWidth="1"/>
    <col min="35" max="35" width="20" style="20" customWidth="1"/>
    <col min="36" max="36" width="13.85546875" style="20" customWidth="1"/>
    <col min="37" max="16384" width="9.140625" style="20"/>
  </cols>
  <sheetData>
    <row r="1" spans="1:36" s="30" customFormat="1" ht="27.75" customHeight="1" thickBot="1" x14ac:dyDescent="0.3">
      <c r="A1" s="25" t="s">
        <v>0</v>
      </c>
      <c r="B1" s="26" t="s">
        <v>4</v>
      </c>
      <c r="C1" s="27" t="s">
        <v>3</v>
      </c>
      <c r="D1" s="26" t="s">
        <v>1</v>
      </c>
      <c r="E1" s="26" t="s">
        <v>46</v>
      </c>
      <c r="F1" s="26" t="s">
        <v>5</v>
      </c>
      <c r="G1" s="223" t="s">
        <v>6</v>
      </c>
      <c r="H1" s="26" t="s">
        <v>7</v>
      </c>
      <c r="I1" s="26" t="s">
        <v>8</v>
      </c>
      <c r="J1" s="26" t="s">
        <v>9</v>
      </c>
      <c r="K1" s="28" t="s">
        <v>10</v>
      </c>
      <c r="L1" s="29" t="s">
        <v>11</v>
      </c>
      <c r="M1" s="26" t="s">
        <v>12</v>
      </c>
      <c r="N1" s="26" t="s">
        <v>13</v>
      </c>
      <c r="O1" s="26" t="s">
        <v>14</v>
      </c>
      <c r="P1" s="26" t="s">
        <v>15</v>
      </c>
      <c r="Q1" s="26" t="s">
        <v>16</v>
      </c>
      <c r="R1" s="26" t="s">
        <v>17</v>
      </c>
      <c r="S1" s="26" t="s">
        <v>18</v>
      </c>
      <c r="T1" s="26" t="s">
        <v>19</v>
      </c>
      <c r="U1" s="26" t="s">
        <v>20</v>
      </c>
      <c r="V1" s="26" t="s">
        <v>21</v>
      </c>
      <c r="W1" s="90" t="s">
        <v>22</v>
      </c>
      <c r="X1" s="26" t="s">
        <v>23</v>
      </c>
      <c r="Y1" s="26" t="s">
        <v>24</v>
      </c>
      <c r="Z1" s="26" t="s">
        <v>25</v>
      </c>
      <c r="AA1" s="26" t="s">
        <v>26</v>
      </c>
      <c r="AB1" s="26" t="s">
        <v>27</v>
      </c>
      <c r="AC1" s="26" t="s">
        <v>2062</v>
      </c>
      <c r="AD1" s="26" t="s">
        <v>29</v>
      </c>
      <c r="AE1" s="26" t="s">
        <v>30</v>
      </c>
      <c r="AF1" s="26" t="s">
        <v>31</v>
      </c>
      <c r="AG1" s="26" t="s">
        <v>32</v>
      </c>
      <c r="AH1" s="91" t="s">
        <v>33</v>
      </c>
    </row>
    <row r="2" spans="1:36" s="22" customFormat="1" x14ac:dyDescent="0.25">
      <c r="A2" s="35">
        <v>1019</v>
      </c>
      <c r="B2" s="20" t="s">
        <v>1825</v>
      </c>
      <c r="C2" s="20" t="s">
        <v>1825</v>
      </c>
      <c r="D2" s="94" t="s">
        <v>946</v>
      </c>
      <c r="E2" s="20" t="s">
        <v>817</v>
      </c>
      <c r="F2" s="20" t="s">
        <v>1843</v>
      </c>
      <c r="G2" s="31" t="s">
        <v>40</v>
      </c>
      <c r="H2" s="32">
        <v>1</v>
      </c>
      <c r="I2" s="32"/>
      <c r="J2" s="32">
        <v>1</v>
      </c>
      <c r="K2" s="33"/>
      <c r="L2" s="34"/>
      <c r="M2" s="32"/>
      <c r="N2" s="32"/>
      <c r="O2" s="20">
        <v>0</v>
      </c>
      <c r="P2" s="20">
        <v>1</v>
      </c>
      <c r="Q2" s="20">
        <v>0</v>
      </c>
      <c r="R2" s="20">
        <v>0</v>
      </c>
      <c r="S2" s="20"/>
      <c r="T2" s="20"/>
      <c r="U2" s="20"/>
      <c r="V2" s="20"/>
      <c r="W2" s="21"/>
      <c r="X2" s="20">
        <v>1</v>
      </c>
      <c r="Y2" s="20"/>
      <c r="Z2" s="20" t="s">
        <v>1848</v>
      </c>
      <c r="AA2" s="20" t="s">
        <v>1862</v>
      </c>
      <c r="AB2" s="31">
        <f>VLOOKUP(AA2,Masters!$K$2:$L$183,2,FALSE)</f>
        <v>1004</v>
      </c>
      <c r="AC2" s="20" t="s">
        <v>2064</v>
      </c>
      <c r="AD2" s="20" t="s">
        <v>2061</v>
      </c>
      <c r="AE2" s="20">
        <v>1</v>
      </c>
      <c r="AF2" s="20">
        <v>4</v>
      </c>
      <c r="AG2" s="20">
        <v>2003</v>
      </c>
      <c r="AH2" s="21">
        <v>37712</v>
      </c>
      <c r="AI2" s="235"/>
      <c r="AJ2" s="235"/>
    </row>
    <row r="3" spans="1:36" s="22" customFormat="1" x14ac:dyDescent="0.25">
      <c r="A3" s="35">
        <v>1021</v>
      </c>
      <c r="B3" s="20" t="s">
        <v>1825</v>
      </c>
      <c r="C3" s="20" t="s">
        <v>1825</v>
      </c>
      <c r="D3" s="94" t="s">
        <v>948</v>
      </c>
      <c r="E3" s="20" t="s">
        <v>2041</v>
      </c>
      <c r="F3" s="20" t="s">
        <v>1846</v>
      </c>
      <c r="G3" s="31" t="s">
        <v>40</v>
      </c>
      <c r="H3" s="32">
        <v>1</v>
      </c>
      <c r="I3" s="32"/>
      <c r="J3" s="32">
        <v>1</v>
      </c>
      <c r="K3" s="33"/>
      <c r="L3" s="34"/>
      <c r="M3" s="32"/>
      <c r="N3" s="32"/>
      <c r="O3" s="20">
        <v>0</v>
      </c>
      <c r="P3" s="20">
        <v>1</v>
      </c>
      <c r="Q3" s="20">
        <v>0</v>
      </c>
      <c r="R3" s="20">
        <v>0</v>
      </c>
      <c r="S3" s="20"/>
      <c r="T3" s="20"/>
      <c r="U3" s="20"/>
      <c r="V3" s="20"/>
      <c r="W3" s="21"/>
      <c r="X3" s="20">
        <v>1</v>
      </c>
      <c r="Y3" s="20"/>
      <c r="Z3" s="20" t="s">
        <v>1853</v>
      </c>
      <c r="AA3" s="20" t="s">
        <v>1860</v>
      </c>
      <c r="AB3" s="31">
        <f>VLOOKUP(AA3,Masters!$K$2:$L$183,2,FALSE)</f>
        <v>1002</v>
      </c>
      <c r="AC3" s="20" t="s">
        <v>2063</v>
      </c>
      <c r="AD3" s="20" t="s">
        <v>2061</v>
      </c>
      <c r="AE3" s="20">
        <v>30</v>
      </c>
      <c r="AF3" s="20">
        <v>4</v>
      </c>
      <c r="AG3" s="20">
        <v>2003</v>
      </c>
      <c r="AH3" s="21">
        <v>37741</v>
      </c>
      <c r="AI3" s="23"/>
    </row>
    <row r="4" spans="1:36" s="22" customFormat="1" ht="15" customHeight="1" x14ac:dyDescent="0.25">
      <c r="A4" s="35">
        <v>1026</v>
      </c>
      <c r="B4" s="20" t="s">
        <v>1825</v>
      </c>
      <c r="C4" s="20" t="s">
        <v>1825</v>
      </c>
      <c r="D4" s="94" t="s">
        <v>953</v>
      </c>
      <c r="E4" s="20" t="s">
        <v>2042</v>
      </c>
      <c r="F4" s="20" t="s">
        <v>1844</v>
      </c>
      <c r="G4" s="31" t="s">
        <v>40</v>
      </c>
      <c r="H4" s="32">
        <v>1</v>
      </c>
      <c r="I4" s="32"/>
      <c r="J4" s="32">
        <v>1</v>
      </c>
      <c r="K4" s="33"/>
      <c r="L4" s="34"/>
      <c r="M4" s="32"/>
      <c r="N4" s="32"/>
      <c r="O4" s="20">
        <v>0</v>
      </c>
      <c r="P4" s="20">
        <v>1</v>
      </c>
      <c r="Q4" s="20">
        <v>0</v>
      </c>
      <c r="R4" s="20">
        <v>0</v>
      </c>
      <c r="S4" s="20"/>
      <c r="T4" s="20"/>
      <c r="U4" s="20"/>
      <c r="V4" s="20"/>
      <c r="W4" s="21"/>
      <c r="X4" s="20">
        <v>1</v>
      </c>
      <c r="Y4" s="20"/>
      <c r="Z4" s="20" t="s">
        <v>1832</v>
      </c>
      <c r="AA4" s="20" t="s">
        <v>1862</v>
      </c>
      <c r="AB4" s="31">
        <f>VLOOKUP(AA4,Masters!$K$2:$L$183,2,FALSE)</f>
        <v>1004</v>
      </c>
      <c r="AC4" s="20" t="s">
        <v>2063</v>
      </c>
      <c r="AD4" s="20" t="s">
        <v>2061</v>
      </c>
      <c r="AE4" s="20">
        <v>12</v>
      </c>
      <c r="AF4" s="20">
        <v>3</v>
      </c>
      <c r="AG4" s="20">
        <v>2004</v>
      </c>
      <c r="AH4" s="21">
        <v>38058</v>
      </c>
      <c r="AI4" s="23"/>
    </row>
    <row r="5" spans="1:36" s="22" customFormat="1" ht="15" customHeight="1" x14ac:dyDescent="0.25">
      <c r="A5" s="35">
        <v>1028</v>
      </c>
      <c r="B5" s="20" t="s">
        <v>1825</v>
      </c>
      <c r="C5" s="20" t="s">
        <v>1825</v>
      </c>
      <c r="D5" s="94" t="s">
        <v>955</v>
      </c>
      <c r="E5" s="20" t="s">
        <v>2043</v>
      </c>
      <c r="F5" s="20" t="s">
        <v>1846</v>
      </c>
      <c r="G5" s="31" t="s">
        <v>40</v>
      </c>
      <c r="H5" s="32">
        <v>1</v>
      </c>
      <c r="I5" s="32"/>
      <c r="J5" s="32">
        <v>1</v>
      </c>
      <c r="K5" s="33"/>
      <c r="L5" s="34"/>
      <c r="M5" s="32"/>
      <c r="N5" s="32"/>
      <c r="O5" s="20">
        <v>0</v>
      </c>
      <c r="P5" s="20">
        <v>1</v>
      </c>
      <c r="Q5" s="20">
        <v>0</v>
      </c>
      <c r="R5" s="20">
        <v>0</v>
      </c>
      <c r="S5" s="20"/>
      <c r="T5" s="20"/>
      <c r="U5" s="20"/>
      <c r="V5" s="20"/>
      <c r="W5" s="21"/>
      <c r="X5" s="20">
        <v>1</v>
      </c>
      <c r="Y5" s="20"/>
      <c r="Z5" s="20" t="s">
        <v>1852</v>
      </c>
      <c r="AA5" s="20" t="s">
        <v>1859</v>
      </c>
      <c r="AB5" s="31">
        <f>VLOOKUP(AA5,Masters!$K$2:$L$183,2,FALSE)</f>
        <v>1001</v>
      </c>
      <c r="AC5" s="20" t="s">
        <v>2063</v>
      </c>
      <c r="AD5" s="20" t="s">
        <v>2061</v>
      </c>
      <c r="AE5" s="20">
        <v>4</v>
      </c>
      <c r="AF5" s="20">
        <v>11</v>
      </c>
      <c r="AG5" s="20">
        <v>2002</v>
      </c>
      <c r="AH5" s="21">
        <v>37564</v>
      </c>
      <c r="AI5" s="23"/>
    </row>
    <row r="6" spans="1:36" s="22" customFormat="1" x14ac:dyDescent="0.25">
      <c r="A6" s="35">
        <v>1029</v>
      </c>
      <c r="B6" s="20" t="s">
        <v>1825</v>
      </c>
      <c r="C6" s="20" t="s">
        <v>1825</v>
      </c>
      <c r="D6" s="94" t="s">
        <v>956</v>
      </c>
      <c r="E6" s="20" t="s">
        <v>2044</v>
      </c>
      <c r="F6" s="20" t="s">
        <v>1846</v>
      </c>
      <c r="G6" s="31" t="s">
        <v>40</v>
      </c>
      <c r="H6" s="32">
        <v>1</v>
      </c>
      <c r="I6" s="32"/>
      <c r="J6" s="32">
        <v>1</v>
      </c>
      <c r="K6" s="33"/>
      <c r="L6" s="34"/>
      <c r="M6" s="32"/>
      <c r="N6" s="32"/>
      <c r="O6" s="20">
        <v>0</v>
      </c>
      <c r="P6" s="20">
        <v>1</v>
      </c>
      <c r="Q6" s="20">
        <v>0</v>
      </c>
      <c r="R6" s="20">
        <v>0</v>
      </c>
      <c r="S6" s="20"/>
      <c r="T6" s="20"/>
      <c r="U6" s="20"/>
      <c r="V6" s="20"/>
      <c r="W6" s="21"/>
      <c r="X6" s="20">
        <v>1</v>
      </c>
      <c r="Y6" s="20"/>
      <c r="Z6" s="20" t="s">
        <v>1853</v>
      </c>
      <c r="AA6" s="20" t="s">
        <v>1863</v>
      </c>
      <c r="AB6" s="31">
        <f>VLOOKUP(AA6,Masters!$K$2:$L$183,2,FALSE)</f>
        <v>1005</v>
      </c>
      <c r="AC6" s="20" t="s">
        <v>2064</v>
      </c>
      <c r="AD6" s="20" t="s">
        <v>2061</v>
      </c>
      <c r="AE6" s="20">
        <v>7</v>
      </c>
      <c r="AF6" s="20">
        <v>11</v>
      </c>
      <c r="AG6" s="20">
        <v>2005</v>
      </c>
      <c r="AH6" s="21">
        <v>38663</v>
      </c>
      <c r="AI6" s="23"/>
    </row>
    <row r="7" spans="1:36" s="22" customFormat="1" x14ac:dyDescent="0.25">
      <c r="A7" s="35">
        <v>1031</v>
      </c>
      <c r="B7" s="20" t="s">
        <v>1825</v>
      </c>
      <c r="C7" s="20" t="s">
        <v>1825</v>
      </c>
      <c r="D7" s="94" t="s">
        <v>958</v>
      </c>
      <c r="E7" s="20" t="s">
        <v>2045</v>
      </c>
      <c r="F7" s="20" t="s">
        <v>1847</v>
      </c>
      <c r="G7" s="31" t="s">
        <v>40</v>
      </c>
      <c r="H7" s="32">
        <v>1</v>
      </c>
      <c r="I7" s="32"/>
      <c r="J7" s="32">
        <v>1</v>
      </c>
      <c r="K7" s="33"/>
      <c r="L7" s="34"/>
      <c r="M7" s="32"/>
      <c r="N7" s="32"/>
      <c r="O7" s="20">
        <v>0</v>
      </c>
      <c r="P7" s="20">
        <v>1</v>
      </c>
      <c r="Q7" s="20">
        <v>0</v>
      </c>
      <c r="R7" s="20">
        <v>0</v>
      </c>
      <c r="S7" s="20"/>
      <c r="T7" s="20"/>
      <c r="U7" s="20"/>
      <c r="V7" s="20"/>
      <c r="W7" s="21"/>
      <c r="X7" s="20">
        <v>1</v>
      </c>
      <c r="Y7" s="20"/>
      <c r="Z7" s="20" t="s">
        <v>58</v>
      </c>
      <c r="AA7" s="20" t="s">
        <v>1859</v>
      </c>
      <c r="AB7" s="31">
        <f>VLOOKUP(AA7,Masters!$K$2:$L$183,2,FALSE)</f>
        <v>1001</v>
      </c>
      <c r="AC7" s="20" t="s">
        <v>2063</v>
      </c>
      <c r="AD7" s="20" t="s">
        <v>2061</v>
      </c>
      <c r="AE7" s="20">
        <v>27</v>
      </c>
      <c r="AF7" s="20">
        <v>1</v>
      </c>
      <c r="AG7" s="20">
        <v>2001</v>
      </c>
      <c r="AH7" s="21">
        <v>36918</v>
      </c>
      <c r="AI7" s="23"/>
    </row>
    <row r="8" spans="1:36" s="22" customFormat="1" ht="15" customHeight="1" x14ac:dyDescent="0.25">
      <c r="A8" s="35">
        <v>1050</v>
      </c>
      <c r="B8" s="20" t="s">
        <v>1825</v>
      </c>
      <c r="C8" s="20" t="s">
        <v>1825</v>
      </c>
      <c r="D8" s="94" t="s">
        <v>977</v>
      </c>
      <c r="E8" s="20" t="s">
        <v>2046</v>
      </c>
      <c r="F8" s="20" t="s">
        <v>1846</v>
      </c>
      <c r="G8" s="31" t="s">
        <v>40</v>
      </c>
      <c r="H8" s="32">
        <v>1</v>
      </c>
      <c r="I8" s="32"/>
      <c r="J8" s="32">
        <v>1</v>
      </c>
      <c r="K8" s="33"/>
      <c r="L8" s="34"/>
      <c r="M8" s="32"/>
      <c r="N8" s="32"/>
      <c r="O8" s="20">
        <v>0</v>
      </c>
      <c r="P8" s="20">
        <v>1</v>
      </c>
      <c r="Q8" s="20">
        <v>0</v>
      </c>
      <c r="R8" s="20">
        <v>0</v>
      </c>
      <c r="S8" s="20"/>
      <c r="T8" s="20"/>
      <c r="U8" s="20"/>
      <c r="V8" s="20"/>
      <c r="W8" s="21"/>
      <c r="X8" s="20">
        <v>1</v>
      </c>
      <c r="Y8" s="20"/>
      <c r="Z8" s="20" t="s">
        <v>1835</v>
      </c>
      <c r="AA8" s="20" t="s">
        <v>1862</v>
      </c>
      <c r="AB8" s="31">
        <f>VLOOKUP(AA8,Masters!$K$2:$L$183,2,FALSE)</f>
        <v>1004</v>
      </c>
      <c r="AC8" s="20" t="s">
        <v>2063</v>
      </c>
      <c r="AD8" s="20" t="s">
        <v>2060</v>
      </c>
      <c r="AE8" s="20">
        <v>21</v>
      </c>
      <c r="AF8" s="20">
        <v>4</v>
      </c>
      <c r="AG8" s="20">
        <v>2005</v>
      </c>
      <c r="AH8" s="21">
        <v>38463</v>
      </c>
      <c r="AI8" s="23"/>
    </row>
    <row r="9" spans="1:36" s="22" customFormat="1" x14ac:dyDescent="0.25">
      <c r="A9" s="35">
        <v>1051</v>
      </c>
      <c r="B9" s="20" t="s">
        <v>1825</v>
      </c>
      <c r="C9" s="20" t="s">
        <v>1825</v>
      </c>
      <c r="D9" s="94" t="s">
        <v>978</v>
      </c>
      <c r="E9" s="20" t="s">
        <v>2047</v>
      </c>
      <c r="F9" s="20" t="s">
        <v>1845</v>
      </c>
      <c r="G9" s="31" t="s">
        <v>40</v>
      </c>
      <c r="H9" s="32">
        <v>1</v>
      </c>
      <c r="I9" s="32"/>
      <c r="J9" s="32">
        <v>1</v>
      </c>
      <c r="K9" s="33"/>
      <c r="L9" s="34"/>
      <c r="M9" s="32"/>
      <c r="N9" s="32"/>
      <c r="O9" s="20">
        <v>0</v>
      </c>
      <c r="P9" s="20">
        <v>1</v>
      </c>
      <c r="Q9" s="20">
        <v>0</v>
      </c>
      <c r="R9" s="20">
        <v>0</v>
      </c>
      <c r="S9" s="20"/>
      <c r="T9" s="20"/>
      <c r="U9" s="20"/>
      <c r="V9" s="20"/>
      <c r="W9" s="21"/>
      <c r="X9" s="20">
        <v>1</v>
      </c>
      <c r="Y9" s="20"/>
      <c r="Z9" s="20" t="s">
        <v>1835</v>
      </c>
      <c r="AA9" s="20" t="s">
        <v>1859</v>
      </c>
      <c r="AB9" s="31">
        <f>VLOOKUP(AA9,Masters!$K$2:$L$183,2,FALSE)</f>
        <v>1001</v>
      </c>
      <c r="AC9" s="20" t="s">
        <v>2063</v>
      </c>
      <c r="AD9" s="20" t="s">
        <v>2060</v>
      </c>
      <c r="AE9" s="20">
        <v>19</v>
      </c>
      <c r="AF9" s="20">
        <v>9</v>
      </c>
      <c r="AG9" s="20">
        <v>2001</v>
      </c>
      <c r="AH9" s="21">
        <v>37153</v>
      </c>
      <c r="AI9" s="23"/>
    </row>
    <row r="10" spans="1:36" s="22" customFormat="1" x14ac:dyDescent="0.25">
      <c r="A10" s="35">
        <v>1062</v>
      </c>
      <c r="B10" s="20" t="s">
        <v>1825</v>
      </c>
      <c r="C10" s="20" t="s">
        <v>1825</v>
      </c>
      <c r="D10" s="94" t="s">
        <v>989</v>
      </c>
      <c r="E10" s="20" t="s">
        <v>2048</v>
      </c>
      <c r="F10" s="20" t="s">
        <v>1843</v>
      </c>
      <c r="G10" s="31" t="s">
        <v>40</v>
      </c>
      <c r="H10" s="32">
        <v>1</v>
      </c>
      <c r="I10" s="32"/>
      <c r="J10" s="32">
        <v>1</v>
      </c>
      <c r="K10" s="33"/>
      <c r="L10" s="34"/>
      <c r="M10" s="32"/>
      <c r="N10" s="32"/>
      <c r="O10" s="20">
        <v>0</v>
      </c>
      <c r="P10" s="20">
        <v>1</v>
      </c>
      <c r="Q10" s="20">
        <v>0</v>
      </c>
      <c r="R10" s="20">
        <v>0</v>
      </c>
      <c r="S10" s="20"/>
      <c r="T10" s="20"/>
      <c r="U10" s="20"/>
      <c r="V10" s="20"/>
      <c r="W10" s="21"/>
      <c r="X10" s="20">
        <v>1</v>
      </c>
      <c r="Y10" s="20"/>
      <c r="Z10" s="20" t="s">
        <v>58</v>
      </c>
      <c r="AA10" s="20" t="s">
        <v>1863</v>
      </c>
      <c r="AB10" s="31">
        <f>VLOOKUP(AA10,Masters!$K$2:$L$183,2,FALSE)</f>
        <v>1005</v>
      </c>
      <c r="AC10" s="20" t="s">
        <v>2063</v>
      </c>
      <c r="AD10" s="20" t="s">
        <v>2060</v>
      </c>
      <c r="AE10" s="20">
        <v>17</v>
      </c>
      <c r="AF10" s="20">
        <v>10</v>
      </c>
      <c r="AG10" s="20">
        <v>2005</v>
      </c>
      <c r="AH10" s="21">
        <v>38642</v>
      </c>
      <c r="AI10" s="23"/>
    </row>
    <row r="11" spans="1:36" s="22" customFormat="1" x14ac:dyDescent="0.25">
      <c r="A11" s="35">
        <v>1076</v>
      </c>
      <c r="B11" s="20" t="s">
        <v>1825</v>
      </c>
      <c r="C11" s="20" t="s">
        <v>1825</v>
      </c>
      <c r="D11" s="94" t="s">
        <v>1003</v>
      </c>
      <c r="E11" s="20" t="s">
        <v>2049</v>
      </c>
      <c r="F11" s="20" t="s">
        <v>1845</v>
      </c>
      <c r="G11" s="31" t="s">
        <v>40</v>
      </c>
      <c r="H11" s="32">
        <v>1</v>
      </c>
      <c r="I11" s="32"/>
      <c r="J11" s="32">
        <v>1</v>
      </c>
      <c r="K11" s="33"/>
      <c r="L11" s="34"/>
      <c r="M11" s="32"/>
      <c r="N11" s="32"/>
      <c r="O11" s="20">
        <v>0</v>
      </c>
      <c r="P11" s="20">
        <v>1</v>
      </c>
      <c r="Q11" s="20">
        <v>0</v>
      </c>
      <c r="R11" s="20">
        <v>0</v>
      </c>
      <c r="S11" s="20"/>
      <c r="T11" s="20"/>
      <c r="U11" s="20"/>
      <c r="V11" s="20"/>
      <c r="W11" s="21"/>
      <c r="X11" s="20">
        <v>1</v>
      </c>
      <c r="Y11" s="20"/>
      <c r="Z11" s="20" t="s">
        <v>1858</v>
      </c>
      <c r="AA11" s="20" t="s">
        <v>1859</v>
      </c>
      <c r="AB11" s="31">
        <f>VLOOKUP(AA11,Masters!$K$2:$L$183,2,FALSE)</f>
        <v>1001</v>
      </c>
      <c r="AC11" s="20" t="s">
        <v>2063</v>
      </c>
      <c r="AD11" s="20" t="s">
        <v>2061</v>
      </c>
      <c r="AE11" s="20">
        <v>18</v>
      </c>
      <c r="AF11" s="20">
        <v>7</v>
      </c>
      <c r="AG11" s="20">
        <v>2000</v>
      </c>
      <c r="AH11" s="21">
        <v>36725</v>
      </c>
      <c r="AI11" s="23"/>
    </row>
    <row r="12" spans="1:36" s="22" customFormat="1" x14ac:dyDescent="0.25">
      <c r="A12" s="35">
        <v>1077</v>
      </c>
      <c r="B12" s="20" t="s">
        <v>1825</v>
      </c>
      <c r="C12" s="20" t="s">
        <v>1825</v>
      </c>
      <c r="D12" s="94" t="s">
        <v>1004</v>
      </c>
      <c r="E12" s="20" t="s">
        <v>2052</v>
      </c>
      <c r="F12" s="20" t="s">
        <v>1844</v>
      </c>
      <c r="G12" s="31" t="s">
        <v>40</v>
      </c>
      <c r="H12" s="32">
        <v>1</v>
      </c>
      <c r="I12" s="32"/>
      <c r="J12" s="32">
        <v>1</v>
      </c>
      <c r="K12" s="33"/>
      <c r="L12" s="34"/>
      <c r="M12" s="32"/>
      <c r="N12" s="32"/>
      <c r="O12" s="20">
        <v>0</v>
      </c>
      <c r="P12" s="20">
        <v>1</v>
      </c>
      <c r="Q12" s="20">
        <v>0</v>
      </c>
      <c r="R12" s="20">
        <v>0</v>
      </c>
      <c r="S12" s="20"/>
      <c r="T12" s="20"/>
      <c r="U12" s="20"/>
      <c r="V12" s="20"/>
      <c r="W12" s="21"/>
      <c r="X12" s="20">
        <v>1</v>
      </c>
      <c r="Y12" s="20"/>
      <c r="Z12" s="20" t="s">
        <v>1855</v>
      </c>
      <c r="AA12" s="20" t="s">
        <v>1860</v>
      </c>
      <c r="AB12" s="31">
        <f>VLOOKUP(AA12,Masters!$K$2:$L$183,2,FALSE)</f>
        <v>1002</v>
      </c>
      <c r="AC12" s="20" t="s">
        <v>2064</v>
      </c>
      <c r="AD12" s="20" t="s">
        <v>2061</v>
      </c>
      <c r="AE12" s="20">
        <v>21</v>
      </c>
      <c r="AF12" s="20">
        <v>7</v>
      </c>
      <c r="AG12" s="20">
        <v>2004</v>
      </c>
      <c r="AH12" s="21">
        <v>38189</v>
      </c>
      <c r="AI12" s="23"/>
    </row>
    <row r="13" spans="1:36" s="22" customFormat="1" x14ac:dyDescent="0.25">
      <c r="A13" s="35">
        <v>1082</v>
      </c>
      <c r="B13" s="20" t="s">
        <v>1825</v>
      </c>
      <c r="C13" s="20" t="s">
        <v>1825</v>
      </c>
      <c r="D13" s="94" t="s">
        <v>1009</v>
      </c>
      <c r="E13" s="20" t="s">
        <v>2055</v>
      </c>
      <c r="F13" s="20" t="s">
        <v>1845</v>
      </c>
      <c r="G13" s="31" t="s">
        <v>40</v>
      </c>
      <c r="H13" s="32">
        <v>1</v>
      </c>
      <c r="I13" s="32"/>
      <c r="J13" s="32">
        <v>1</v>
      </c>
      <c r="K13" s="33"/>
      <c r="L13" s="34"/>
      <c r="M13" s="32"/>
      <c r="N13" s="32"/>
      <c r="O13" s="20">
        <v>0</v>
      </c>
      <c r="P13" s="20">
        <v>1</v>
      </c>
      <c r="Q13" s="20">
        <v>0</v>
      </c>
      <c r="R13" s="20">
        <v>0</v>
      </c>
      <c r="S13" s="20"/>
      <c r="T13" s="20"/>
      <c r="U13" s="20"/>
      <c r="V13" s="20"/>
      <c r="W13" s="21"/>
      <c r="X13" s="20">
        <v>1</v>
      </c>
      <c r="Y13" s="20"/>
      <c r="Z13" s="20" t="s">
        <v>1856</v>
      </c>
      <c r="AA13" s="20" t="s">
        <v>1860</v>
      </c>
      <c r="AB13" s="31">
        <f>VLOOKUP(AA13,Masters!$K$2:$L$183,2,FALSE)</f>
        <v>1002</v>
      </c>
      <c r="AC13" s="20" t="s">
        <v>2063</v>
      </c>
      <c r="AD13" s="20" t="s">
        <v>2061</v>
      </c>
      <c r="AE13" s="20">
        <v>2</v>
      </c>
      <c r="AF13" s="20">
        <v>8</v>
      </c>
      <c r="AG13" s="20">
        <v>2005</v>
      </c>
      <c r="AH13" s="21">
        <v>38566</v>
      </c>
      <c r="AI13" s="23"/>
    </row>
    <row r="14" spans="1:36" x14ac:dyDescent="0.25">
      <c r="A14" s="35">
        <v>1083</v>
      </c>
      <c r="B14" s="20" t="s">
        <v>1825</v>
      </c>
      <c r="C14" s="20" t="s">
        <v>1825</v>
      </c>
      <c r="D14" s="94" t="s">
        <v>1010</v>
      </c>
      <c r="E14" s="20" t="s">
        <v>2051</v>
      </c>
      <c r="F14" s="20" t="s">
        <v>1843</v>
      </c>
      <c r="G14" s="31" t="s">
        <v>40</v>
      </c>
      <c r="H14" s="32">
        <v>1</v>
      </c>
      <c r="J14" s="32">
        <v>1</v>
      </c>
      <c r="O14" s="20">
        <v>0</v>
      </c>
      <c r="P14" s="20">
        <v>1</v>
      </c>
      <c r="Q14" s="20">
        <v>0</v>
      </c>
      <c r="R14" s="20">
        <v>0</v>
      </c>
      <c r="X14" s="20">
        <v>1</v>
      </c>
      <c r="Z14" s="20" t="s">
        <v>753</v>
      </c>
      <c r="AA14" s="20" t="s">
        <v>1860</v>
      </c>
      <c r="AB14" s="31">
        <f>VLOOKUP(AA14,Masters!$K$2:$L$183,2,FALSE)</f>
        <v>1002</v>
      </c>
      <c r="AC14" s="20" t="s">
        <v>2063</v>
      </c>
      <c r="AD14" s="20" t="s">
        <v>2060</v>
      </c>
      <c r="AE14" s="20">
        <v>24</v>
      </c>
      <c r="AF14" s="20">
        <v>12</v>
      </c>
      <c r="AG14" s="20">
        <v>2004</v>
      </c>
      <c r="AH14" s="21">
        <v>38345</v>
      </c>
      <c r="AI14" s="23"/>
    </row>
    <row r="15" spans="1:36" x14ac:dyDescent="0.25">
      <c r="A15" s="35">
        <v>1092</v>
      </c>
      <c r="B15" s="20" t="s">
        <v>1825</v>
      </c>
      <c r="C15" s="20" t="s">
        <v>1825</v>
      </c>
      <c r="D15" s="94" t="s">
        <v>1019</v>
      </c>
      <c r="E15" s="20" t="s">
        <v>2059</v>
      </c>
      <c r="F15" s="20" t="s">
        <v>1844</v>
      </c>
      <c r="G15" s="31" t="s">
        <v>40</v>
      </c>
      <c r="H15" s="32">
        <v>1</v>
      </c>
      <c r="J15" s="32">
        <v>1</v>
      </c>
      <c r="O15" s="20">
        <v>0</v>
      </c>
      <c r="P15" s="20">
        <v>1</v>
      </c>
      <c r="Q15" s="20">
        <v>0</v>
      </c>
      <c r="R15" s="20">
        <v>0</v>
      </c>
      <c r="X15" s="20">
        <v>1</v>
      </c>
      <c r="Z15" s="20" t="s">
        <v>201</v>
      </c>
      <c r="AA15" s="20" t="s">
        <v>1862</v>
      </c>
      <c r="AB15" s="31">
        <f>VLOOKUP(AA15,Masters!$K$2:$L$183,2,FALSE)</f>
        <v>1004</v>
      </c>
      <c r="AC15" s="20" t="s">
        <v>2063</v>
      </c>
      <c r="AD15" s="20" t="s">
        <v>2061</v>
      </c>
      <c r="AE15" s="20">
        <v>28</v>
      </c>
      <c r="AF15" s="20">
        <v>3</v>
      </c>
      <c r="AG15" s="20">
        <v>2002</v>
      </c>
      <c r="AH15" s="21">
        <v>37343</v>
      </c>
    </row>
    <row r="16" spans="1:36" x14ac:dyDescent="0.25">
      <c r="A16" s="35">
        <v>1095</v>
      </c>
      <c r="B16" s="20" t="s">
        <v>1825</v>
      </c>
      <c r="C16" s="20" t="s">
        <v>1825</v>
      </c>
      <c r="D16" s="94" t="s">
        <v>1022</v>
      </c>
      <c r="E16" s="20" t="s">
        <v>135</v>
      </c>
      <c r="F16" s="20" t="s">
        <v>1847</v>
      </c>
      <c r="G16" s="31" t="s">
        <v>40</v>
      </c>
      <c r="H16" s="32">
        <v>1</v>
      </c>
      <c r="J16" s="32">
        <v>1</v>
      </c>
      <c r="O16" s="20">
        <v>0</v>
      </c>
      <c r="P16" s="20">
        <v>1</v>
      </c>
      <c r="Q16" s="20">
        <v>0</v>
      </c>
      <c r="R16" s="20">
        <v>0</v>
      </c>
      <c r="X16" s="20">
        <v>1</v>
      </c>
      <c r="Z16" s="20" t="s">
        <v>1851</v>
      </c>
      <c r="AA16" s="20" t="s">
        <v>1862</v>
      </c>
      <c r="AB16" s="31">
        <f>VLOOKUP(AA16,Masters!$K$2:$L$183,2,FALSE)</f>
        <v>1004</v>
      </c>
      <c r="AC16" s="20" t="s">
        <v>2063</v>
      </c>
      <c r="AD16" s="20" t="s">
        <v>2061</v>
      </c>
      <c r="AE16" s="20">
        <v>18</v>
      </c>
      <c r="AF16" s="20">
        <v>12</v>
      </c>
      <c r="AG16" s="20">
        <v>2000</v>
      </c>
      <c r="AH16" s="21">
        <v>36878</v>
      </c>
      <c r="AI16" s="23"/>
    </row>
    <row r="17" spans="1:34" x14ac:dyDescent="0.25">
      <c r="A17" s="35">
        <v>1100</v>
      </c>
      <c r="B17" s="20" t="s">
        <v>1825</v>
      </c>
      <c r="C17" s="20" t="s">
        <v>1825</v>
      </c>
      <c r="D17" s="94" t="s">
        <v>1027</v>
      </c>
      <c r="E17" s="20" t="s">
        <v>2053</v>
      </c>
      <c r="F17" s="20" t="s">
        <v>1844</v>
      </c>
      <c r="G17" s="31" t="s">
        <v>40</v>
      </c>
      <c r="H17" s="32">
        <v>1</v>
      </c>
      <c r="J17" s="32">
        <v>1</v>
      </c>
      <c r="O17" s="20">
        <v>0</v>
      </c>
      <c r="P17" s="20">
        <v>1</v>
      </c>
      <c r="Q17" s="20">
        <v>0</v>
      </c>
      <c r="R17" s="20">
        <v>0</v>
      </c>
      <c r="X17" s="20">
        <v>1</v>
      </c>
      <c r="Z17" s="20" t="s">
        <v>1854</v>
      </c>
      <c r="AA17" s="20" t="s">
        <v>1859</v>
      </c>
      <c r="AB17" s="31">
        <f>VLOOKUP(AA17,Masters!$K$2:$L$183,2,FALSE)</f>
        <v>1001</v>
      </c>
      <c r="AC17" s="20" t="s">
        <v>2063</v>
      </c>
      <c r="AD17" s="20" t="s">
        <v>2061</v>
      </c>
      <c r="AE17" s="20">
        <v>29</v>
      </c>
      <c r="AF17" s="20">
        <v>10</v>
      </c>
      <c r="AG17" s="20">
        <v>2003</v>
      </c>
      <c r="AH17" s="21">
        <v>37923</v>
      </c>
    </row>
    <row r="18" spans="1:34" x14ac:dyDescent="0.25">
      <c r="A18" s="35">
        <v>1101</v>
      </c>
      <c r="B18" s="20" t="s">
        <v>1825</v>
      </c>
      <c r="C18" s="20" t="s">
        <v>1825</v>
      </c>
      <c r="D18" s="94" t="s">
        <v>1028</v>
      </c>
      <c r="E18" s="20" t="s">
        <v>2050</v>
      </c>
      <c r="F18" s="20" t="s">
        <v>1844</v>
      </c>
      <c r="G18" s="31" t="s">
        <v>40</v>
      </c>
      <c r="H18" s="32">
        <v>1</v>
      </c>
      <c r="J18" s="32">
        <v>1</v>
      </c>
      <c r="O18" s="20">
        <v>0</v>
      </c>
      <c r="P18" s="20">
        <v>1</v>
      </c>
      <c r="Q18" s="20">
        <v>0</v>
      </c>
      <c r="R18" s="20">
        <v>0</v>
      </c>
      <c r="X18" s="20">
        <v>1</v>
      </c>
      <c r="Z18" s="20" t="s">
        <v>100</v>
      </c>
      <c r="AA18" s="20" t="s">
        <v>1861</v>
      </c>
      <c r="AB18" s="31">
        <f>VLOOKUP(AA18,Masters!$K$2:$L$183,2,FALSE)</f>
        <v>1003</v>
      </c>
      <c r="AC18" s="20" t="s">
        <v>2063</v>
      </c>
      <c r="AD18" s="20" t="s">
        <v>2061</v>
      </c>
      <c r="AE18" s="20">
        <v>12</v>
      </c>
      <c r="AF18" s="20">
        <v>8</v>
      </c>
      <c r="AG18" s="20">
        <v>2003</v>
      </c>
      <c r="AH18" s="21">
        <v>37845</v>
      </c>
    </row>
    <row r="19" spans="1:34" x14ac:dyDescent="0.25">
      <c r="A19" s="35">
        <v>1124</v>
      </c>
      <c r="B19" s="20" t="s">
        <v>1825</v>
      </c>
      <c r="C19" s="20" t="s">
        <v>1825</v>
      </c>
      <c r="D19" s="94" t="s">
        <v>1051</v>
      </c>
      <c r="E19" s="20" t="s">
        <v>135</v>
      </c>
      <c r="F19" s="20" t="s">
        <v>1844</v>
      </c>
      <c r="G19" s="31" t="s">
        <v>40</v>
      </c>
      <c r="H19" s="32">
        <v>1</v>
      </c>
      <c r="J19" s="32">
        <v>1</v>
      </c>
      <c r="O19" s="20">
        <v>0</v>
      </c>
      <c r="P19" s="20">
        <v>1</v>
      </c>
      <c r="Q19" s="20">
        <v>0</v>
      </c>
      <c r="R19" s="20">
        <v>0</v>
      </c>
      <c r="X19" s="20">
        <v>1</v>
      </c>
      <c r="Z19" s="20" t="s">
        <v>1857</v>
      </c>
      <c r="AA19" s="20" t="s">
        <v>1861</v>
      </c>
      <c r="AB19" s="31">
        <f>VLOOKUP(AA19,Masters!$K$2:$L$183,2,FALSE)</f>
        <v>1003</v>
      </c>
      <c r="AC19" s="20" t="s">
        <v>2063</v>
      </c>
      <c r="AD19" s="20" t="s">
        <v>2060</v>
      </c>
      <c r="AE19" s="20">
        <v>25</v>
      </c>
      <c r="AF19" s="20">
        <v>8</v>
      </c>
      <c r="AG19" s="20">
        <v>2001</v>
      </c>
      <c r="AH19" s="21">
        <v>37128</v>
      </c>
    </row>
    <row r="20" spans="1:34" x14ac:dyDescent="0.25">
      <c r="A20" s="35">
        <v>1126</v>
      </c>
      <c r="B20" s="20" t="s">
        <v>1825</v>
      </c>
      <c r="C20" s="20" t="s">
        <v>1825</v>
      </c>
      <c r="D20" s="94" t="s">
        <v>1053</v>
      </c>
      <c r="E20" s="20" t="s">
        <v>2054</v>
      </c>
      <c r="F20" s="20" t="s">
        <v>1845</v>
      </c>
      <c r="G20" s="31" t="s">
        <v>40</v>
      </c>
      <c r="H20" s="32">
        <v>1</v>
      </c>
      <c r="J20" s="32">
        <v>1</v>
      </c>
      <c r="O20" s="20">
        <v>0</v>
      </c>
      <c r="P20" s="20">
        <v>1</v>
      </c>
      <c r="Q20" s="20">
        <v>0</v>
      </c>
      <c r="R20" s="20">
        <v>0</v>
      </c>
      <c r="X20" s="20">
        <v>1</v>
      </c>
      <c r="Z20" s="20" t="s">
        <v>1848</v>
      </c>
      <c r="AA20" s="20" t="s">
        <v>1859</v>
      </c>
      <c r="AB20" s="31">
        <f>VLOOKUP(AA20,Masters!$K$2:$L$183,2,FALSE)</f>
        <v>1001</v>
      </c>
      <c r="AC20" s="20" t="s">
        <v>2063</v>
      </c>
      <c r="AD20" s="20" t="s">
        <v>2060</v>
      </c>
      <c r="AE20" s="20">
        <v>9</v>
      </c>
      <c r="AF20" s="20">
        <v>5</v>
      </c>
      <c r="AG20" s="20">
        <v>2005</v>
      </c>
      <c r="AH20" s="21">
        <v>38481</v>
      </c>
    </row>
    <row r="21" spans="1:34" x14ac:dyDescent="0.25">
      <c r="A21" s="35">
        <v>1136</v>
      </c>
      <c r="B21" s="20" t="s">
        <v>1825</v>
      </c>
      <c r="C21" s="20" t="s">
        <v>1825</v>
      </c>
      <c r="D21" s="94" t="s">
        <v>1063</v>
      </c>
      <c r="E21" s="20" t="s">
        <v>2056</v>
      </c>
      <c r="F21" s="20" t="s">
        <v>1846</v>
      </c>
      <c r="G21" s="31" t="s">
        <v>40</v>
      </c>
      <c r="H21" s="32">
        <v>1</v>
      </c>
      <c r="J21" s="32">
        <v>1</v>
      </c>
      <c r="O21" s="20">
        <v>0</v>
      </c>
      <c r="P21" s="20">
        <v>1</v>
      </c>
      <c r="Q21" s="20">
        <v>0</v>
      </c>
      <c r="R21" s="20">
        <v>0</v>
      </c>
      <c r="X21" s="20">
        <v>1</v>
      </c>
      <c r="Z21" s="20" t="s">
        <v>1858</v>
      </c>
      <c r="AA21" s="20" t="s">
        <v>1860</v>
      </c>
      <c r="AB21" s="31">
        <f>VLOOKUP(AA21,Masters!$K$2:$L$183,2,FALSE)</f>
        <v>1002</v>
      </c>
      <c r="AC21" s="20" t="s">
        <v>2063</v>
      </c>
      <c r="AD21" s="20" t="s">
        <v>2061</v>
      </c>
      <c r="AE21" s="20">
        <v>11</v>
      </c>
      <c r="AF21" s="20">
        <v>5</v>
      </c>
      <c r="AG21" s="20">
        <v>2000</v>
      </c>
      <c r="AH21" s="21">
        <v>36657</v>
      </c>
    </row>
    <row r="22" spans="1:34" x14ac:dyDescent="0.25">
      <c r="A22" s="35">
        <v>1141</v>
      </c>
      <c r="B22" s="20" t="s">
        <v>1825</v>
      </c>
      <c r="C22" s="20" t="s">
        <v>1825</v>
      </c>
      <c r="D22" s="94" t="s">
        <v>1068</v>
      </c>
      <c r="E22" s="20" t="s">
        <v>2058</v>
      </c>
      <c r="F22" s="20" t="s">
        <v>1846</v>
      </c>
      <c r="G22" s="31" t="s">
        <v>40</v>
      </c>
      <c r="H22" s="32">
        <v>1</v>
      </c>
      <c r="J22" s="32">
        <v>1</v>
      </c>
      <c r="O22" s="20">
        <v>0</v>
      </c>
      <c r="P22" s="20">
        <v>1</v>
      </c>
      <c r="Q22" s="20">
        <v>0</v>
      </c>
      <c r="R22" s="20">
        <v>0</v>
      </c>
      <c r="X22" s="20">
        <v>1</v>
      </c>
      <c r="Z22" s="20" t="s">
        <v>1856</v>
      </c>
      <c r="AA22" s="20" t="s">
        <v>1859</v>
      </c>
      <c r="AB22" s="31">
        <f>VLOOKUP(AA22,Masters!$K$2:$L$183,2,FALSE)</f>
        <v>1001</v>
      </c>
      <c r="AC22" s="20" t="s">
        <v>2063</v>
      </c>
      <c r="AD22" s="20" t="s">
        <v>2060</v>
      </c>
      <c r="AE22" s="20">
        <v>15</v>
      </c>
      <c r="AF22" s="20">
        <v>6</v>
      </c>
      <c r="AG22" s="20">
        <v>2004</v>
      </c>
      <c r="AH22" s="21">
        <v>38153</v>
      </c>
    </row>
    <row r="23" spans="1:34" x14ac:dyDescent="0.25">
      <c r="A23" s="35">
        <v>1153</v>
      </c>
      <c r="B23" s="20" t="s">
        <v>1825</v>
      </c>
      <c r="C23" s="20" t="s">
        <v>1825</v>
      </c>
      <c r="D23" s="94" t="s">
        <v>1080</v>
      </c>
      <c r="E23" s="20" t="s">
        <v>135</v>
      </c>
      <c r="F23" s="20" t="s">
        <v>1847</v>
      </c>
      <c r="G23" s="31" t="s">
        <v>40</v>
      </c>
      <c r="H23" s="32">
        <v>1</v>
      </c>
      <c r="J23" s="32">
        <v>1</v>
      </c>
      <c r="O23" s="20">
        <v>0</v>
      </c>
      <c r="P23" s="20">
        <v>1</v>
      </c>
      <c r="Q23" s="20">
        <v>0</v>
      </c>
      <c r="R23" s="20">
        <v>0</v>
      </c>
      <c r="X23" s="20">
        <v>1</v>
      </c>
      <c r="Z23" s="20" t="s">
        <v>1851</v>
      </c>
      <c r="AA23" s="20" t="s">
        <v>1860</v>
      </c>
      <c r="AB23" s="31">
        <f>VLOOKUP(AA23,Masters!$K$2:$L$183,2,FALSE)</f>
        <v>1002</v>
      </c>
      <c r="AC23" s="20" t="s">
        <v>2063</v>
      </c>
      <c r="AD23" s="20" t="s">
        <v>2060</v>
      </c>
      <c r="AE23" s="20">
        <v>5</v>
      </c>
      <c r="AF23" s="20">
        <v>8</v>
      </c>
      <c r="AG23" s="20">
        <v>2002</v>
      </c>
      <c r="AH23" s="21">
        <v>37473</v>
      </c>
    </row>
    <row r="24" spans="1:34" x14ac:dyDescent="0.25">
      <c r="A24" s="35">
        <v>1158</v>
      </c>
      <c r="B24" s="20" t="s">
        <v>1825</v>
      </c>
      <c r="C24" s="20" t="s">
        <v>1825</v>
      </c>
      <c r="D24" s="94" t="s">
        <v>1085</v>
      </c>
      <c r="E24" s="20" t="s">
        <v>126</v>
      </c>
      <c r="F24" s="20" t="s">
        <v>1844</v>
      </c>
      <c r="G24" s="31" t="s">
        <v>40</v>
      </c>
      <c r="H24" s="32">
        <v>1</v>
      </c>
      <c r="J24" s="32">
        <v>1</v>
      </c>
      <c r="O24" s="20">
        <v>0</v>
      </c>
      <c r="P24" s="20">
        <v>1</v>
      </c>
      <c r="Q24" s="20">
        <v>0</v>
      </c>
      <c r="R24" s="20">
        <v>0</v>
      </c>
      <c r="X24" s="20">
        <v>1</v>
      </c>
      <c r="Z24" s="20" t="s">
        <v>753</v>
      </c>
      <c r="AA24" s="20" t="s">
        <v>1863</v>
      </c>
      <c r="AB24" s="31">
        <f>VLOOKUP(AA24,Masters!$K$2:$L$183,2,FALSE)</f>
        <v>1005</v>
      </c>
      <c r="AC24" s="20" t="s">
        <v>2063</v>
      </c>
      <c r="AD24" s="20" t="s">
        <v>2060</v>
      </c>
      <c r="AE24" s="20">
        <v>11</v>
      </c>
      <c r="AF24" s="20">
        <v>10</v>
      </c>
      <c r="AG24" s="20">
        <v>2004</v>
      </c>
      <c r="AH24" s="21">
        <v>38271</v>
      </c>
    </row>
    <row r="25" spans="1:34" x14ac:dyDescent="0.25">
      <c r="A25" s="35">
        <v>1162</v>
      </c>
      <c r="B25" s="20" t="s">
        <v>1825</v>
      </c>
      <c r="C25" s="20" t="s">
        <v>1825</v>
      </c>
      <c r="D25" s="94" t="s">
        <v>1089</v>
      </c>
      <c r="E25" s="20" t="s">
        <v>126</v>
      </c>
      <c r="F25" s="20" t="s">
        <v>1847</v>
      </c>
      <c r="G25" s="31" t="s">
        <v>40</v>
      </c>
      <c r="H25" s="32">
        <v>1</v>
      </c>
      <c r="J25" s="32">
        <v>1</v>
      </c>
      <c r="O25" s="20">
        <v>0</v>
      </c>
      <c r="P25" s="20">
        <v>1</v>
      </c>
      <c r="Q25" s="20">
        <v>0</v>
      </c>
      <c r="R25" s="20">
        <v>0</v>
      </c>
      <c r="X25" s="20">
        <v>1</v>
      </c>
      <c r="Z25" s="20" t="s">
        <v>1854</v>
      </c>
      <c r="AA25" s="20" t="s">
        <v>1862</v>
      </c>
      <c r="AB25" s="31">
        <f>VLOOKUP(AA25,Masters!$K$2:$L$183,2,FALSE)</f>
        <v>1004</v>
      </c>
      <c r="AC25" s="20" t="s">
        <v>2064</v>
      </c>
      <c r="AD25" s="20" t="s">
        <v>2061</v>
      </c>
      <c r="AE25" s="20">
        <v>1</v>
      </c>
      <c r="AF25" s="20">
        <v>10</v>
      </c>
      <c r="AG25" s="20">
        <v>2000</v>
      </c>
      <c r="AH25" s="21">
        <v>36800</v>
      </c>
    </row>
    <row r="26" spans="1:34" x14ac:dyDescent="0.25">
      <c r="A26" s="35">
        <v>1173</v>
      </c>
      <c r="B26" s="20" t="s">
        <v>1825</v>
      </c>
      <c r="C26" s="20" t="s">
        <v>1825</v>
      </c>
      <c r="D26" s="94" t="s">
        <v>1100</v>
      </c>
      <c r="E26" s="20" t="s">
        <v>2053</v>
      </c>
      <c r="F26" s="20" t="s">
        <v>1845</v>
      </c>
      <c r="G26" s="31" t="s">
        <v>40</v>
      </c>
      <c r="H26" s="32">
        <v>1</v>
      </c>
      <c r="J26" s="32">
        <v>1</v>
      </c>
      <c r="O26" s="20">
        <v>0</v>
      </c>
      <c r="P26" s="20">
        <v>1</v>
      </c>
      <c r="Q26" s="20">
        <v>0</v>
      </c>
      <c r="R26" s="20">
        <v>0</v>
      </c>
      <c r="X26" s="20">
        <v>1</v>
      </c>
      <c r="Z26" s="20" t="s">
        <v>78</v>
      </c>
      <c r="AA26" s="20" t="s">
        <v>1861</v>
      </c>
      <c r="AB26" s="31">
        <f>VLOOKUP(AA26,Masters!$K$2:$L$183,2,FALSE)</f>
        <v>1003</v>
      </c>
      <c r="AC26" s="20" t="s">
        <v>2063</v>
      </c>
      <c r="AD26" s="20" t="s">
        <v>2061</v>
      </c>
      <c r="AE26" s="20">
        <v>8</v>
      </c>
      <c r="AF26" s="20">
        <v>10</v>
      </c>
      <c r="AG26" s="20">
        <v>2000</v>
      </c>
      <c r="AH26" s="21">
        <v>36807</v>
      </c>
    </row>
    <row r="27" spans="1:34" x14ac:dyDescent="0.25">
      <c r="A27" s="35">
        <v>1183</v>
      </c>
      <c r="B27" s="20" t="s">
        <v>1825</v>
      </c>
      <c r="C27" s="20" t="s">
        <v>1825</v>
      </c>
      <c r="D27" s="94" t="s">
        <v>1110</v>
      </c>
      <c r="E27" s="20" t="s">
        <v>135</v>
      </c>
      <c r="F27" s="20" t="s">
        <v>1846</v>
      </c>
      <c r="G27" s="31" t="s">
        <v>40</v>
      </c>
      <c r="H27" s="32">
        <v>1</v>
      </c>
      <c r="J27" s="32">
        <v>1</v>
      </c>
      <c r="O27" s="20">
        <v>0</v>
      </c>
      <c r="P27" s="20">
        <v>1</v>
      </c>
      <c r="Q27" s="20">
        <v>0</v>
      </c>
      <c r="R27" s="20">
        <v>0</v>
      </c>
      <c r="X27" s="20">
        <v>1</v>
      </c>
      <c r="Z27" s="20" t="s">
        <v>100</v>
      </c>
      <c r="AA27" s="20" t="s">
        <v>1860</v>
      </c>
      <c r="AB27" s="31">
        <f>VLOOKUP(AA27,Masters!$K$2:$L$183,2,FALSE)</f>
        <v>1002</v>
      </c>
      <c r="AC27" s="20" t="s">
        <v>2063</v>
      </c>
      <c r="AD27" s="20" t="s">
        <v>2061</v>
      </c>
      <c r="AE27" s="20">
        <v>28</v>
      </c>
      <c r="AF27" s="20">
        <v>9</v>
      </c>
      <c r="AG27" s="20">
        <v>2005</v>
      </c>
      <c r="AH27" s="21">
        <v>38623</v>
      </c>
    </row>
    <row r="28" spans="1:34" x14ac:dyDescent="0.25">
      <c r="A28" s="35">
        <v>1185</v>
      </c>
      <c r="B28" s="20" t="s">
        <v>1825</v>
      </c>
      <c r="C28" s="20" t="s">
        <v>1825</v>
      </c>
      <c r="D28" s="94" t="s">
        <v>1112</v>
      </c>
      <c r="E28" s="20" t="s">
        <v>126</v>
      </c>
      <c r="F28" s="20" t="s">
        <v>1847</v>
      </c>
      <c r="G28" s="31" t="s">
        <v>40</v>
      </c>
      <c r="H28" s="32">
        <v>1</v>
      </c>
      <c r="J28" s="32">
        <v>1</v>
      </c>
      <c r="O28" s="20">
        <v>0</v>
      </c>
      <c r="P28" s="20">
        <v>1</v>
      </c>
      <c r="Q28" s="20">
        <v>0</v>
      </c>
      <c r="R28" s="20">
        <v>0</v>
      </c>
      <c r="X28" s="20">
        <v>1</v>
      </c>
      <c r="Z28" s="20" t="s">
        <v>1835</v>
      </c>
      <c r="AA28" s="20" t="s">
        <v>1859</v>
      </c>
      <c r="AB28" s="31">
        <f>VLOOKUP(AA28,Masters!$K$2:$L$183,2,FALSE)</f>
        <v>1001</v>
      </c>
      <c r="AC28" s="20" t="s">
        <v>2063</v>
      </c>
      <c r="AD28" s="20" t="s">
        <v>2060</v>
      </c>
      <c r="AE28" s="20">
        <v>15</v>
      </c>
      <c r="AF28" s="20">
        <v>3</v>
      </c>
      <c r="AG28" s="20">
        <v>2001</v>
      </c>
      <c r="AH28" s="21">
        <v>36965</v>
      </c>
    </row>
    <row r="29" spans="1:34" x14ac:dyDescent="0.25">
      <c r="A29" s="35">
        <v>1189</v>
      </c>
      <c r="B29" s="20" t="s">
        <v>1825</v>
      </c>
      <c r="C29" s="20" t="s">
        <v>1825</v>
      </c>
      <c r="D29" s="94" t="s">
        <v>1116</v>
      </c>
      <c r="E29" s="20" t="s">
        <v>2056</v>
      </c>
      <c r="F29" s="20" t="s">
        <v>1845</v>
      </c>
      <c r="G29" s="31" t="s">
        <v>40</v>
      </c>
      <c r="H29" s="32">
        <v>1</v>
      </c>
      <c r="J29" s="32">
        <v>1</v>
      </c>
      <c r="O29" s="20">
        <v>0</v>
      </c>
      <c r="P29" s="20">
        <v>1</v>
      </c>
      <c r="Q29" s="20">
        <v>0</v>
      </c>
      <c r="R29" s="20">
        <v>0</v>
      </c>
      <c r="X29" s="20">
        <v>1</v>
      </c>
      <c r="Z29" s="20" t="s">
        <v>34</v>
      </c>
      <c r="AA29" s="20" t="s">
        <v>1862</v>
      </c>
      <c r="AB29" s="31">
        <f>VLOOKUP(AA29,Masters!$K$2:$L$183,2,FALSE)</f>
        <v>1004</v>
      </c>
      <c r="AC29" s="20" t="s">
        <v>2063</v>
      </c>
      <c r="AD29" s="20" t="s">
        <v>2060</v>
      </c>
      <c r="AE29" s="20">
        <v>26</v>
      </c>
      <c r="AF29" s="20">
        <v>2</v>
      </c>
      <c r="AG29" s="20">
        <v>2005</v>
      </c>
      <c r="AH29" s="21">
        <v>38409</v>
      </c>
    </row>
    <row r="30" spans="1:34" x14ac:dyDescent="0.25">
      <c r="A30" s="35">
        <v>1190</v>
      </c>
      <c r="B30" s="20" t="s">
        <v>1825</v>
      </c>
      <c r="C30" s="20" t="s">
        <v>1825</v>
      </c>
      <c r="D30" s="94" t="s">
        <v>1117</v>
      </c>
      <c r="E30" s="20" t="s">
        <v>2056</v>
      </c>
      <c r="F30" s="20" t="s">
        <v>1845</v>
      </c>
      <c r="G30" s="31" t="s">
        <v>40</v>
      </c>
      <c r="H30" s="32">
        <v>1</v>
      </c>
      <c r="J30" s="32">
        <v>1</v>
      </c>
      <c r="O30" s="20">
        <v>0</v>
      </c>
      <c r="P30" s="20">
        <v>1</v>
      </c>
      <c r="Q30" s="20">
        <v>0</v>
      </c>
      <c r="R30" s="20">
        <v>0</v>
      </c>
      <c r="X30" s="20">
        <v>1</v>
      </c>
      <c r="Z30" s="20" t="s">
        <v>1852</v>
      </c>
      <c r="AA30" s="20" t="s">
        <v>1862</v>
      </c>
      <c r="AB30" s="31">
        <f>VLOOKUP(AA30,Masters!$K$2:$L$183,2,FALSE)</f>
        <v>1004</v>
      </c>
      <c r="AC30" s="20" t="s">
        <v>2063</v>
      </c>
      <c r="AD30" s="20" t="s">
        <v>2060</v>
      </c>
      <c r="AE30" s="20">
        <v>9</v>
      </c>
      <c r="AF30" s="20">
        <v>2</v>
      </c>
      <c r="AG30" s="20">
        <v>2000</v>
      </c>
      <c r="AH30" s="21">
        <v>36565</v>
      </c>
    </row>
    <row r="31" spans="1:34" x14ac:dyDescent="0.25">
      <c r="A31" s="35">
        <v>1197</v>
      </c>
      <c r="B31" s="20" t="s">
        <v>1825</v>
      </c>
      <c r="C31" s="20" t="s">
        <v>1825</v>
      </c>
      <c r="D31" s="94" t="s">
        <v>1124</v>
      </c>
      <c r="E31" s="20" t="s">
        <v>2052</v>
      </c>
      <c r="F31" s="20" t="s">
        <v>1846</v>
      </c>
      <c r="G31" s="31" t="s">
        <v>40</v>
      </c>
      <c r="H31" s="32">
        <v>1</v>
      </c>
      <c r="J31" s="32">
        <v>1</v>
      </c>
      <c r="O31" s="20">
        <v>0</v>
      </c>
      <c r="P31" s="20">
        <v>1</v>
      </c>
      <c r="Q31" s="20">
        <v>0</v>
      </c>
      <c r="R31" s="20">
        <v>0</v>
      </c>
      <c r="X31" s="20">
        <v>1</v>
      </c>
      <c r="Z31" s="20" t="s">
        <v>1835</v>
      </c>
      <c r="AA31" s="20" t="s">
        <v>1859</v>
      </c>
      <c r="AB31" s="31">
        <f>VLOOKUP(AA31,Masters!$K$2:$L$183,2,FALSE)</f>
        <v>1001</v>
      </c>
      <c r="AC31" s="20" t="s">
        <v>2063</v>
      </c>
      <c r="AD31" s="20" t="s">
        <v>2060</v>
      </c>
      <c r="AE31" s="20">
        <v>7</v>
      </c>
      <c r="AF31" s="20">
        <v>9</v>
      </c>
      <c r="AG31" s="20">
        <v>2001</v>
      </c>
      <c r="AH31" s="21">
        <v>37141</v>
      </c>
    </row>
    <row r="32" spans="1:34" x14ac:dyDescent="0.25">
      <c r="A32" s="35">
        <v>1199</v>
      </c>
      <c r="B32" s="20" t="s">
        <v>1825</v>
      </c>
      <c r="C32" s="20" t="s">
        <v>1825</v>
      </c>
      <c r="D32" s="94" t="s">
        <v>1126</v>
      </c>
      <c r="E32" s="20" t="s">
        <v>2056</v>
      </c>
      <c r="F32" s="20" t="s">
        <v>1844</v>
      </c>
      <c r="G32" s="31" t="s">
        <v>40</v>
      </c>
      <c r="H32" s="32">
        <v>1</v>
      </c>
      <c r="J32" s="32">
        <v>1</v>
      </c>
      <c r="O32" s="20">
        <v>0</v>
      </c>
      <c r="P32" s="20">
        <v>1</v>
      </c>
      <c r="Q32" s="20">
        <v>0</v>
      </c>
      <c r="R32" s="20">
        <v>0</v>
      </c>
      <c r="X32" s="20">
        <v>1</v>
      </c>
      <c r="Z32" s="20" t="s">
        <v>1856</v>
      </c>
      <c r="AA32" s="20" t="s">
        <v>1862</v>
      </c>
      <c r="AB32" s="31">
        <f>VLOOKUP(AA32,Masters!$K$2:$L$183,2,FALSE)</f>
        <v>1004</v>
      </c>
      <c r="AC32" s="20" t="s">
        <v>2063</v>
      </c>
      <c r="AD32" s="20" t="s">
        <v>2061</v>
      </c>
      <c r="AE32" s="20">
        <v>14</v>
      </c>
      <c r="AF32" s="20">
        <v>9</v>
      </c>
      <c r="AG32" s="20">
        <v>2002</v>
      </c>
      <c r="AH32" s="21">
        <v>37513</v>
      </c>
    </row>
    <row r="33" spans="1:34" x14ac:dyDescent="0.25">
      <c r="A33" s="35">
        <v>1202</v>
      </c>
      <c r="B33" s="20" t="s">
        <v>1825</v>
      </c>
      <c r="C33" s="20" t="s">
        <v>1825</v>
      </c>
      <c r="D33" s="94" t="s">
        <v>1129</v>
      </c>
      <c r="E33" s="20" t="s">
        <v>2050</v>
      </c>
      <c r="F33" s="20" t="s">
        <v>1844</v>
      </c>
      <c r="G33" s="31" t="s">
        <v>40</v>
      </c>
      <c r="H33" s="32">
        <v>1</v>
      </c>
      <c r="J33" s="32">
        <v>1</v>
      </c>
      <c r="O33" s="20">
        <v>0</v>
      </c>
      <c r="P33" s="20">
        <v>1</v>
      </c>
      <c r="Q33" s="20">
        <v>0</v>
      </c>
      <c r="R33" s="20">
        <v>0</v>
      </c>
      <c r="X33" s="20">
        <v>1</v>
      </c>
      <c r="Z33" s="20" t="s">
        <v>1835</v>
      </c>
      <c r="AA33" s="20" t="s">
        <v>1861</v>
      </c>
      <c r="AB33" s="31">
        <f>VLOOKUP(AA33,Masters!$K$2:$L$183,2,FALSE)</f>
        <v>1003</v>
      </c>
      <c r="AC33" s="20" t="s">
        <v>2063</v>
      </c>
      <c r="AD33" s="20" t="s">
        <v>2060</v>
      </c>
      <c r="AE33" s="20">
        <v>26</v>
      </c>
      <c r="AF33" s="20">
        <v>1</v>
      </c>
      <c r="AG33" s="20">
        <v>2003</v>
      </c>
      <c r="AH33" s="21">
        <v>37647</v>
      </c>
    </row>
    <row r="34" spans="1:34" x14ac:dyDescent="0.25">
      <c r="A34" s="35">
        <v>1216</v>
      </c>
      <c r="B34" s="20" t="s">
        <v>1825</v>
      </c>
      <c r="C34" s="20" t="s">
        <v>1825</v>
      </c>
      <c r="D34" s="94" t="s">
        <v>1143</v>
      </c>
      <c r="E34" s="20" t="s">
        <v>2058</v>
      </c>
      <c r="F34" s="20" t="s">
        <v>1846</v>
      </c>
      <c r="G34" s="31" t="s">
        <v>40</v>
      </c>
      <c r="H34" s="32">
        <v>1</v>
      </c>
      <c r="J34" s="32">
        <v>1</v>
      </c>
      <c r="O34" s="20">
        <v>0</v>
      </c>
      <c r="P34" s="20">
        <v>1</v>
      </c>
      <c r="Q34" s="20">
        <v>0</v>
      </c>
      <c r="R34" s="20">
        <v>0</v>
      </c>
      <c r="X34" s="20">
        <v>1</v>
      </c>
      <c r="Z34" s="20" t="s">
        <v>1855</v>
      </c>
      <c r="AA34" s="20" t="s">
        <v>1863</v>
      </c>
      <c r="AB34" s="31">
        <f>VLOOKUP(AA34,Masters!$K$2:$L$183,2,FALSE)</f>
        <v>1005</v>
      </c>
      <c r="AC34" s="20" t="s">
        <v>2063</v>
      </c>
      <c r="AD34" s="20" t="s">
        <v>2061</v>
      </c>
      <c r="AE34" s="20">
        <v>21</v>
      </c>
      <c r="AF34" s="20">
        <v>9</v>
      </c>
      <c r="AG34" s="20">
        <v>2002</v>
      </c>
      <c r="AH34" s="21">
        <v>37520</v>
      </c>
    </row>
    <row r="35" spans="1:34" x14ac:dyDescent="0.25">
      <c r="A35" s="35">
        <v>1241</v>
      </c>
      <c r="B35" s="20" t="s">
        <v>1825</v>
      </c>
      <c r="C35" s="20" t="s">
        <v>1825</v>
      </c>
      <c r="D35" s="94" t="s">
        <v>1168</v>
      </c>
      <c r="E35" s="20" t="s">
        <v>2059</v>
      </c>
      <c r="F35" s="20" t="s">
        <v>1846</v>
      </c>
      <c r="G35" s="31" t="s">
        <v>40</v>
      </c>
      <c r="H35" s="32">
        <v>1</v>
      </c>
      <c r="J35" s="32">
        <v>1</v>
      </c>
      <c r="O35" s="20">
        <v>0</v>
      </c>
      <c r="P35" s="20">
        <v>1</v>
      </c>
      <c r="Q35" s="20">
        <v>0</v>
      </c>
      <c r="R35" s="20">
        <v>0</v>
      </c>
      <c r="X35" s="20">
        <v>1</v>
      </c>
      <c r="Z35" s="20" t="s">
        <v>100</v>
      </c>
      <c r="AA35" s="20" t="s">
        <v>1861</v>
      </c>
      <c r="AB35" s="31">
        <f>VLOOKUP(AA35,Masters!$K$2:$L$183,2,FALSE)</f>
        <v>1003</v>
      </c>
      <c r="AC35" s="20" t="s">
        <v>2063</v>
      </c>
      <c r="AD35" s="20" t="s">
        <v>2060</v>
      </c>
      <c r="AE35" s="20">
        <v>29</v>
      </c>
      <c r="AF35" s="20">
        <v>4</v>
      </c>
      <c r="AG35" s="20">
        <v>2001</v>
      </c>
      <c r="AH35" s="21">
        <v>37010</v>
      </c>
    </row>
    <row r="36" spans="1:34" x14ac:dyDescent="0.25">
      <c r="A36" s="35">
        <v>1245</v>
      </c>
      <c r="B36" s="20" t="s">
        <v>1825</v>
      </c>
      <c r="C36" s="20" t="s">
        <v>1825</v>
      </c>
      <c r="D36" s="94" t="s">
        <v>1172</v>
      </c>
      <c r="E36" s="20" t="s">
        <v>135</v>
      </c>
      <c r="F36" s="20" t="s">
        <v>1845</v>
      </c>
      <c r="G36" s="31" t="s">
        <v>40</v>
      </c>
      <c r="H36" s="32">
        <v>1</v>
      </c>
      <c r="J36" s="32">
        <v>1</v>
      </c>
      <c r="O36" s="20">
        <v>0</v>
      </c>
      <c r="P36" s="20">
        <v>1</v>
      </c>
      <c r="Q36" s="20">
        <v>0</v>
      </c>
      <c r="R36" s="20">
        <v>0</v>
      </c>
      <c r="X36" s="20">
        <v>1</v>
      </c>
      <c r="Z36" s="20" t="s">
        <v>100</v>
      </c>
      <c r="AA36" s="20" t="s">
        <v>1859</v>
      </c>
      <c r="AB36" s="31">
        <f>VLOOKUP(AA36,Masters!$K$2:$L$183,2,FALSE)</f>
        <v>1001</v>
      </c>
      <c r="AC36" s="20" t="s">
        <v>2063</v>
      </c>
      <c r="AD36" s="20" t="s">
        <v>2061</v>
      </c>
      <c r="AE36" s="20">
        <v>5</v>
      </c>
      <c r="AF36" s="20">
        <v>10</v>
      </c>
      <c r="AG36" s="20">
        <v>2000</v>
      </c>
      <c r="AH36" s="21">
        <v>36804</v>
      </c>
    </row>
    <row r="37" spans="1:34" x14ac:dyDescent="0.25">
      <c r="A37" s="35">
        <v>1274</v>
      </c>
      <c r="B37" s="20" t="s">
        <v>1825</v>
      </c>
      <c r="C37" s="20" t="s">
        <v>1825</v>
      </c>
      <c r="D37" s="94" t="s">
        <v>1201</v>
      </c>
      <c r="E37" s="20" t="s">
        <v>2054</v>
      </c>
      <c r="F37" s="20" t="s">
        <v>1844</v>
      </c>
      <c r="G37" s="31" t="s">
        <v>40</v>
      </c>
      <c r="H37" s="32">
        <v>1</v>
      </c>
      <c r="J37" s="32">
        <v>1</v>
      </c>
      <c r="O37" s="20">
        <v>0</v>
      </c>
      <c r="P37" s="20">
        <v>1</v>
      </c>
      <c r="Q37" s="20">
        <v>0</v>
      </c>
      <c r="R37" s="20">
        <v>0</v>
      </c>
      <c r="X37" s="20">
        <v>1</v>
      </c>
      <c r="Z37" s="20" t="s">
        <v>1832</v>
      </c>
      <c r="AA37" s="20" t="s">
        <v>1863</v>
      </c>
      <c r="AB37" s="31">
        <f>VLOOKUP(AA37,Masters!$K$2:$L$183,2,FALSE)</f>
        <v>1005</v>
      </c>
      <c r="AC37" s="20" t="s">
        <v>2063</v>
      </c>
      <c r="AD37" s="20" t="s">
        <v>2060</v>
      </c>
      <c r="AE37" s="20">
        <v>4</v>
      </c>
      <c r="AF37" s="20">
        <v>1</v>
      </c>
      <c r="AG37" s="20">
        <v>2003</v>
      </c>
      <c r="AH37" s="21">
        <v>37625</v>
      </c>
    </row>
    <row r="38" spans="1:34" x14ac:dyDescent="0.25">
      <c r="A38" s="35">
        <v>1288</v>
      </c>
      <c r="B38" s="20" t="s">
        <v>1825</v>
      </c>
      <c r="C38" s="20" t="s">
        <v>1825</v>
      </c>
      <c r="D38" s="94" t="s">
        <v>1215</v>
      </c>
      <c r="E38" s="20" t="s">
        <v>2051</v>
      </c>
      <c r="F38" s="20" t="s">
        <v>1845</v>
      </c>
      <c r="G38" s="31" t="s">
        <v>40</v>
      </c>
      <c r="H38" s="32">
        <v>1</v>
      </c>
      <c r="J38" s="32">
        <v>1</v>
      </c>
      <c r="O38" s="20">
        <v>0</v>
      </c>
      <c r="P38" s="20">
        <v>1</v>
      </c>
      <c r="Q38" s="20">
        <v>0</v>
      </c>
      <c r="R38" s="20">
        <v>0</v>
      </c>
      <c r="X38" s="20">
        <v>1</v>
      </c>
      <c r="Z38" s="20" t="s">
        <v>58</v>
      </c>
      <c r="AA38" s="20" t="s">
        <v>1863</v>
      </c>
      <c r="AB38" s="31">
        <f>VLOOKUP(AA38,Masters!$K$2:$L$183,2,FALSE)</f>
        <v>1005</v>
      </c>
      <c r="AC38" s="20" t="s">
        <v>2063</v>
      </c>
      <c r="AD38" s="20" t="s">
        <v>2060</v>
      </c>
      <c r="AE38" s="20">
        <v>29</v>
      </c>
      <c r="AF38" s="20">
        <v>11</v>
      </c>
      <c r="AG38" s="20">
        <v>2005</v>
      </c>
      <c r="AH38" s="21">
        <v>38685</v>
      </c>
    </row>
    <row r="39" spans="1:34" x14ac:dyDescent="0.25">
      <c r="A39" s="35">
        <v>1294</v>
      </c>
      <c r="B39" s="20" t="s">
        <v>1825</v>
      </c>
      <c r="C39" s="20" t="s">
        <v>1825</v>
      </c>
      <c r="D39" s="94" t="s">
        <v>1221</v>
      </c>
      <c r="E39" s="20" t="s">
        <v>2052</v>
      </c>
      <c r="F39" s="20" t="s">
        <v>1846</v>
      </c>
      <c r="G39" s="31" t="s">
        <v>40</v>
      </c>
      <c r="H39" s="32">
        <v>1</v>
      </c>
      <c r="J39" s="32">
        <v>1</v>
      </c>
      <c r="O39" s="20">
        <v>0</v>
      </c>
      <c r="P39" s="20">
        <v>1</v>
      </c>
      <c r="Q39" s="20">
        <v>0</v>
      </c>
      <c r="R39" s="20">
        <v>0</v>
      </c>
      <c r="X39" s="20">
        <v>1</v>
      </c>
      <c r="Z39" s="20" t="s">
        <v>1857</v>
      </c>
      <c r="AA39" s="20" t="s">
        <v>1861</v>
      </c>
      <c r="AB39" s="31">
        <f>VLOOKUP(AA39,Masters!$K$2:$L$183,2,FALSE)</f>
        <v>1003</v>
      </c>
      <c r="AC39" s="20" t="s">
        <v>2064</v>
      </c>
      <c r="AD39" s="20" t="s">
        <v>2061</v>
      </c>
      <c r="AE39" s="20">
        <v>20</v>
      </c>
      <c r="AF39" s="20">
        <v>2</v>
      </c>
      <c r="AG39" s="20">
        <v>2003</v>
      </c>
      <c r="AH39" s="21">
        <v>37672</v>
      </c>
    </row>
    <row r="40" spans="1:34" x14ac:dyDescent="0.25">
      <c r="A40" s="35">
        <v>1296</v>
      </c>
      <c r="B40" s="20" t="s">
        <v>1825</v>
      </c>
      <c r="C40" s="20" t="s">
        <v>1825</v>
      </c>
      <c r="D40" s="94" t="s">
        <v>1223</v>
      </c>
      <c r="E40" s="20" t="s">
        <v>2051</v>
      </c>
      <c r="F40" s="20" t="s">
        <v>1846</v>
      </c>
      <c r="G40" s="31" t="s">
        <v>40</v>
      </c>
      <c r="H40" s="32">
        <v>1</v>
      </c>
      <c r="J40" s="32">
        <v>1</v>
      </c>
      <c r="O40" s="20">
        <v>0</v>
      </c>
      <c r="P40" s="20">
        <v>1</v>
      </c>
      <c r="Q40" s="20">
        <v>0</v>
      </c>
      <c r="R40" s="20">
        <v>0</v>
      </c>
      <c r="X40" s="20">
        <v>1</v>
      </c>
      <c r="Z40" s="20" t="s">
        <v>1850</v>
      </c>
      <c r="AA40" s="20" t="s">
        <v>1863</v>
      </c>
      <c r="AB40" s="31">
        <f>VLOOKUP(AA40,Masters!$K$2:$L$183,2,FALSE)</f>
        <v>1005</v>
      </c>
      <c r="AC40" s="20" t="s">
        <v>2063</v>
      </c>
      <c r="AD40" s="20" t="s">
        <v>2060</v>
      </c>
      <c r="AE40" s="20">
        <v>19</v>
      </c>
      <c r="AF40" s="20">
        <v>7</v>
      </c>
      <c r="AG40" s="20">
        <v>2000</v>
      </c>
      <c r="AH40" s="21">
        <v>36726</v>
      </c>
    </row>
    <row r="41" spans="1:34" x14ac:dyDescent="0.25">
      <c r="A41" s="35">
        <v>1299</v>
      </c>
      <c r="B41" s="20" t="s">
        <v>1825</v>
      </c>
      <c r="C41" s="20" t="s">
        <v>1825</v>
      </c>
      <c r="D41" s="94" t="s">
        <v>1226</v>
      </c>
      <c r="E41" s="20" t="s">
        <v>2052</v>
      </c>
      <c r="F41" s="20" t="s">
        <v>1844</v>
      </c>
      <c r="G41" s="31" t="s">
        <v>40</v>
      </c>
      <c r="H41" s="32">
        <v>1</v>
      </c>
      <c r="J41" s="32">
        <v>1</v>
      </c>
      <c r="O41" s="20">
        <v>0</v>
      </c>
      <c r="P41" s="20">
        <v>1</v>
      </c>
      <c r="Q41" s="20">
        <v>0</v>
      </c>
      <c r="R41" s="20">
        <v>0</v>
      </c>
      <c r="X41" s="20">
        <v>1</v>
      </c>
      <c r="Z41" s="20" t="s">
        <v>1848</v>
      </c>
      <c r="AA41" s="20" t="s">
        <v>1861</v>
      </c>
      <c r="AB41" s="31">
        <f>VLOOKUP(AA41,Masters!$K$2:$L$183,2,FALSE)</f>
        <v>1003</v>
      </c>
      <c r="AC41" s="20" t="s">
        <v>2063</v>
      </c>
      <c r="AD41" s="20" t="s">
        <v>2060</v>
      </c>
      <c r="AE41" s="20">
        <v>4</v>
      </c>
      <c r="AF41" s="20">
        <v>3</v>
      </c>
      <c r="AG41" s="20">
        <v>2002</v>
      </c>
      <c r="AH41" s="21">
        <v>37319</v>
      </c>
    </row>
    <row r="42" spans="1:34" x14ac:dyDescent="0.25">
      <c r="A42" s="35">
        <v>1311</v>
      </c>
      <c r="B42" s="20" t="s">
        <v>1825</v>
      </c>
      <c r="C42" s="20" t="s">
        <v>1825</v>
      </c>
      <c r="D42" s="94" t="s">
        <v>1238</v>
      </c>
      <c r="E42" s="20" t="s">
        <v>2051</v>
      </c>
      <c r="F42" s="20" t="s">
        <v>1847</v>
      </c>
      <c r="G42" s="31" t="s">
        <v>40</v>
      </c>
      <c r="H42" s="32">
        <v>1</v>
      </c>
      <c r="J42" s="32">
        <v>1</v>
      </c>
      <c r="O42" s="20">
        <v>0</v>
      </c>
      <c r="P42" s="20">
        <v>1</v>
      </c>
      <c r="Q42" s="20">
        <v>0</v>
      </c>
      <c r="R42" s="20">
        <v>0</v>
      </c>
      <c r="X42" s="20">
        <v>1</v>
      </c>
      <c r="Z42" s="20" t="s">
        <v>34</v>
      </c>
      <c r="AA42" s="20" t="s">
        <v>1862</v>
      </c>
      <c r="AB42" s="31">
        <f>VLOOKUP(AA42,Masters!$K$2:$L$183,2,FALSE)</f>
        <v>1004</v>
      </c>
      <c r="AC42" s="20" t="s">
        <v>2063</v>
      </c>
      <c r="AD42" s="20" t="s">
        <v>2060</v>
      </c>
      <c r="AE42" s="20">
        <v>5</v>
      </c>
      <c r="AF42" s="20">
        <v>10</v>
      </c>
      <c r="AG42" s="20">
        <v>2005</v>
      </c>
      <c r="AH42" s="21">
        <v>38630</v>
      </c>
    </row>
    <row r="43" spans="1:34" x14ac:dyDescent="0.25">
      <c r="A43" s="35">
        <v>1313</v>
      </c>
      <c r="B43" s="20" t="s">
        <v>1825</v>
      </c>
      <c r="C43" s="20" t="s">
        <v>1825</v>
      </c>
      <c r="D43" s="94" t="s">
        <v>1240</v>
      </c>
      <c r="E43" s="20" t="s">
        <v>2057</v>
      </c>
      <c r="F43" s="20" t="s">
        <v>1843</v>
      </c>
      <c r="G43" s="31" t="s">
        <v>40</v>
      </c>
      <c r="H43" s="32">
        <v>1</v>
      </c>
      <c r="J43" s="32">
        <v>1</v>
      </c>
      <c r="O43" s="20">
        <v>0</v>
      </c>
      <c r="P43" s="20">
        <v>1</v>
      </c>
      <c r="Q43" s="20">
        <v>0</v>
      </c>
      <c r="R43" s="20">
        <v>0</v>
      </c>
      <c r="X43" s="20">
        <v>1</v>
      </c>
      <c r="Z43" s="20" t="s">
        <v>1851</v>
      </c>
      <c r="AA43" s="20" t="s">
        <v>1859</v>
      </c>
      <c r="AB43" s="31">
        <f>VLOOKUP(AA43,Masters!$K$2:$L$183,2,FALSE)</f>
        <v>1001</v>
      </c>
      <c r="AC43" s="20" t="s">
        <v>2063</v>
      </c>
      <c r="AD43" s="20" t="s">
        <v>2060</v>
      </c>
      <c r="AE43" s="20">
        <v>9</v>
      </c>
      <c r="AF43" s="20">
        <v>7</v>
      </c>
      <c r="AG43" s="20">
        <v>2005</v>
      </c>
      <c r="AH43" s="21">
        <v>38542</v>
      </c>
    </row>
    <row r="44" spans="1:34" x14ac:dyDescent="0.25">
      <c r="A44" s="35">
        <v>1314</v>
      </c>
      <c r="B44" s="20" t="s">
        <v>1825</v>
      </c>
      <c r="C44" s="20" t="s">
        <v>1825</v>
      </c>
      <c r="D44" s="94" t="s">
        <v>1241</v>
      </c>
      <c r="E44" s="20" t="s">
        <v>2057</v>
      </c>
      <c r="F44" s="20" t="s">
        <v>1844</v>
      </c>
      <c r="G44" s="31" t="s">
        <v>40</v>
      </c>
      <c r="H44" s="32">
        <v>1</v>
      </c>
      <c r="J44" s="32">
        <v>1</v>
      </c>
      <c r="O44" s="20">
        <v>0</v>
      </c>
      <c r="P44" s="20">
        <v>1</v>
      </c>
      <c r="Q44" s="20">
        <v>0</v>
      </c>
      <c r="R44" s="20">
        <v>0</v>
      </c>
      <c r="X44" s="20">
        <v>1</v>
      </c>
      <c r="Z44" s="20" t="s">
        <v>1835</v>
      </c>
      <c r="AA44" s="20" t="s">
        <v>1863</v>
      </c>
      <c r="AB44" s="31">
        <f>VLOOKUP(AA44,Masters!$K$2:$L$183,2,FALSE)</f>
        <v>1005</v>
      </c>
      <c r="AC44" s="20" t="s">
        <v>2063</v>
      </c>
      <c r="AD44" s="20" t="s">
        <v>2061</v>
      </c>
      <c r="AE44" s="20">
        <v>3</v>
      </c>
      <c r="AF44" s="20">
        <v>12</v>
      </c>
      <c r="AG44" s="20">
        <v>2003</v>
      </c>
      <c r="AH44" s="21">
        <v>37958</v>
      </c>
    </row>
    <row r="45" spans="1:34" x14ac:dyDescent="0.25">
      <c r="A45" s="35">
        <v>1325</v>
      </c>
      <c r="B45" s="20" t="s">
        <v>1825</v>
      </c>
      <c r="C45" s="20" t="s">
        <v>1825</v>
      </c>
      <c r="D45" s="94" t="s">
        <v>1252</v>
      </c>
      <c r="E45" s="20" t="s">
        <v>2051</v>
      </c>
      <c r="F45" s="20" t="s">
        <v>1847</v>
      </c>
      <c r="G45" s="31" t="s">
        <v>40</v>
      </c>
      <c r="H45" s="32">
        <v>1</v>
      </c>
      <c r="J45" s="32">
        <v>1</v>
      </c>
      <c r="O45" s="20">
        <v>0</v>
      </c>
      <c r="P45" s="20">
        <v>1</v>
      </c>
      <c r="Q45" s="20">
        <v>0</v>
      </c>
      <c r="R45" s="20">
        <v>0</v>
      </c>
      <c r="X45" s="20">
        <v>1</v>
      </c>
      <c r="Z45" s="20" t="s">
        <v>201</v>
      </c>
      <c r="AA45" s="20" t="s">
        <v>1860</v>
      </c>
      <c r="AB45" s="31">
        <f>VLOOKUP(AA45,Masters!$K$2:$L$183,2,FALSE)</f>
        <v>1002</v>
      </c>
      <c r="AC45" s="20" t="s">
        <v>2063</v>
      </c>
      <c r="AD45" s="20" t="s">
        <v>2060</v>
      </c>
      <c r="AE45" s="20">
        <v>18</v>
      </c>
      <c r="AF45" s="20">
        <v>3</v>
      </c>
      <c r="AG45" s="20">
        <v>2000</v>
      </c>
      <c r="AH45" s="21">
        <v>36603</v>
      </c>
    </row>
    <row r="46" spans="1:34" x14ac:dyDescent="0.25">
      <c r="A46" s="35">
        <v>1332</v>
      </c>
      <c r="B46" s="20" t="s">
        <v>1825</v>
      </c>
      <c r="C46" s="20" t="s">
        <v>1825</v>
      </c>
      <c r="D46" s="94" t="s">
        <v>1259</v>
      </c>
      <c r="E46" s="20" t="s">
        <v>135</v>
      </c>
      <c r="F46" s="20" t="s">
        <v>1843</v>
      </c>
      <c r="G46" s="31" t="s">
        <v>40</v>
      </c>
      <c r="H46" s="32">
        <v>1</v>
      </c>
      <c r="J46" s="32">
        <v>1</v>
      </c>
      <c r="O46" s="20">
        <v>0</v>
      </c>
      <c r="P46" s="20">
        <v>1</v>
      </c>
      <c r="Q46" s="20">
        <v>0</v>
      </c>
      <c r="R46" s="20">
        <v>0</v>
      </c>
      <c r="X46" s="20">
        <v>1</v>
      </c>
      <c r="Z46" s="20" t="s">
        <v>100</v>
      </c>
      <c r="AA46" s="20" t="s">
        <v>1860</v>
      </c>
      <c r="AB46" s="31">
        <f>VLOOKUP(AA46,Masters!$K$2:$L$183,2,FALSE)</f>
        <v>1002</v>
      </c>
      <c r="AC46" s="20" t="s">
        <v>2063</v>
      </c>
      <c r="AD46" s="20" t="s">
        <v>2060</v>
      </c>
      <c r="AE46" s="20">
        <v>30</v>
      </c>
      <c r="AF46" s="20">
        <v>5</v>
      </c>
      <c r="AG46" s="20">
        <v>2002</v>
      </c>
      <c r="AH46" s="21">
        <v>37406</v>
      </c>
    </row>
    <row r="47" spans="1:34" x14ac:dyDescent="0.25">
      <c r="A47" s="35">
        <v>1333</v>
      </c>
      <c r="B47" s="20" t="s">
        <v>1825</v>
      </c>
      <c r="C47" s="20" t="s">
        <v>1825</v>
      </c>
      <c r="D47" s="94" t="s">
        <v>1260</v>
      </c>
      <c r="E47" s="20" t="s">
        <v>2052</v>
      </c>
      <c r="F47" s="20" t="s">
        <v>1846</v>
      </c>
      <c r="G47" s="31" t="s">
        <v>40</v>
      </c>
      <c r="H47" s="32">
        <v>1</v>
      </c>
      <c r="J47" s="32">
        <v>1</v>
      </c>
      <c r="O47" s="20">
        <v>0</v>
      </c>
      <c r="P47" s="20">
        <v>1</v>
      </c>
      <c r="Q47" s="20">
        <v>0</v>
      </c>
      <c r="R47" s="20">
        <v>0</v>
      </c>
      <c r="X47" s="20">
        <v>1</v>
      </c>
      <c r="Z47" s="20" t="s">
        <v>201</v>
      </c>
      <c r="AA47" s="20" t="s">
        <v>1859</v>
      </c>
      <c r="AB47" s="31">
        <f>VLOOKUP(AA47,Masters!$K$2:$L$183,2,FALSE)</f>
        <v>1001</v>
      </c>
      <c r="AC47" s="20" t="s">
        <v>2063</v>
      </c>
      <c r="AD47" s="20" t="s">
        <v>2061</v>
      </c>
      <c r="AE47" s="20">
        <v>2</v>
      </c>
      <c r="AF47" s="20">
        <v>9</v>
      </c>
      <c r="AG47" s="20">
        <v>2005</v>
      </c>
      <c r="AH47" s="21">
        <v>38597</v>
      </c>
    </row>
    <row r="48" spans="1:34" x14ac:dyDescent="0.25">
      <c r="A48" s="35">
        <v>1336</v>
      </c>
      <c r="B48" s="20" t="s">
        <v>1825</v>
      </c>
      <c r="C48" s="20" t="s">
        <v>1825</v>
      </c>
      <c r="D48" s="94" t="s">
        <v>1263</v>
      </c>
      <c r="E48" s="20" t="s">
        <v>133</v>
      </c>
      <c r="F48" s="20" t="s">
        <v>1843</v>
      </c>
      <c r="G48" s="31" t="s">
        <v>40</v>
      </c>
      <c r="H48" s="32">
        <v>1</v>
      </c>
      <c r="J48" s="32">
        <v>1</v>
      </c>
      <c r="O48" s="20">
        <v>0</v>
      </c>
      <c r="P48" s="20">
        <v>1</v>
      </c>
      <c r="Q48" s="20">
        <v>0</v>
      </c>
      <c r="R48" s="20">
        <v>0</v>
      </c>
      <c r="X48" s="20">
        <v>1</v>
      </c>
      <c r="Z48" s="20" t="s">
        <v>58</v>
      </c>
      <c r="AA48" s="20" t="s">
        <v>1862</v>
      </c>
      <c r="AB48" s="31">
        <f>VLOOKUP(AA48,Masters!$K$2:$L$183,2,FALSE)</f>
        <v>1004</v>
      </c>
      <c r="AC48" s="20" t="s">
        <v>2063</v>
      </c>
      <c r="AD48" s="20" t="s">
        <v>2060</v>
      </c>
      <c r="AE48" s="20">
        <v>23</v>
      </c>
      <c r="AF48" s="20">
        <v>2</v>
      </c>
      <c r="AG48" s="20">
        <v>2001</v>
      </c>
      <c r="AH48" s="21">
        <v>36945</v>
      </c>
    </row>
    <row r="49" spans="1:34" x14ac:dyDescent="0.25">
      <c r="A49" s="35">
        <v>1339</v>
      </c>
      <c r="B49" s="20" t="s">
        <v>1825</v>
      </c>
      <c r="C49" s="20" t="s">
        <v>1825</v>
      </c>
      <c r="D49" s="94" t="s">
        <v>1266</v>
      </c>
      <c r="E49" s="20" t="s">
        <v>2058</v>
      </c>
      <c r="F49" s="20" t="s">
        <v>1845</v>
      </c>
      <c r="G49" s="31" t="s">
        <v>40</v>
      </c>
      <c r="H49" s="32">
        <v>1</v>
      </c>
      <c r="J49" s="32">
        <v>1</v>
      </c>
      <c r="O49" s="20">
        <v>0</v>
      </c>
      <c r="P49" s="20">
        <v>1</v>
      </c>
      <c r="Q49" s="20">
        <v>0</v>
      </c>
      <c r="R49" s="20">
        <v>0</v>
      </c>
      <c r="X49" s="20">
        <v>1</v>
      </c>
      <c r="Z49" s="20" t="s">
        <v>1849</v>
      </c>
      <c r="AA49" s="20" t="s">
        <v>1861</v>
      </c>
      <c r="AB49" s="31">
        <f>VLOOKUP(AA49,Masters!$K$2:$L$183,2,FALSE)</f>
        <v>1003</v>
      </c>
      <c r="AC49" s="20" t="s">
        <v>2063</v>
      </c>
      <c r="AD49" s="20" t="s">
        <v>2060</v>
      </c>
      <c r="AE49" s="20">
        <v>11</v>
      </c>
      <c r="AF49" s="20">
        <v>4</v>
      </c>
      <c r="AG49" s="20">
        <v>2003</v>
      </c>
      <c r="AH49" s="21">
        <v>37722</v>
      </c>
    </row>
    <row r="50" spans="1:34" x14ac:dyDescent="0.25">
      <c r="A50" s="35">
        <v>1340</v>
      </c>
      <c r="B50" s="20" t="s">
        <v>1825</v>
      </c>
      <c r="C50" s="20" t="s">
        <v>1825</v>
      </c>
      <c r="D50" s="94" t="s">
        <v>1267</v>
      </c>
      <c r="E50" s="20" t="s">
        <v>2052</v>
      </c>
      <c r="F50" s="20" t="s">
        <v>1847</v>
      </c>
      <c r="G50" s="31" t="s">
        <v>40</v>
      </c>
      <c r="H50" s="32">
        <v>1</v>
      </c>
      <c r="J50" s="32">
        <v>1</v>
      </c>
      <c r="O50" s="20">
        <v>0</v>
      </c>
      <c r="P50" s="20">
        <v>1</v>
      </c>
      <c r="Q50" s="20">
        <v>0</v>
      </c>
      <c r="R50" s="20">
        <v>0</v>
      </c>
      <c r="X50" s="20">
        <v>1</v>
      </c>
      <c r="Z50" s="20" t="s">
        <v>201</v>
      </c>
      <c r="AA50" s="20" t="s">
        <v>1860</v>
      </c>
      <c r="AB50" s="31">
        <f>VLOOKUP(AA50,Masters!$K$2:$L$183,2,FALSE)</f>
        <v>1002</v>
      </c>
      <c r="AC50" s="20" t="s">
        <v>2063</v>
      </c>
      <c r="AD50" s="20" t="s">
        <v>2060</v>
      </c>
      <c r="AE50" s="20">
        <v>13</v>
      </c>
      <c r="AF50" s="20">
        <v>4</v>
      </c>
      <c r="AG50" s="20">
        <v>2002</v>
      </c>
      <c r="AH50" s="21">
        <v>37359</v>
      </c>
    </row>
    <row r="51" spans="1:34" x14ac:dyDescent="0.25">
      <c r="A51" s="35">
        <v>1343</v>
      </c>
      <c r="B51" s="20" t="s">
        <v>1825</v>
      </c>
      <c r="C51" s="20" t="s">
        <v>1825</v>
      </c>
      <c r="D51" s="94" t="s">
        <v>1270</v>
      </c>
      <c r="E51" s="20" t="s">
        <v>2055</v>
      </c>
      <c r="F51" s="20" t="s">
        <v>1845</v>
      </c>
      <c r="G51" s="31" t="s">
        <v>40</v>
      </c>
      <c r="H51" s="32">
        <v>1</v>
      </c>
      <c r="J51" s="32">
        <v>1</v>
      </c>
      <c r="O51" s="20">
        <v>0</v>
      </c>
      <c r="P51" s="20">
        <v>1</v>
      </c>
      <c r="Q51" s="20">
        <v>0</v>
      </c>
      <c r="R51" s="20">
        <v>0</v>
      </c>
      <c r="X51" s="20">
        <v>1</v>
      </c>
      <c r="Z51" s="20" t="s">
        <v>1832</v>
      </c>
      <c r="AA51" s="20" t="s">
        <v>1860</v>
      </c>
      <c r="AB51" s="31">
        <f>VLOOKUP(AA51,Masters!$K$2:$L$183,2,FALSE)</f>
        <v>1002</v>
      </c>
      <c r="AC51" s="20" t="s">
        <v>2063</v>
      </c>
      <c r="AD51" s="20" t="s">
        <v>2060</v>
      </c>
      <c r="AE51" s="20">
        <v>29</v>
      </c>
      <c r="AF51" s="20">
        <v>11</v>
      </c>
      <c r="AG51" s="20">
        <v>2003</v>
      </c>
      <c r="AH51" s="21">
        <v>37954</v>
      </c>
    </row>
    <row r="52" spans="1:34" x14ac:dyDescent="0.25">
      <c r="A52" s="35">
        <v>1347</v>
      </c>
      <c r="B52" s="20" t="s">
        <v>1825</v>
      </c>
      <c r="C52" s="20" t="s">
        <v>1825</v>
      </c>
      <c r="D52" s="94" t="s">
        <v>1274</v>
      </c>
      <c r="E52" s="20" t="s">
        <v>2053</v>
      </c>
      <c r="F52" s="20" t="s">
        <v>1846</v>
      </c>
      <c r="G52" s="31" t="s">
        <v>40</v>
      </c>
      <c r="H52" s="32">
        <v>1</v>
      </c>
      <c r="J52" s="32">
        <v>1</v>
      </c>
      <c r="O52" s="20">
        <v>0</v>
      </c>
      <c r="P52" s="20">
        <v>1</v>
      </c>
      <c r="Q52" s="20">
        <v>0</v>
      </c>
      <c r="R52" s="20">
        <v>0</v>
      </c>
      <c r="X52" s="20">
        <v>1</v>
      </c>
      <c r="Z52" s="20" t="s">
        <v>1832</v>
      </c>
      <c r="AA52" s="20" t="s">
        <v>1859</v>
      </c>
      <c r="AB52" s="31">
        <f>VLOOKUP(AA52,Masters!$K$2:$L$183,2,FALSE)</f>
        <v>1001</v>
      </c>
      <c r="AC52" s="20" t="s">
        <v>2063</v>
      </c>
      <c r="AD52" s="20" t="s">
        <v>2060</v>
      </c>
      <c r="AE52" s="20">
        <v>24</v>
      </c>
      <c r="AF52" s="20">
        <v>5</v>
      </c>
      <c r="AG52" s="20">
        <v>2001</v>
      </c>
      <c r="AH52" s="21">
        <v>37035</v>
      </c>
    </row>
    <row r="53" spans="1:34" x14ac:dyDescent="0.25">
      <c r="A53" s="35">
        <v>1358</v>
      </c>
      <c r="B53" s="20" t="s">
        <v>1825</v>
      </c>
      <c r="C53" s="20" t="s">
        <v>1825</v>
      </c>
      <c r="D53" s="94" t="s">
        <v>1285</v>
      </c>
      <c r="E53" s="20" t="s">
        <v>2051</v>
      </c>
      <c r="F53" s="20" t="s">
        <v>1844</v>
      </c>
      <c r="G53" s="31" t="s">
        <v>40</v>
      </c>
      <c r="H53" s="32">
        <v>1</v>
      </c>
      <c r="J53" s="32">
        <v>1</v>
      </c>
      <c r="O53" s="20">
        <v>0</v>
      </c>
      <c r="P53" s="20">
        <v>1</v>
      </c>
      <c r="Q53" s="20">
        <v>0</v>
      </c>
      <c r="R53" s="20">
        <v>0</v>
      </c>
      <c r="X53" s="20">
        <v>1</v>
      </c>
      <c r="Z53" s="20" t="s">
        <v>1835</v>
      </c>
      <c r="AA53" s="20" t="s">
        <v>1863</v>
      </c>
      <c r="AB53" s="31">
        <f>VLOOKUP(AA53,Masters!$K$2:$L$183,2,FALSE)</f>
        <v>1005</v>
      </c>
      <c r="AC53" s="20" t="s">
        <v>2063</v>
      </c>
      <c r="AD53" s="20" t="s">
        <v>2060</v>
      </c>
      <c r="AE53" s="20">
        <v>18</v>
      </c>
      <c r="AF53" s="20">
        <v>10</v>
      </c>
      <c r="AG53" s="20">
        <v>2000</v>
      </c>
      <c r="AH53" s="21">
        <v>36817</v>
      </c>
    </row>
    <row r="54" spans="1:34" x14ac:dyDescent="0.25">
      <c r="A54" s="35">
        <v>1365</v>
      </c>
      <c r="B54" s="20" t="s">
        <v>1825</v>
      </c>
      <c r="C54" s="20" t="s">
        <v>1825</v>
      </c>
      <c r="D54" s="94" t="s">
        <v>1292</v>
      </c>
      <c r="E54" s="20" t="s">
        <v>2052</v>
      </c>
      <c r="F54" s="20" t="s">
        <v>1845</v>
      </c>
      <c r="G54" s="31" t="s">
        <v>40</v>
      </c>
      <c r="H54" s="32">
        <v>1</v>
      </c>
      <c r="J54" s="32">
        <v>1</v>
      </c>
      <c r="O54" s="20">
        <v>0</v>
      </c>
      <c r="P54" s="20">
        <v>1</v>
      </c>
      <c r="Q54" s="20">
        <v>0</v>
      </c>
      <c r="R54" s="20">
        <v>0</v>
      </c>
      <c r="X54" s="20">
        <v>1</v>
      </c>
      <c r="Z54" s="20" t="s">
        <v>58</v>
      </c>
      <c r="AA54" s="20" t="s">
        <v>1859</v>
      </c>
      <c r="AB54" s="31">
        <f>VLOOKUP(AA54,Masters!$K$2:$L$183,2,FALSE)</f>
        <v>1001</v>
      </c>
      <c r="AC54" s="20" t="s">
        <v>2063</v>
      </c>
      <c r="AD54" s="20" t="s">
        <v>2061</v>
      </c>
      <c r="AE54" s="20">
        <v>18</v>
      </c>
      <c r="AF54" s="20">
        <v>2</v>
      </c>
      <c r="AG54" s="20">
        <v>2004</v>
      </c>
      <c r="AH54" s="21">
        <v>38035</v>
      </c>
    </row>
    <row r="55" spans="1:34" x14ac:dyDescent="0.25">
      <c r="A55" s="35">
        <v>1372</v>
      </c>
      <c r="B55" s="20" t="s">
        <v>1825</v>
      </c>
      <c r="C55" s="20" t="s">
        <v>1825</v>
      </c>
      <c r="D55" s="94" t="s">
        <v>1299</v>
      </c>
      <c r="E55" s="20" t="s">
        <v>2050</v>
      </c>
      <c r="F55" s="20" t="s">
        <v>1845</v>
      </c>
      <c r="G55" s="31" t="s">
        <v>40</v>
      </c>
      <c r="H55" s="32">
        <v>1</v>
      </c>
      <c r="J55" s="32">
        <v>1</v>
      </c>
      <c r="O55" s="20">
        <v>0</v>
      </c>
      <c r="P55" s="20">
        <v>1</v>
      </c>
      <c r="Q55" s="20">
        <v>0</v>
      </c>
      <c r="R55" s="20">
        <v>0</v>
      </c>
      <c r="X55" s="20">
        <v>1</v>
      </c>
      <c r="Z55" s="20" t="s">
        <v>58</v>
      </c>
      <c r="AA55" s="20" t="s">
        <v>1862</v>
      </c>
      <c r="AB55" s="31">
        <f>VLOOKUP(AA55,Masters!$K$2:$L$183,2,FALSE)</f>
        <v>1004</v>
      </c>
      <c r="AC55" s="20" t="s">
        <v>2063</v>
      </c>
      <c r="AD55" s="20" t="s">
        <v>2060</v>
      </c>
      <c r="AE55" s="20">
        <v>7</v>
      </c>
      <c r="AF55" s="20">
        <v>9</v>
      </c>
      <c r="AG55" s="20">
        <v>2002</v>
      </c>
      <c r="AH55" s="21">
        <v>37506</v>
      </c>
    </row>
    <row r="56" spans="1:34" x14ac:dyDescent="0.25">
      <c r="A56" s="35">
        <v>1376</v>
      </c>
      <c r="B56" s="20" t="s">
        <v>1825</v>
      </c>
      <c r="C56" s="20" t="s">
        <v>1825</v>
      </c>
      <c r="D56" s="94" t="s">
        <v>1303</v>
      </c>
      <c r="E56" s="20" t="s">
        <v>126</v>
      </c>
      <c r="F56" s="20" t="s">
        <v>1845</v>
      </c>
      <c r="G56" s="31" t="s">
        <v>40</v>
      </c>
      <c r="H56" s="32">
        <v>1</v>
      </c>
      <c r="J56" s="32">
        <v>1</v>
      </c>
      <c r="O56" s="20">
        <v>0</v>
      </c>
      <c r="P56" s="20">
        <v>1</v>
      </c>
      <c r="Q56" s="20">
        <v>0</v>
      </c>
      <c r="R56" s="20">
        <v>0</v>
      </c>
      <c r="X56" s="20">
        <v>1</v>
      </c>
      <c r="Z56" s="20" t="s">
        <v>1832</v>
      </c>
      <c r="AA56" s="20" t="s">
        <v>1860</v>
      </c>
      <c r="AB56" s="31">
        <f>VLOOKUP(AA56,Masters!$K$2:$L$183,2,FALSE)</f>
        <v>1002</v>
      </c>
      <c r="AC56" s="20" t="s">
        <v>2063</v>
      </c>
      <c r="AD56" s="20" t="s">
        <v>2061</v>
      </c>
      <c r="AE56" s="20">
        <v>6</v>
      </c>
      <c r="AF56" s="20">
        <v>4</v>
      </c>
      <c r="AG56" s="20">
        <v>2004</v>
      </c>
      <c r="AH56" s="21">
        <v>38083</v>
      </c>
    </row>
    <row r="57" spans="1:34" x14ac:dyDescent="0.25">
      <c r="A57" s="35">
        <v>1384</v>
      </c>
      <c r="B57" s="20" t="s">
        <v>1825</v>
      </c>
      <c r="C57" s="20" t="s">
        <v>1825</v>
      </c>
      <c r="D57" s="94" t="s">
        <v>1311</v>
      </c>
      <c r="E57" s="20" t="s">
        <v>2054</v>
      </c>
      <c r="F57" s="20" t="s">
        <v>1846</v>
      </c>
      <c r="G57" s="31" t="s">
        <v>40</v>
      </c>
      <c r="H57" s="32">
        <v>1</v>
      </c>
      <c r="J57" s="32">
        <v>1</v>
      </c>
      <c r="O57" s="20">
        <v>0</v>
      </c>
      <c r="P57" s="20">
        <v>1</v>
      </c>
      <c r="Q57" s="20">
        <v>0</v>
      </c>
      <c r="R57" s="20">
        <v>0</v>
      </c>
      <c r="X57" s="20">
        <v>1</v>
      </c>
      <c r="Z57" s="20" t="s">
        <v>1857</v>
      </c>
      <c r="AA57" s="20" t="s">
        <v>1861</v>
      </c>
      <c r="AB57" s="31">
        <f>VLOOKUP(AA57,Masters!$K$2:$L$183,2,FALSE)</f>
        <v>1003</v>
      </c>
      <c r="AC57" s="20" t="s">
        <v>2064</v>
      </c>
      <c r="AD57" s="20" t="s">
        <v>2061</v>
      </c>
      <c r="AE57" s="20">
        <v>14</v>
      </c>
      <c r="AF57" s="20">
        <v>8</v>
      </c>
      <c r="AG57" s="20">
        <v>2000</v>
      </c>
      <c r="AH57" s="21">
        <v>36752</v>
      </c>
    </row>
    <row r="58" spans="1:34" x14ac:dyDescent="0.25">
      <c r="A58" s="35">
        <v>1388</v>
      </c>
      <c r="B58" s="20" t="s">
        <v>1825</v>
      </c>
      <c r="C58" s="20" t="s">
        <v>1825</v>
      </c>
      <c r="D58" s="94" t="s">
        <v>1315</v>
      </c>
      <c r="E58" s="20" t="s">
        <v>2052</v>
      </c>
      <c r="F58" s="20" t="s">
        <v>1846</v>
      </c>
      <c r="G58" s="31" t="s">
        <v>40</v>
      </c>
      <c r="H58" s="32">
        <v>1</v>
      </c>
      <c r="J58" s="32">
        <v>1</v>
      </c>
      <c r="O58" s="20">
        <v>0</v>
      </c>
      <c r="P58" s="20">
        <v>1</v>
      </c>
      <c r="Q58" s="20">
        <v>0</v>
      </c>
      <c r="R58" s="20">
        <v>0</v>
      </c>
      <c r="X58" s="20">
        <v>1</v>
      </c>
      <c r="Z58" s="20" t="s">
        <v>1832</v>
      </c>
      <c r="AA58" s="20" t="s">
        <v>1863</v>
      </c>
      <c r="AB58" s="31">
        <f>VLOOKUP(AA58,Masters!$K$2:$L$183,2,FALSE)</f>
        <v>1005</v>
      </c>
      <c r="AC58" s="20" t="s">
        <v>2063</v>
      </c>
      <c r="AD58" s="20" t="s">
        <v>2061</v>
      </c>
      <c r="AE58" s="20">
        <v>18</v>
      </c>
      <c r="AF58" s="20">
        <v>9</v>
      </c>
      <c r="AG58" s="20">
        <v>2003</v>
      </c>
      <c r="AH58" s="21">
        <v>37882</v>
      </c>
    </row>
    <row r="59" spans="1:34" x14ac:dyDescent="0.25">
      <c r="A59" s="35">
        <v>1397</v>
      </c>
      <c r="B59" s="20" t="s">
        <v>1825</v>
      </c>
      <c r="C59" s="20" t="s">
        <v>1825</v>
      </c>
      <c r="D59" s="94" t="s">
        <v>1324</v>
      </c>
      <c r="E59" s="20" t="s">
        <v>2053</v>
      </c>
      <c r="F59" s="20" t="s">
        <v>1843</v>
      </c>
      <c r="G59" s="31" t="s">
        <v>40</v>
      </c>
      <c r="H59" s="32">
        <v>1</v>
      </c>
      <c r="J59" s="32">
        <v>1</v>
      </c>
      <c r="O59" s="20">
        <v>0</v>
      </c>
      <c r="P59" s="20">
        <v>1</v>
      </c>
      <c r="Q59" s="20">
        <v>0</v>
      </c>
      <c r="R59" s="20">
        <v>0</v>
      </c>
      <c r="X59" s="20">
        <v>1</v>
      </c>
      <c r="Z59" s="20" t="s">
        <v>1835</v>
      </c>
      <c r="AA59" s="20" t="s">
        <v>1859</v>
      </c>
      <c r="AB59" s="31">
        <f>VLOOKUP(AA59,Masters!$K$2:$L$183,2,FALSE)</f>
        <v>1001</v>
      </c>
      <c r="AC59" s="20" t="s">
        <v>2063</v>
      </c>
      <c r="AD59" s="20" t="s">
        <v>2060</v>
      </c>
      <c r="AE59" s="20">
        <v>26</v>
      </c>
      <c r="AF59" s="20">
        <v>4</v>
      </c>
      <c r="AG59" s="20">
        <v>2000</v>
      </c>
      <c r="AH59" s="21">
        <v>36642</v>
      </c>
    </row>
    <row r="60" spans="1:34" x14ac:dyDescent="0.25">
      <c r="A60" s="35">
        <v>1399</v>
      </c>
      <c r="B60" s="20" t="s">
        <v>1825</v>
      </c>
      <c r="C60" s="20" t="s">
        <v>1825</v>
      </c>
      <c r="D60" s="94" t="s">
        <v>1326</v>
      </c>
      <c r="E60" s="20" t="s">
        <v>2054</v>
      </c>
      <c r="F60" s="20" t="s">
        <v>1845</v>
      </c>
      <c r="G60" s="31" t="s">
        <v>40</v>
      </c>
      <c r="H60" s="32">
        <v>1</v>
      </c>
      <c r="J60" s="32">
        <v>1</v>
      </c>
      <c r="O60" s="20">
        <v>0</v>
      </c>
      <c r="P60" s="20">
        <v>1</v>
      </c>
      <c r="Q60" s="20">
        <v>0</v>
      </c>
      <c r="R60" s="20">
        <v>0</v>
      </c>
      <c r="X60" s="20">
        <v>1</v>
      </c>
      <c r="Z60" s="20" t="s">
        <v>1852</v>
      </c>
      <c r="AA60" s="20" t="s">
        <v>1863</v>
      </c>
      <c r="AB60" s="31">
        <f>VLOOKUP(AA60,Masters!$K$2:$L$183,2,FALSE)</f>
        <v>1005</v>
      </c>
      <c r="AC60" s="20" t="s">
        <v>2063</v>
      </c>
      <c r="AD60" s="20" t="s">
        <v>2060</v>
      </c>
      <c r="AE60" s="20">
        <v>8</v>
      </c>
      <c r="AF60" s="20">
        <v>3</v>
      </c>
      <c r="AG60" s="20">
        <v>2004</v>
      </c>
      <c r="AH60" s="21">
        <v>38054</v>
      </c>
    </row>
    <row r="61" spans="1:34" x14ac:dyDescent="0.25">
      <c r="A61" s="35">
        <v>1400</v>
      </c>
      <c r="B61" s="20" t="s">
        <v>1825</v>
      </c>
      <c r="C61" s="20" t="s">
        <v>1825</v>
      </c>
      <c r="D61" s="94" t="s">
        <v>1327</v>
      </c>
      <c r="E61" s="20" t="s">
        <v>135</v>
      </c>
      <c r="F61" s="20" t="s">
        <v>1846</v>
      </c>
      <c r="G61" s="31" t="s">
        <v>40</v>
      </c>
      <c r="H61" s="32">
        <v>1</v>
      </c>
      <c r="J61" s="32">
        <v>1</v>
      </c>
      <c r="O61" s="20">
        <v>0</v>
      </c>
      <c r="P61" s="20">
        <v>1</v>
      </c>
      <c r="Q61" s="20">
        <v>0</v>
      </c>
      <c r="R61" s="20">
        <v>0</v>
      </c>
      <c r="X61" s="20">
        <v>1</v>
      </c>
      <c r="Z61" s="20" t="s">
        <v>1855</v>
      </c>
      <c r="AA61" s="20" t="s">
        <v>1862</v>
      </c>
      <c r="AB61" s="31">
        <f>VLOOKUP(AA61,Masters!$K$2:$L$183,2,FALSE)</f>
        <v>1004</v>
      </c>
      <c r="AC61" s="20" t="s">
        <v>2063</v>
      </c>
      <c r="AD61" s="20" t="s">
        <v>2061</v>
      </c>
      <c r="AE61" s="20">
        <v>10</v>
      </c>
      <c r="AF61" s="20">
        <v>1</v>
      </c>
      <c r="AG61" s="20">
        <v>2004</v>
      </c>
      <c r="AH61" s="21">
        <v>37996</v>
      </c>
    </row>
    <row r="62" spans="1:34" x14ac:dyDescent="0.25">
      <c r="A62" s="35">
        <v>1404</v>
      </c>
      <c r="B62" s="20" t="s">
        <v>1825</v>
      </c>
      <c r="C62" s="20" t="s">
        <v>1825</v>
      </c>
      <c r="D62" s="94" t="s">
        <v>1331</v>
      </c>
      <c r="E62" s="20" t="s">
        <v>133</v>
      </c>
      <c r="F62" s="20" t="s">
        <v>1847</v>
      </c>
      <c r="G62" s="31" t="s">
        <v>40</v>
      </c>
      <c r="H62" s="32">
        <v>1</v>
      </c>
      <c r="J62" s="32">
        <v>1</v>
      </c>
      <c r="O62" s="20">
        <v>0</v>
      </c>
      <c r="P62" s="20">
        <v>1</v>
      </c>
      <c r="Q62" s="20">
        <v>0</v>
      </c>
      <c r="R62" s="20">
        <v>0</v>
      </c>
      <c r="X62" s="20">
        <v>1</v>
      </c>
      <c r="Z62" s="20" t="s">
        <v>1857</v>
      </c>
      <c r="AA62" s="20" t="s">
        <v>1860</v>
      </c>
      <c r="AB62" s="31">
        <f>VLOOKUP(AA62,Masters!$K$2:$L$183,2,FALSE)</f>
        <v>1002</v>
      </c>
      <c r="AC62" s="20" t="s">
        <v>2063</v>
      </c>
      <c r="AD62" s="20" t="s">
        <v>2061</v>
      </c>
      <c r="AE62" s="20">
        <v>12</v>
      </c>
      <c r="AF62" s="20">
        <v>1</v>
      </c>
      <c r="AG62" s="20">
        <v>2002</v>
      </c>
      <c r="AH62" s="21">
        <v>37268</v>
      </c>
    </row>
    <row r="63" spans="1:34" x14ac:dyDescent="0.25">
      <c r="A63" s="35">
        <v>1406</v>
      </c>
      <c r="B63" s="20" t="s">
        <v>1825</v>
      </c>
      <c r="C63" s="20" t="s">
        <v>1825</v>
      </c>
      <c r="D63" s="94" t="s">
        <v>1333</v>
      </c>
      <c r="E63" s="20" t="s">
        <v>135</v>
      </c>
      <c r="F63" s="20" t="s">
        <v>1843</v>
      </c>
      <c r="G63" s="31" t="s">
        <v>40</v>
      </c>
      <c r="H63" s="32">
        <v>1</v>
      </c>
      <c r="J63" s="32">
        <v>1</v>
      </c>
      <c r="O63" s="20">
        <v>0</v>
      </c>
      <c r="P63" s="20">
        <v>1</v>
      </c>
      <c r="Q63" s="20">
        <v>0</v>
      </c>
      <c r="R63" s="20">
        <v>0</v>
      </c>
      <c r="X63" s="20">
        <v>1</v>
      </c>
      <c r="Z63" s="20" t="s">
        <v>1851</v>
      </c>
      <c r="AA63" s="20" t="s">
        <v>1860</v>
      </c>
      <c r="AB63" s="31">
        <f>VLOOKUP(AA63,Masters!$K$2:$L$183,2,FALSE)</f>
        <v>1002</v>
      </c>
      <c r="AC63" s="20" t="s">
        <v>2063</v>
      </c>
      <c r="AD63" s="20" t="s">
        <v>2061</v>
      </c>
      <c r="AE63" s="20">
        <v>3</v>
      </c>
      <c r="AF63" s="20">
        <v>5</v>
      </c>
      <c r="AG63" s="20">
        <v>2000</v>
      </c>
      <c r="AH63" s="21">
        <v>36649</v>
      </c>
    </row>
    <row r="64" spans="1:34" x14ac:dyDescent="0.25">
      <c r="A64" s="35">
        <v>1407</v>
      </c>
      <c r="B64" s="20" t="s">
        <v>1825</v>
      </c>
      <c r="C64" s="20" t="s">
        <v>1825</v>
      </c>
      <c r="D64" s="94" t="s">
        <v>1334</v>
      </c>
      <c r="E64" s="20" t="s">
        <v>2056</v>
      </c>
      <c r="F64" s="20" t="s">
        <v>1847</v>
      </c>
      <c r="G64" s="31" t="s">
        <v>40</v>
      </c>
      <c r="H64" s="32">
        <v>1</v>
      </c>
      <c r="J64" s="32">
        <v>1</v>
      </c>
      <c r="O64" s="20">
        <v>0</v>
      </c>
      <c r="P64" s="20">
        <v>1</v>
      </c>
      <c r="Q64" s="20">
        <v>0</v>
      </c>
      <c r="R64" s="20">
        <v>0</v>
      </c>
      <c r="X64" s="20">
        <v>1</v>
      </c>
      <c r="Z64" s="20" t="s">
        <v>34</v>
      </c>
      <c r="AA64" s="20" t="s">
        <v>1860</v>
      </c>
      <c r="AB64" s="31">
        <f>VLOOKUP(AA64,Masters!$K$2:$L$183,2,FALSE)</f>
        <v>1002</v>
      </c>
      <c r="AC64" s="20" t="s">
        <v>2063</v>
      </c>
      <c r="AD64" s="20" t="s">
        <v>2060</v>
      </c>
      <c r="AE64" s="20">
        <v>14</v>
      </c>
      <c r="AF64" s="20">
        <v>6</v>
      </c>
      <c r="AG64" s="20">
        <v>2004</v>
      </c>
      <c r="AH64" s="21">
        <v>38152</v>
      </c>
    </row>
    <row r="65" spans="1:34" x14ac:dyDescent="0.25">
      <c r="A65" s="35">
        <v>1449</v>
      </c>
      <c r="B65" s="20" t="s">
        <v>1825</v>
      </c>
      <c r="C65" s="20" t="s">
        <v>1825</v>
      </c>
      <c r="D65" s="94" t="s">
        <v>1376</v>
      </c>
      <c r="E65" s="20" t="s">
        <v>2056</v>
      </c>
      <c r="F65" s="20" t="s">
        <v>1847</v>
      </c>
      <c r="G65" s="31" t="s">
        <v>40</v>
      </c>
      <c r="H65" s="32">
        <v>1</v>
      </c>
      <c r="J65" s="32">
        <v>1</v>
      </c>
      <c r="O65" s="20">
        <v>0</v>
      </c>
      <c r="P65" s="20">
        <v>1</v>
      </c>
      <c r="Q65" s="20">
        <v>0</v>
      </c>
      <c r="R65" s="20">
        <v>0</v>
      </c>
      <c r="X65" s="20">
        <v>1</v>
      </c>
      <c r="Z65" s="20" t="s">
        <v>1849</v>
      </c>
      <c r="AA65" s="20" t="s">
        <v>1859</v>
      </c>
      <c r="AB65" s="31">
        <f>VLOOKUP(AA65,Masters!$K$2:$L$183,2,FALSE)</f>
        <v>1001</v>
      </c>
      <c r="AC65" s="20" t="s">
        <v>2063</v>
      </c>
      <c r="AD65" s="20" t="s">
        <v>2060</v>
      </c>
      <c r="AE65" s="20">
        <v>21</v>
      </c>
      <c r="AF65" s="20">
        <v>12</v>
      </c>
      <c r="AG65" s="20">
        <v>2005</v>
      </c>
      <c r="AH65" s="21">
        <v>38707</v>
      </c>
    </row>
    <row r="66" spans="1:34" x14ac:dyDescent="0.25">
      <c r="A66" s="35">
        <v>1465</v>
      </c>
      <c r="B66" s="20" t="s">
        <v>1825</v>
      </c>
      <c r="C66" s="20" t="s">
        <v>1825</v>
      </c>
      <c r="D66" s="94" t="s">
        <v>1392</v>
      </c>
      <c r="E66" s="20" t="s">
        <v>126</v>
      </c>
      <c r="F66" s="20" t="s">
        <v>1843</v>
      </c>
      <c r="G66" s="31" t="s">
        <v>40</v>
      </c>
      <c r="H66" s="32">
        <v>1</v>
      </c>
      <c r="J66" s="32">
        <v>1</v>
      </c>
      <c r="O66" s="20">
        <v>0</v>
      </c>
      <c r="P66" s="20">
        <v>1</v>
      </c>
      <c r="Q66" s="20">
        <v>0</v>
      </c>
      <c r="R66" s="20">
        <v>0</v>
      </c>
      <c r="X66" s="20">
        <v>1</v>
      </c>
      <c r="Z66" s="20" t="s">
        <v>1855</v>
      </c>
      <c r="AA66" s="20" t="s">
        <v>1861</v>
      </c>
      <c r="AB66" s="31">
        <f>VLOOKUP(AA66,Masters!$K$2:$L$183,2,FALSE)</f>
        <v>1003</v>
      </c>
      <c r="AC66" s="20" t="s">
        <v>2063</v>
      </c>
      <c r="AD66" s="20" t="s">
        <v>2060</v>
      </c>
      <c r="AE66" s="20">
        <v>21</v>
      </c>
      <c r="AF66" s="20">
        <v>9</v>
      </c>
      <c r="AG66" s="20">
        <v>2003</v>
      </c>
      <c r="AH66" s="21">
        <v>37885</v>
      </c>
    </row>
    <row r="67" spans="1:34" x14ac:dyDescent="0.25">
      <c r="A67" s="35">
        <v>1481</v>
      </c>
      <c r="B67" s="20" t="s">
        <v>1825</v>
      </c>
      <c r="C67" s="20" t="s">
        <v>1825</v>
      </c>
      <c r="D67" s="94" t="s">
        <v>1408</v>
      </c>
      <c r="E67" s="20" t="s">
        <v>133</v>
      </c>
      <c r="F67" s="20" t="s">
        <v>1846</v>
      </c>
      <c r="G67" s="31" t="s">
        <v>40</v>
      </c>
      <c r="H67" s="32">
        <v>1</v>
      </c>
      <c r="J67" s="32">
        <v>1</v>
      </c>
      <c r="O67" s="20">
        <v>0</v>
      </c>
      <c r="P67" s="20">
        <v>1</v>
      </c>
      <c r="Q67" s="20">
        <v>0</v>
      </c>
      <c r="R67" s="20">
        <v>0</v>
      </c>
      <c r="X67" s="20">
        <v>1</v>
      </c>
      <c r="Z67" s="20" t="s">
        <v>1849</v>
      </c>
      <c r="AA67" s="20" t="s">
        <v>1862</v>
      </c>
      <c r="AB67" s="31">
        <f>VLOOKUP(AA67,Masters!$K$2:$L$183,2,FALSE)</f>
        <v>1004</v>
      </c>
      <c r="AC67" s="20" t="s">
        <v>2064</v>
      </c>
      <c r="AD67" s="20" t="s">
        <v>2061</v>
      </c>
      <c r="AE67" s="20">
        <v>5</v>
      </c>
      <c r="AF67" s="20">
        <v>4</v>
      </c>
      <c r="AG67" s="20">
        <v>2005</v>
      </c>
      <c r="AH67" s="21">
        <v>38447</v>
      </c>
    </row>
    <row r="68" spans="1:34" x14ac:dyDescent="0.25">
      <c r="A68" s="35">
        <v>1495</v>
      </c>
      <c r="B68" s="20" t="s">
        <v>1825</v>
      </c>
      <c r="C68" s="20" t="s">
        <v>1825</v>
      </c>
      <c r="D68" s="94" t="s">
        <v>1422</v>
      </c>
      <c r="E68" s="20" t="s">
        <v>135</v>
      </c>
      <c r="F68" s="20" t="s">
        <v>1845</v>
      </c>
      <c r="G68" s="31" t="s">
        <v>40</v>
      </c>
      <c r="H68" s="32">
        <v>1</v>
      </c>
      <c r="J68" s="32">
        <v>1</v>
      </c>
      <c r="O68" s="20">
        <v>0</v>
      </c>
      <c r="P68" s="20">
        <v>1</v>
      </c>
      <c r="Q68" s="20">
        <v>0</v>
      </c>
      <c r="R68" s="20">
        <v>0</v>
      </c>
      <c r="X68" s="20">
        <v>1</v>
      </c>
      <c r="Z68" s="20" t="s">
        <v>1851</v>
      </c>
      <c r="AA68" s="20" t="s">
        <v>1859</v>
      </c>
      <c r="AB68" s="31">
        <f>VLOOKUP(AA68,Masters!$K$2:$L$183,2,FALSE)</f>
        <v>1001</v>
      </c>
      <c r="AC68" s="20" t="s">
        <v>2063</v>
      </c>
      <c r="AD68" s="20" t="s">
        <v>2060</v>
      </c>
      <c r="AE68" s="20">
        <v>25</v>
      </c>
      <c r="AF68" s="20">
        <v>8</v>
      </c>
      <c r="AG68" s="20">
        <v>2002</v>
      </c>
      <c r="AH68" s="21">
        <v>37493</v>
      </c>
    </row>
    <row r="69" spans="1:34" x14ac:dyDescent="0.25">
      <c r="A69" s="35">
        <v>1502</v>
      </c>
      <c r="B69" s="20" t="s">
        <v>1825</v>
      </c>
      <c r="C69" s="20" t="s">
        <v>1825</v>
      </c>
      <c r="D69" s="94" t="s">
        <v>1429</v>
      </c>
      <c r="E69" s="20" t="s">
        <v>2054</v>
      </c>
      <c r="F69" s="20" t="s">
        <v>1847</v>
      </c>
      <c r="G69" s="31" t="s">
        <v>40</v>
      </c>
      <c r="H69" s="32">
        <v>1</v>
      </c>
      <c r="J69" s="32">
        <v>1</v>
      </c>
      <c r="O69" s="20">
        <v>0</v>
      </c>
      <c r="P69" s="20">
        <v>1</v>
      </c>
      <c r="Q69" s="20">
        <v>0</v>
      </c>
      <c r="R69" s="20">
        <v>0</v>
      </c>
      <c r="X69" s="20">
        <v>1</v>
      </c>
      <c r="Z69" s="20" t="s">
        <v>1835</v>
      </c>
      <c r="AA69" s="20" t="s">
        <v>1861</v>
      </c>
      <c r="AB69" s="31">
        <f>VLOOKUP(AA69,Masters!$K$2:$L$183,2,FALSE)</f>
        <v>1003</v>
      </c>
      <c r="AC69" s="20" t="s">
        <v>2064</v>
      </c>
      <c r="AD69" s="20" t="s">
        <v>2061</v>
      </c>
      <c r="AE69" s="20">
        <v>21</v>
      </c>
      <c r="AF69" s="20">
        <v>9</v>
      </c>
      <c r="AG69" s="20">
        <v>2002</v>
      </c>
      <c r="AH69" s="21">
        <v>37520</v>
      </c>
    </row>
    <row r="70" spans="1:34" x14ac:dyDescent="0.25">
      <c r="A70" s="35">
        <v>1511</v>
      </c>
      <c r="B70" s="20" t="s">
        <v>1825</v>
      </c>
      <c r="C70" s="20" t="s">
        <v>1825</v>
      </c>
      <c r="D70" s="94" t="s">
        <v>1438</v>
      </c>
      <c r="E70" s="20" t="s">
        <v>2051</v>
      </c>
      <c r="F70" s="20" t="s">
        <v>1847</v>
      </c>
      <c r="G70" s="31" t="s">
        <v>40</v>
      </c>
      <c r="H70" s="32">
        <v>1</v>
      </c>
      <c r="J70" s="32">
        <v>1</v>
      </c>
      <c r="O70" s="20">
        <v>0</v>
      </c>
      <c r="P70" s="20">
        <v>1</v>
      </c>
      <c r="Q70" s="20">
        <v>0</v>
      </c>
      <c r="R70" s="20">
        <v>0</v>
      </c>
      <c r="X70" s="20">
        <v>1</v>
      </c>
      <c r="Z70" s="20" t="s">
        <v>1848</v>
      </c>
      <c r="AA70" s="20" t="s">
        <v>1862</v>
      </c>
      <c r="AB70" s="31">
        <f>VLOOKUP(AA70,Masters!$K$2:$L$183,2,FALSE)</f>
        <v>1004</v>
      </c>
      <c r="AC70" s="20" t="s">
        <v>2064</v>
      </c>
      <c r="AD70" s="20" t="s">
        <v>2061</v>
      </c>
      <c r="AE70" s="20">
        <v>5</v>
      </c>
      <c r="AF70" s="20">
        <v>12</v>
      </c>
      <c r="AG70" s="20">
        <v>2000</v>
      </c>
      <c r="AH70" s="21">
        <v>36865</v>
      </c>
    </row>
    <row r="71" spans="1:34" x14ac:dyDescent="0.25">
      <c r="A71" s="35">
        <v>1532</v>
      </c>
      <c r="B71" s="20" t="s">
        <v>1825</v>
      </c>
      <c r="C71" s="20" t="s">
        <v>1825</v>
      </c>
      <c r="D71" s="94" t="s">
        <v>1459</v>
      </c>
      <c r="E71" s="20" t="s">
        <v>2054</v>
      </c>
      <c r="F71" s="20" t="s">
        <v>1847</v>
      </c>
      <c r="G71" s="31" t="s">
        <v>40</v>
      </c>
      <c r="H71" s="32">
        <v>1</v>
      </c>
      <c r="J71" s="32">
        <v>1</v>
      </c>
      <c r="O71" s="20">
        <v>0</v>
      </c>
      <c r="P71" s="20">
        <v>1</v>
      </c>
      <c r="Q71" s="20">
        <v>0</v>
      </c>
      <c r="R71" s="20">
        <v>0</v>
      </c>
      <c r="X71" s="20">
        <v>1</v>
      </c>
      <c r="Z71" s="20" t="s">
        <v>1854</v>
      </c>
      <c r="AA71" s="20" t="s">
        <v>1863</v>
      </c>
      <c r="AB71" s="31">
        <f>VLOOKUP(AA71,Masters!$K$2:$L$183,2,FALSE)</f>
        <v>1005</v>
      </c>
      <c r="AC71" s="20" t="s">
        <v>2063</v>
      </c>
      <c r="AD71" s="20" t="s">
        <v>2060</v>
      </c>
      <c r="AE71" s="20">
        <v>3</v>
      </c>
      <c r="AF71" s="20">
        <v>1</v>
      </c>
      <c r="AG71" s="20">
        <v>2001</v>
      </c>
      <c r="AH71" s="21">
        <v>36894</v>
      </c>
    </row>
    <row r="72" spans="1:34" x14ac:dyDescent="0.25">
      <c r="A72" s="35">
        <v>1537</v>
      </c>
      <c r="B72" s="20" t="s">
        <v>1825</v>
      </c>
      <c r="C72" s="20" t="s">
        <v>1825</v>
      </c>
      <c r="D72" s="94" t="s">
        <v>1464</v>
      </c>
      <c r="E72" s="20" t="s">
        <v>126</v>
      </c>
      <c r="F72" s="20" t="s">
        <v>1843</v>
      </c>
      <c r="G72" s="31" t="s">
        <v>40</v>
      </c>
      <c r="H72" s="32">
        <v>1</v>
      </c>
      <c r="J72" s="32">
        <v>1</v>
      </c>
      <c r="O72" s="20">
        <v>0</v>
      </c>
      <c r="P72" s="20">
        <v>1</v>
      </c>
      <c r="Q72" s="20">
        <v>0</v>
      </c>
      <c r="R72" s="20">
        <v>0</v>
      </c>
      <c r="X72" s="20">
        <v>1</v>
      </c>
      <c r="Z72" s="20" t="s">
        <v>1858</v>
      </c>
      <c r="AA72" s="20" t="s">
        <v>1860</v>
      </c>
      <c r="AB72" s="31">
        <f>VLOOKUP(AA72,Masters!$K$2:$L$183,2,FALSE)</f>
        <v>1002</v>
      </c>
      <c r="AC72" s="20" t="s">
        <v>2063</v>
      </c>
      <c r="AD72" s="20" t="s">
        <v>2060</v>
      </c>
      <c r="AE72" s="20">
        <v>5</v>
      </c>
      <c r="AF72" s="20">
        <v>7</v>
      </c>
      <c r="AG72" s="20">
        <v>2005</v>
      </c>
      <c r="AH72" s="21">
        <v>38538</v>
      </c>
    </row>
    <row r="73" spans="1:34" x14ac:dyDescent="0.25">
      <c r="A73" s="35">
        <v>1538</v>
      </c>
      <c r="B73" s="20" t="s">
        <v>1825</v>
      </c>
      <c r="C73" s="20" t="s">
        <v>1825</v>
      </c>
      <c r="D73" s="94" t="s">
        <v>1465</v>
      </c>
      <c r="E73" s="20" t="s">
        <v>2053</v>
      </c>
      <c r="F73" s="20" t="s">
        <v>1843</v>
      </c>
      <c r="G73" s="31" t="s">
        <v>40</v>
      </c>
      <c r="H73" s="32">
        <v>1</v>
      </c>
      <c r="J73" s="32">
        <v>1</v>
      </c>
      <c r="O73" s="20">
        <v>0</v>
      </c>
      <c r="P73" s="20">
        <v>1</v>
      </c>
      <c r="Q73" s="20">
        <v>0</v>
      </c>
      <c r="R73" s="20">
        <v>0</v>
      </c>
      <c r="X73" s="20">
        <v>1</v>
      </c>
      <c r="Z73" s="20" t="s">
        <v>58</v>
      </c>
      <c r="AA73" s="20" t="s">
        <v>1863</v>
      </c>
      <c r="AB73" s="31">
        <f>VLOOKUP(AA73,Masters!$K$2:$L$183,2,FALSE)</f>
        <v>1005</v>
      </c>
      <c r="AC73" s="20" t="s">
        <v>2063</v>
      </c>
      <c r="AD73" s="20" t="s">
        <v>2060</v>
      </c>
      <c r="AE73" s="20">
        <v>6</v>
      </c>
      <c r="AF73" s="20">
        <v>11</v>
      </c>
      <c r="AG73" s="20">
        <v>2004</v>
      </c>
      <c r="AH73" s="21">
        <v>38297</v>
      </c>
    </row>
    <row r="74" spans="1:34" x14ac:dyDescent="0.25">
      <c r="A74" s="35">
        <v>1551</v>
      </c>
      <c r="B74" s="20" t="s">
        <v>1825</v>
      </c>
      <c r="C74" s="20" t="s">
        <v>1825</v>
      </c>
      <c r="D74" s="94" t="s">
        <v>1478</v>
      </c>
      <c r="E74" s="20" t="s">
        <v>2058</v>
      </c>
      <c r="F74" s="20" t="s">
        <v>1846</v>
      </c>
      <c r="G74" s="31" t="s">
        <v>40</v>
      </c>
      <c r="H74" s="32">
        <v>1</v>
      </c>
      <c r="J74" s="32">
        <v>1</v>
      </c>
      <c r="O74" s="20">
        <v>0</v>
      </c>
      <c r="P74" s="20">
        <v>1</v>
      </c>
      <c r="Q74" s="20">
        <v>0</v>
      </c>
      <c r="R74" s="20">
        <v>0</v>
      </c>
      <c r="X74" s="20">
        <v>1</v>
      </c>
      <c r="Z74" s="20" t="s">
        <v>1855</v>
      </c>
      <c r="AA74" s="20" t="s">
        <v>1862</v>
      </c>
      <c r="AB74" s="31">
        <f>VLOOKUP(AA74,Masters!$K$2:$L$183,2,FALSE)</f>
        <v>1004</v>
      </c>
      <c r="AC74" s="20" t="s">
        <v>2063</v>
      </c>
      <c r="AD74" s="20" t="s">
        <v>2060</v>
      </c>
      <c r="AE74" s="20">
        <v>19</v>
      </c>
      <c r="AF74" s="20">
        <v>4</v>
      </c>
      <c r="AG74" s="20">
        <v>2005</v>
      </c>
      <c r="AH74" s="21">
        <v>38461</v>
      </c>
    </row>
    <row r="75" spans="1:34" x14ac:dyDescent="0.25">
      <c r="A75" s="35">
        <v>1575</v>
      </c>
      <c r="B75" s="20" t="s">
        <v>1825</v>
      </c>
      <c r="C75" s="20" t="s">
        <v>1825</v>
      </c>
      <c r="D75" s="94" t="s">
        <v>1502</v>
      </c>
      <c r="E75" s="20" t="s">
        <v>2052</v>
      </c>
      <c r="F75" s="20" t="s">
        <v>1847</v>
      </c>
      <c r="G75" s="31" t="s">
        <v>40</v>
      </c>
      <c r="H75" s="32">
        <v>1</v>
      </c>
      <c r="J75" s="32">
        <v>1</v>
      </c>
      <c r="O75" s="20">
        <v>0</v>
      </c>
      <c r="P75" s="20">
        <v>1</v>
      </c>
      <c r="Q75" s="20">
        <v>0</v>
      </c>
      <c r="R75" s="20">
        <v>0</v>
      </c>
      <c r="X75" s="20">
        <v>1</v>
      </c>
      <c r="Z75" s="20" t="s">
        <v>1857</v>
      </c>
      <c r="AA75" s="20" t="s">
        <v>1860</v>
      </c>
      <c r="AB75" s="31">
        <f>VLOOKUP(AA75,Masters!$K$2:$L$183,2,FALSE)</f>
        <v>1002</v>
      </c>
      <c r="AC75" s="20" t="s">
        <v>2063</v>
      </c>
      <c r="AD75" s="20" t="s">
        <v>2060</v>
      </c>
      <c r="AE75" s="20">
        <v>18</v>
      </c>
      <c r="AF75" s="20">
        <v>6</v>
      </c>
      <c r="AG75" s="20">
        <v>2004</v>
      </c>
      <c r="AH75" s="21">
        <v>38156</v>
      </c>
    </row>
    <row r="76" spans="1:34" x14ac:dyDescent="0.25">
      <c r="A76" s="35">
        <v>1597</v>
      </c>
      <c r="B76" s="20" t="s">
        <v>1825</v>
      </c>
      <c r="C76" s="20" t="s">
        <v>1825</v>
      </c>
      <c r="D76" s="94" t="s">
        <v>1524</v>
      </c>
      <c r="E76" s="20" t="s">
        <v>2054</v>
      </c>
      <c r="F76" s="20" t="s">
        <v>1847</v>
      </c>
      <c r="G76" s="31" t="s">
        <v>40</v>
      </c>
      <c r="H76" s="32">
        <v>1</v>
      </c>
      <c r="J76" s="32">
        <v>1</v>
      </c>
      <c r="O76" s="20">
        <v>0</v>
      </c>
      <c r="P76" s="20">
        <v>1</v>
      </c>
      <c r="Q76" s="20">
        <v>0</v>
      </c>
      <c r="R76" s="20">
        <v>0</v>
      </c>
      <c r="X76" s="20">
        <v>1</v>
      </c>
      <c r="Z76" s="20" t="s">
        <v>34</v>
      </c>
      <c r="AA76" s="20" t="s">
        <v>1861</v>
      </c>
      <c r="AB76" s="31">
        <f>VLOOKUP(AA76,Masters!$K$2:$L$183,2,FALSE)</f>
        <v>1003</v>
      </c>
      <c r="AC76" s="20" t="s">
        <v>2063</v>
      </c>
      <c r="AD76" s="20" t="s">
        <v>2060</v>
      </c>
      <c r="AE76" s="20">
        <v>2</v>
      </c>
      <c r="AF76" s="20">
        <v>11</v>
      </c>
      <c r="AG76" s="20">
        <v>2003</v>
      </c>
      <c r="AH76" s="21">
        <v>37927</v>
      </c>
    </row>
    <row r="77" spans="1:34" x14ac:dyDescent="0.25">
      <c r="A77" s="35">
        <v>1603</v>
      </c>
      <c r="B77" s="20" t="s">
        <v>1825</v>
      </c>
      <c r="C77" s="20" t="s">
        <v>1825</v>
      </c>
      <c r="D77" s="94" t="s">
        <v>1530</v>
      </c>
      <c r="E77" s="20" t="s">
        <v>2055</v>
      </c>
      <c r="F77" s="20" t="s">
        <v>1847</v>
      </c>
      <c r="G77" s="31" t="s">
        <v>40</v>
      </c>
      <c r="H77" s="32">
        <v>1</v>
      </c>
      <c r="J77" s="32">
        <v>1</v>
      </c>
      <c r="O77" s="20">
        <v>0</v>
      </c>
      <c r="P77" s="20">
        <v>1</v>
      </c>
      <c r="Q77" s="20">
        <v>0</v>
      </c>
      <c r="R77" s="20">
        <v>0</v>
      </c>
      <c r="X77" s="20">
        <v>1</v>
      </c>
      <c r="Z77" s="20" t="s">
        <v>78</v>
      </c>
      <c r="AA77" s="20" t="s">
        <v>1860</v>
      </c>
      <c r="AB77" s="31">
        <f>VLOOKUP(AA77,Masters!$K$2:$L$183,2,FALSE)</f>
        <v>1002</v>
      </c>
      <c r="AC77" s="20" t="s">
        <v>2063</v>
      </c>
      <c r="AD77" s="20" t="s">
        <v>2060</v>
      </c>
      <c r="AE77" s="20">
        <v>24</v>
      </c>
      <c r="AF77" s="20">
        <v>12</v>
      </c>
      <c r="AG77" s="20">
        <v>2003</v>
      </c>
      <c r="AH77" s="21">
        <v>37979</v>
      </c>
    </row>
    <row r="78" spans="1:34" x14ac:dyDescent="0.25">
      <c r="A78" s="35">
        <v>1608</v>
      </c>
      <c r="B78" s="20" t="s">
        <v>1825</v>
      </c>
      <c r="C78" s="20" t="s">
        <v>1825</v>
      </c>
      <c r="D78" s="94" t="s">
        <v>1535</v>
      </c>
      <c r="E78" s="20" t="s">
        <v>133</v>
      </c>
      <c r="F78" s="20" t="s">
        <v>1846</v>
      </c>
      <c r="G78" s="31" t="s">
        <v>40</v>
      </c>
      <c r="H78" s="32">
        <v>1</v>
      </c>
      <c r="J78" s="32">
        <v>1</v>
      </c>
      <c r="O78" s="20">
        <v>0</v>
      </c>
      <c r="P78" s="20">
        <v>1</v>
      </c>
      <c r="Q78" s="20">
        <v>0</v>
      </c>
      <c r="R78" s="20">
        <v>0</v>
      </c>
      <c r="X78" s="20">
        <v>1</v>
      </c>
      <c r="Z78" s="20" t="s">
        <v>201</v>
      </c>
      <c r="AA78" s="20" t="s">
        <v>1860</v>
      </c>
      <c r="AB78" s="31">
        <f>VLOOKUP(AA78,Masters!$K$2:$L$183,2,FALSE)</f>
        <v>1002</v>
      </c>
      <c r="AC78" s="20" t="s">
        <v>2063</v>
      </c>
      <c r="AD78" s="20" t="s">
        <v>2060</v>
      </c>
      <c r="AE78" s="20">
        <v>30</v>
      </c>
      <c r="AF78" s="20">
        <v>6</v>
      </c>
      <c r="AG78" s="20">
        <v>2003</v>
      </c>
      <c r="AH78" s="21">
        <v>37802</v>
      </c>
    </row>
    <row r="79" spans="1:34" x14ac:dyDescent="0.25">
      <c r="A79" s="35">
        <v>1612</v>
      </c>
      <c r="B79" s="20" t="s">
        <v>1825</v>
      </c>
      <c r="C79" s="20" t="s">
        <v>1825</v>
      </c>
      <c r="D79" s="94" t="s">
        <v>1539</v>
      </c>
      <c r="E79" s="20" t="s">
        <v>126</v>
      </c>
      <c r="F79" s="20" t="s">
        <v>1843</v>
      </c>
      <c r="G79" s="31" t="s">
        <v>40</v>
      </c>
      <c r="H79" s="32">
        <v>1</v>
      </c>
      <c r="J79" s="32">
        <v>1</v>
      </c>
      <c r="O79" s="20">
        <v>0</v>
      </c>
      <c r="P79" s="20">
        <v>1</v>
      </c>
      <c r="Q79" s="20">
        <v>0</v>
      </c>
      <c r="R79" s="20">
        <v>0</v>
      </c>
      <c r="X79" s="20">
        <v>1</v>
      </c>
      <c r="Z79" s="20" t="s">
        <v>1855</v>
      </c>
      <c r="AA79" s="20" t="s">
        <v>1859</v>
      </c>
      <c r="AB79" s="31">
        <f>VLOOKUP(AA79,Masters!$K$2:$L$183,2,FALSE)</f>
        <v>1001</v>
      </c>
      <c r="AC79" s="20" t="s">
        <v>2063</v>
      </c>
      <c r="AD79" s="20" t="s">
        <v>2060</v>
      </c>
      <c r="AE79" s="20">
        <v>6</v>
      </c>
      <c r="AF79" s="20">
        <v>8</v>
      </c>
      <c r="AG79" s="20">
        <v>2002</v>
      </c>
      <c r="AH79" s="21">
        <v>37474</v>
      </c>
    </row>
    <row r="80" spans="1:34" x14ac:dyDescent="0.25">
      <c r="A80" s="35">
        <v>1627</v>
      </c>
      <c r="B80" s="20" t="s">
        <v>1825</v>
      </c>
      <c r="C80" s="20" t="s">
        <v>1825</v>
      </c>
      <c r="D80" s="94" t="s">
        <v>1554</v>
      </c>
      <c r="E80" s="20" t="s">
        <v>2057</v>
      </c>
      <c r="F80" s="20" t="s">
        <v>1845</v>
      </c>
      <c r="G80" s="31" t="s">
        <v>40</v>
      </c>
      <c r="H80" s="32">
        <v>1</v>
      </c>
      <c r="J80" s="32">
        <v>1</v>
      </c>
      <c r="O80" s="20">
        <v>0</v>
      </c>
      <c r="P80" s="20">
        <v>1</v>
      </c>
      <c r="Q80" s="20">
        <v>0</v>
      </c>
      <c r="R80" s="20">
        <v>0</v>
      </c>
      <c r="X80" s="20">
        <v>1</v>
      </c>
      <c r="Z80" s="20" t="s">
        <v>34</v>
      </c>
      <c r="AA80" s="20" t="s">
        <v>1861</v>
      </c>
      <c r="AB80" s="31">
        <f>VLOOKUP(AA80,Masters!$K$2:$L$183,2,FALSE)</f>
        <v>1003</v>
      </c>
      <c r="AC80" s="20" t="s">
        <v>2063</v>
      </c>
      <c r="AD80" s="20" t="s">
        <v>2061</v>
      </c>
      <c r="AE80" s="20">
        <v>11</v>
      </c>
      <c r="AF80" s="20">
        <v>11</v>
      </c>
      <c r="AG80" s="20">
        <v>2001</v>
      </c>
      <c r="AH80" s="21">
        <v>37206</v>
      </c>
    </row>
    <row r="81" spans="1:34" x14ac:dyDescent="0.25">
      <c r="A81" s="35">
        <v>1632</v>
      </c>
      <c r="B81" s="20" t="s">
        <v>1825</v>
      </c>
      <c r="C81" s="20" t="s">
        <v>1825</v>
      </c>
      <c r="D81" s="94" t="s">
        <v>1559</v>
      </c>
      <c r="E81" s="20" t="s">
        <v>135</v>
      </c>
      <c r="F81" s="20" t="s">
        <v>1844</v>
      </c>
      <c r="G81" s="31" t="s">
        <v>40</v>
      </c>
      <c r="H81" s="32">
        <v>1</v>
      </c>
      <c r="J81" s="32">
        <v>1</v>
      </c>
      <c r="O81" s="20">
        <v>0</v>
      </c>
      <c r="P81" s="20">
        <v>1</v>
      </c>
      <c r="Q81" s="20">
        <v>0</v>
      </c>
      <c r="R81" s="20">
        <v>0</v>
      </c>
      <c r="X81" s="20">
        <v>1</v>
      </c>
      <c r="Z81" s="20" t="s">
        <v>58</v>
      </c>
      <c r="AA81" s="20" t="s">
        <v>1859</v>
      </c>
      <c r="AB81" s="31">
        <f>VLOOKUP(AA81,Masters!$K$2:$L$183,2,FALSE)</f>
        <v>1001</v>
      </c>
      <c r="AC81" s="20" t="s">
        <v>2063</v>
      </c>
      <c r="AD81" s="20" t="s">
        <v>2060</v>
      </c>
      <c r="AE81" s="20">
        <v>30</v>
      </c>
      <c r="AF81" s="20">
        <v>6</v>
      </c>
      <c r="AG81" s="20">
        <v>2002</v>
      </c>
      <c r="AH81" s="21">
        <v>37437</v>
      </c>
    </row>
    <row r="82" spans="1:34" x14ac:dyDescent="0.25">
      <c r="A82" s="35">
        <v>1647</v>
      </c>
      <c r="B82" s="20" t="s">
        <v>1825</v>
      </c>
      <c r="C82" s="20" t="s">
        <v>1825</v>
      </c>
      <c r="D82" s="94" t="s">
        <v>1574</v>
      </c>
      <c r="E82" s="20" t="s">
        <v>2051</v>
      </c>
      <c r="F82" s="20" t="s">
        <v>1845</v>
      </c>
      <c r="G82" s="31" t="s">
        <v>40</v>
      </c>
      <c r="H82" s="32">
        <v>1</v>
      </c>
      <c r="J82" s="32">
        <v>1</v>
      </c>
      <c r="O82" s="20">
        <v>0</v>
      </c>
      <c r="P82" s="20">
        <v>1</v>
      </c>
      <c r="Q82" s="20">
        <v>0</v>
      </c>
      <c r="R82" s="20">
        <v>0</v>
      </c>
      <c r="X82" s="20">
        <v>1</v>
      </c>
      <c r="Z82" s="20" t="s">
        <v>1852</v>
      </c>
      <c r="AA82" s="20" t="s">
        <v>1862</v>
      </c>
      <c r="AB82" s="31">
        <f>VLOOKUP(AA82,Masters!$K$2:$L$183,2,FALSE)</f>
        <v>1004</v>
      </c>
      <c r="AC82" s="20" t="s">
        <v>2063</v>
      </c>
      <c r="AD82" s="20" t="s">
        <v>2060</v>
      </c>
      <c r="AE82" s="20">
        <v>29</v>
      </c>
      <c r="AF82" s="20">
        <v>4</v>
      </c>
      <c r="AG82" s="20">
        <v>2005</v>
      </c>
      <c r="AH82" s="21">
        <v>38471</v>
      </c>
    </row>
    <row r="83" spans="1:34" x14ac:dyDescent="0.25">
      <c r="A83" s="35">
        <v>1673</v>
      </c>
      <c r="B83" s="20" t="s">
        <v>1825</v>
      </c>
      <c r="C83" s="20" t="s">
        <v>1825</v>
      </c>
      <c r="D83" s="94" t="s">
        <v>1600</v>
      </c>
      <c r="E83" s="20" t="s">
        <v>2050</v>
      </c>
      <c r="F83" s="20" t="s">
        <v>1843</v>
      </c>
      <c r="G83" s="31" t="s">
        <v>40</v>
      </c>
      <c r="H83" s="32">
        <v>1</v>
      </c>
      <c r="J83" s="32">
        <v>1</v>
      </c>
      <c r="O83" s="20">
        <v>0</v>
      </c>
      <c r="P83" s="20">
        <v>1</v>
      </c>
      <c r="Q83" s="20">
        <v>0</v>
      </c>
      <c r="R83" s="20">
        <v>0</v>
      </c>
      <c r="X83" s="20">
        <v>1</v>
      </c>
      <c r="Z83" s="20" t="s">
        <v>1849</v>
      </c>
      <c r="AA83" s="20" t="s">
        <v>1863</v>
      </c>
      <c r="AB83" s="31">
        <f>VLOOKUP(AA83,Masters!$K$2:$L$183,2,FALSE)</f>
        <v>1005</v>
      </c>
      <c r="AC83" s="20" t="s">
        <v>2063</v>
      </c>
      <c r="AD83" s="20" t="s">
        <v>2060</v>
      </c>
      <c r="AE83" s="20">
        <v>7</v>
      </c>
      <c r="AF83" s="20">
        <v>10</v>
      </c>
      <c r="AG83" s="20">
        <v>2001</v>
      </c>
      <c r="AH83" s="21">
        <v>37171</v>
      </c>
    </row>
    <row r="84" spans="1:34" x14ac:dyDescent="0.25">
      <c r="A84" s="35">
        <v>1678</v>
      </c>
      <c r="B84" s="20" t="s">
        <v>1825</v>
      </c>
      <c r="C84" s="20" t="s">
        <v>1825</v>
      </c>
      <c r="D84" s="94" t="s">
        <v>1605</v>
      </c>
      <c r="E84" s="20" t="s">
        <v>2056</v>
      </c>
      <c r="F84" s="20" t="s">
        <v>1844</v>
      </c>
      <c r="G84" s="31" t="s">
        <v>40</v>
      </c>
      <c r="H84" s="32">
        <v>1</v>
      </c>
      <c r="J84" s="32">
        <v>1</v>
      </c>
      <c r="O84" s="20">
        <v>0</v>
      </c>
      <c r="P84" s="20">
        <v>1</v>
      </c>
      <c r="Q84" s="20">
        <v>0</v>
      </c>
      <c r="R84" s="20">
        <v>0</v>
      </c>
      <c r="X84" s="20">
        <v>1</v>
      </c>
      <c r="Z84" s="20" t="s">
        <v>78</v>
      </c>
      <c r="AA84" s="20" t="s">
        <v>1863</v>
      </c>
      <c r="AB84" s="31">
        <f>VLOOKUP(AA84,Masters!$K$2:$L$183,2,FALSE)</f>
        <v>1005</v>
      </c>
      <c r="AC84" s="20" t="s">
        <v>2063</v>
      </c>
      <c r="AD84" s="20" t="s">
        <v>2060</v>
      </c>
      <c r="AE84" s="20">
        <v>27</v>
      </c>
      <c r="AF84" s="20">
        <v>3</v>
      </c>
      <c r="AG84" s="20">
        <v>2001</v>
      </c>
      <c r="AH84" s="21">
        <v>36977</v>
      </c>
    </row>
    <row r="85" spans="1:34" x14ac:dyDescent="0.25">
      <c r="A85" s="35">
        <v>1689</v>
      </c>
      <c r="B85" s="20" t="s">
        <v>1825</v>
      </c>
      <c r="C85" s="20" t="s">
        <v>1825</v>
      </c>
      <c r="D85" s="94" t="s">
        <v>1616</v>
      </c>
      <c r="E85" s="20" t="s">
        <v>2057</v>
      </c>
      <c r="F85" s="20" t="s">
        <v>1843</v>
      </c>
      <c r="G85" s="31" t="s">
        <v>40</v>
      </c>
      <c r="H85" s="32">
        <v>1</v>
      </c>
      <c r="J85" s="32">
        <v>1</v>
      </c>
      <c r="O85" s="20">
        <v>0</v>
      </c>
      <c r="P85" s="20">
        <v>1</v>
      </c>
      <c r="Q85" s="20">
        <v>0</v>
      </c>
      <c r="R85" s="20">
        <v>0</v>
      </c>
      <c r="X85" s="20">
        <v>1</v>
      </c>
      <c r="Z85" s="20" t="s">
        <v>1848</v>
      </c>
      <c r="AA85" s="20" t="s">
        <v>1859</v>
      </c>
      <c r="AB85" s="31">
        <f>VLOOKUP(AA85,Masters!$K$2:$L$183,2,FALSE)</f>
        <v>1001</v>
      </c>
      <c r="AC85" s="20" t="s">
        <v>2063</v>
      </c>
      <c r="AD85" s="20" t="s">
        <v>2060</v>
      </c>
      <c r="AE85" s="20">
        <v>19</v>
      </c>
      <c r="AF85" s="20">
        <v>12</v>
      </c>
      <c r="AG85" s="20">
        <v>2004</v>
      </c>
      <c r="AH85" s="21">
        <v>38340</v>
      </c>
    </row>
    <row r="86" spans="1:34" x14ac:dyDescent="0.25">
      <c r="A86" s="35">
        <v>1703</v>
      </c>
      <c r="B86" s="20" t="s">
        <v>1825</v>
      </c>
      <c r="C86" s="20" t="s">
        <v>1825</v>
      </c>
      <c r="D86" s="94" t="s">
        <v>1630</v>
      </c>
      <c r="E86" s="20" t="s">
        <v>2051</v>
      </c>
      <c r="F86" s="20" t="s">
        <v>1845</v>
      </c>
      <c r="G86" s="31" t="s">
        <v>40</v>
      </c>
      <c r="H86" s="32">
        <v>1</v>
      </c>
      <c r="J86" s="32">
        <v>1</v>
      </c>
      <c r="O86" s="20">
        <v>0</v>
      </c>
      <c r="P86" s="20">
        <v>1</v>
      </c>
      <c r="Q86" s="20">
        <v>0</v>
      </c>
      <c r="R86" s="20">
        <v>0</v>
      </c>
      <c r="X86" s="20">
        <v>1</v>
      </c>
      <c r="Z86" s="20" t="s">
        <v>1856</v>
      </c>
      <c r="AA86" s="20" t="s">
        <v>1862</v>
      </c>
      <c r="AB86" s="31">
        <f>VLOOKUP(AA86,Masters!$K$2:$L$183,2,FALSE)</f>
        <v>1004</v>
      </c>
      <c r="AC86" s="20" t="s">
        <v>2063</v>
      </c>
      <c r="AD86" s="20" t="s">
        <v>2060</v>
      </c>
      <c r="AE86" s="20">
        <v>6</v>
      </c>
      <c r="AF86" s="20">
        <v>6</v>
      </c>
      <c r="AG86" s="20">
        <v>2005</v>
      </c>
      <c r="AH86" s="21">
        <v>38509</v>
      </c>
    </row>
    <row r="87" spans="1:34" x14ac:dyDescent="0.25">
      <c r="A87" s="35">
        <v>1712</v>
      </c>
      <c r="B87" s="20" t="s">
        <v>1825</v>
      </c>
      <c r="C87" s="20" t="s">
        <v>1825</v>
      </c>
      <c r="D87" s="94" t="s">
        <v>1639</v>
      </c>
      <c r="E87" s="20" t="s">
        <v>2055</v>
      </c>
      <c r="F87" s="20" t="s">
        <v>1847</v>
      </c>
      <c r="G87" s="31" t="s">
        <v>40</v>
      </c>
      <c r="H87" s="32">
        <v>1</v>
      </c>
      <c r="J87" s="32">
        <v>1</v>
      </c>
      <c r="O87" s="20">
        <v>0</v>
      </c>
      <c r="P87" s="20">
        <v>1</v>
      </c>
      <c r="Q87" s="20">
        <v>0</v>
      </c>
      <c r="R87" s="20">
        <v>0</v>
      </c>
      <c r="X87" s="20">
        <v>1</v>
      </c>
      <c r="Z87" s="20" t="s">
        <v>100</v>
      </c>
      <c r="AA87" s="20" t="s">
        <v>1863</v>
      </c>
      <c r="AB87" s="31">
        <f>VLOOKUP(AA87,Masters!$K$2:$L$183,2,FALSE)</f>
        <v>1005</v>
      </c>
      <c r="AC87" s="20" t="s">
        <v>2064</v>
      </c>
      <c r="AD87" s="20" t="s">
        <v>2061</v>
      </c>
      <c r="AE87" s="20">
        <v>25</v>
      </c>
      <c r="AF87" s="20">
        <v>4</v>
      </c>
      <c r="AG87" s="20">
        <v>2005</v>
      </c>
      <c r="AH87" s="21">
        <v>38467</v>
      </c>
    </row>
    <row r="88" spans="1:34" x14ac:dyDescent="0.25">
      <c r="A88" s="35">
        <v>1723</v>
      </c>
      <c r="B88" s="20" t="s">
        <v>1825</v>
      </c>
      <c r="C88" s="20" t="s">
        <v>1825</v>
      </c>
      <c r="D88" s="94" t="s">
        <v>1650</v>
      </c>
      <c r="E88" s="20" t="s">
        <v>135</v>
      </c>
      <c r="F88" s="20" t="s">
        <v>1845</v>
      </c>
      <c r="G88" s="31" t="s">
        <v>40</v>
      </c>
      <c r="H88" s="32">
        <v>1</v>
      </c>
      <c r="J88" s="32">
        <v>1</v>
      </c>
      <c r="O88" s="20">
        <v>0</v>
      </c>
      <c r="P88" s="20">
        <v>1</v>
      </c>
      <c r="Q88" s="20">
        <v>0</v>
      </c>
      <c r="R88" s="20">
        <v>0</v>
      </c>
      <c r="X88" s="20">
        <v>1</v>
      </c>
      <c r="Z88" s="20" t="s">
        <v>1853</v>
      </c>
      <c r="AA88" s="20" t="s">
        <v>1862</v>
      </c>
      <c r="AB88" s="31">
        <f>VLOOKUP(AA88,Masters!$K$2:$L$183,2,FALSE)</f>
        <v>1004</v>
      </c>
      <c r="AC88" s="20" t="s">
        <v>2063</v>
      </c>
      <c r="AD88" s="20" t="s">
        <v>2060</v>
      </c>
      <c r="AE88" s="20">
        <v>21</v>
      </c>
      <c r="AF88" s="20">
        <v>6</v>
      </c>
      <c r="AG88" s="20">
        <v>2001</v>
      </c>
      <c r="AH88" s="21">
        <v>37063</v>
      </c>
    </row>
    <row r="89" spans="1:34" x14ac:dyDescent="0.25">
      <c r="A89" s="35">
        <v>1749</v>
      </c>
      <c r="B89" s="20" t="s">
        <v>1825</v>
      </c>
      <c r="C89" s="20" t="s">
        <v>1825</v>
      </c>
      <c r="D89" s="94" t="s">
        <v>1676</v>
      </c>
      <c r="E89" s="20" t="s">
        <v>2053</v>
      </c>
      <c r="F89" s="20" t="s">
        <v>1847</v>
      </c>
      <c r="G89" s="31" t="s">
        <v>40</v>
      </c>
      <c r="H89" s="32">
        <v>1</v>
      </c>
      <c r="J89" s="32">
        <v>1</v>
      </c>
      <c r="O89" s="20">
        <v>0</v>
      </c>
      <c r="P89" s="20">
        <v>1</v>
      </c>
      <c r="Q89" s="20">
        <v>0</v>
      </c>
      <c r="R89" s="20">
        <v>0</v>
      </c>
      <c r="X89" s="20">
        <v>1</v>
      </c>
      <c r="Z89" s="20" t="s">
        <v>1856</v>
      </c>
      <c r="AA89" s="20" t="s">
        <v>1861</v>
      </c>
      <c r="AB89" s="31">
        <f>VLOOKUP(AA89,Masters!$K$2:$L$183,2,FALSE)</f>
        <v>1003</v>
      </c>
      <c r="AC89" s="20" t="s">
        <v>2063</v>
      </c>
      <c r="AD89" s="20" t="s">
        <v>2060</v>
      </c>
      <c r="AE89" s="20">
        <v>9</v>
      </c>
      <c r="AF89" s="20">
        <v>8</v>
      </c>
      <c r="AG89" s="20">
        <v>2001</v>
      </c>
      <c r="AH89" s="21">
        <v>37112</v>
      </c>
    </row>
    <row r="90" spans="1:34" x14ac:dyDescent="0.25">
      <c r="A90" s="35">
        <v>1752</v>
      </c>
      <c r="B90" s="20" t="s">
        <v>1825</v>
      </c>
      <c r="C90" s="20" t="s">
        <v>1825</v>
      </c>
      <c r="D90" s="94" t="s">
        <v>1679</v>
      </c>
      <c r="E90" s="20" t="s">
        <v>2053</v>
      </c>
      <c r="F90" s="20" t="s">
        <v>1843</v>
      </c>
      <c r="G90" s="31" t="s">
        <v>40</v>
      </c>
      <c r="H90" s="32">
        <v>1</v>
      </c>
      <c r="J90" s="32">
        <v>1</v>
      </c>
      <c r="O90" s="20">
        <v>0</v>
      </c>
      <c r="P90" s="20">
        <v>1</v>
      </c>
      <c r="Q90" s="20">
        <v>0</v>
      </c>
      <c r="R90" s="20">
        <v>0</v>
      </c>
      <c r="X90" s="20">
        <v>1</v>
      </c>
      <c r="Z90" s="20" t="s">
        <v>1851</v>
      </c>
      <c r="AA90" s="20" t="s">
        <v>1862</v>
      </c>
      <c r="AB90" s="31">
        <f>VLOOKUP(AA90,Masters!$K$2:$L$183,2,FALSE)</f>
        <v>1004</v>
      </c>
      <c r="AC90" s="20" t="s">
        <v>2063</v>
      </c>
      <c r="AD90" s="20" t="s">
        <v>2060</v>
      </c>
      <c r="AE90" s="20">
        <v>16</v>
      </c>
      <c r="AF90" s="20">
        <v>7</v>
      </c>
      <c r="AG90" s="20">
        <v>2005</v>
      </c>
      <c r="AH90" s="21">
        <v>38549</v>
      </c>
    </row>
    <row r="91" spans="1:34" x14ac:dyDescent="0.25">
      <c r="A91" s="35">
        <v>1755</v>
      </c>
      <c r="B91" s="20" t="s">
        <v>1825</v>
      </c>
      <c r="C91" s="20" t="s">
        <v>1825</v>
      </c>
      <c r="D91" s="94" t="s">
        <v>1682</v>
      </c>
      <c r="E91" s="20" t="s">
        <v>2057</v>
      </c>
      <c r="F91" s="20" t="s">
        <v>1845</v>
      </c>
      <c r="G91" s="31" t="s">
        <v>40</v>
      </c>
      <c r="H91" s="32">
        <v>1</v>
      </c>
      <c r="J91" s="32">
        <v>1</v>
      </c>
      <c r="O91" s="20">
        <v>0</v>
      </c>
      <c r="P91" s="20">
        <v>1</v>
      </c>
      <c r="Q91" s="20">
        <v>0</v>
      </c>
      <c r="R91" s="20">
        <v>0</v>
      </c>
      <c r="T91" s="20" t="s">
        <v>36</v>
      </c>
      <c r="X91" s="20">
        <v>1</v>
      </c>
      <c r="Z91" s="20" t="s">
        <v>1856</v>
      </c>
      <c r="AA91" s="20" t="s">
        <v>1863</v>
      </c>
      <c r="AB91" s="31">
        <f>VLOOKUP(AA91,Masters!$K$2:$L$183,2,FALSE)</f>
        <v>1005</v>
      </c>
      <c r="AC91" s="20" t="s">
        <v>2063</v>
      </c>
      <c r="AD91" s="20" t="s">
        <v>2060</v>
      </c>
      <c r="AE91" s="20">
        <v>24</v>
      </c>
      <c r="AF91" s="20">
        <v>11</v>
      </c>
      <c r="AG91" s="20">
        <v>2004</v>
      </c>
      <c r="AH91" s="21">
        <v>38315</v>
      </c>
    </row>
    <row r="92" spans="1:34" x14ac:dyDescent="0.25">
      <c r="A92" s="35">
        <v>1759</v>
      </c>
      <c r="B92" s="20" t="s">
        <v>1825</v>
      </c>
      <c r="C92" s="20" t="s">
        <v>1825</v>
      </c>
      <c r="D92" s="94" t="s">
        <v>1686</v>
      </c>
      <c r="E92" s="20" t="s">
        <v>2057</v>
      </c>
      <c r="F92" s="20" t="s">
        <v>1846</v>
      </c>
      <c r="G92" s="31" t="s">
        <v>40</v>
      </c>
      <c r="H92" s="32">
        <v>1</v>
      </c>
      <c r="J92" s="32">
        <v>1</v>
      </c>
      <c r="O92" s="20">
        <v>0</v>
      </c>
      <c r="P92" s="20">
        <v>1</v>
      </c>
      <c r="Q92" s="20">
        <v>0</v>
      </c>
      <c r="R92" s="20">
        <v>0</v>
      </c>
      <c r="X92" s="20">
        <v>1</v>
      </c>
      <c r="Z92" s="20" t="s">
        <v>1858</v>
      </c>
      <c r="AA92" s="20" t="s">
        <v>1859</v>
      </c>
      <c r="AB92" s="31">
        <f>VLOOKUP(AA92,Masters!$K$2:$L$183,2,FALSE)</f>
        <v>1001</v>
      </c>
      <c r="AC92" s="20" t="s">
        <v>2063</v>
      </c>
      <c r="AD92" s="20" t="s">
        <v>2060</v>
      </c>
      <c r="AE92" s="20">
        <v>14</v>
      </c>
      <c r="AF92" s="20">
        <v>12</v>
      </c>
      <c r="AG92" s="20">
        <v>2000</v>
      </c>
      <c r="AH92" s="21">
        <v>36874</v>
      </c>
    </row>
    <row r="93" spans="1:34" x14ac:dyDescent="0.25">
      <c r="A93" s="35">
        <v>1769</v>
      </c>
      <c r="B93" s="20" t="s">
        <v>1825</v>
      </c>
      <c r="C93" s="20" t="s">
        <v>1825</v>
      </c>
      <c r="D93" s="94" t="s">
        <v>1696</v>
      </c>
      <c r="E93" s="20" t="s">
        <v>2050</v>
      </c>
      <c r="F93" s="20" t="s">
        <v>1846</v>
      </c>
      <c r="G93" s="31" t="s">
        <v>40</v>
      </c>
      <c r="H93" s="32">
        <v>1</v>
      </c>
      <c r="J93" s="32">
        <v>1</v>
      </c>
      <c r="O93" s="20">
        <v>0</v>
      </c>
      <c r="P93" s="20">
        <v>1</v>
      </c>
      <c r="Q93" s="20">
        <v>0</v>
      </c>
      <c r="R93" s="20">
        <v>0</v>
      </c>
      <c r="X93" s="20">
        <v>1</v>
      </c>
      <c r="Z93" s="20" t="s">
        <v>58</v>
      </c>
      <c r="AA93" s="20" t="s">
        <v>1859</v>
      </c>
      <c r="AB93" s="31">
        <f>VLOOKUP(AA93,Masters!$K$2:$L$183,2,FALSE)</f>
        <v>1001</v>
      </c>
      <c r="AC93" s="20" t="s">
        <v>2063</v>
      </c>
      <c r="AD93" s="20" t="s">
        <v>2060</v>
      </c>
      <c r="AE93" s="20">
        <v>22</v>
      </c>
      <c r="AF93" s="20">
        <v>2</v>
      </c>
      <c r="AG93" s="20">
        <v>2002</v>
      </c>
      <c r="AH93" s="21">
        <v>37309</v>
      </c>
    </row>
    <row r="94" spans="1:34" x14ac:dyDescent="0.25">
      <c r="A94" s="35">
        <v>1812</v>
      </c>
      <c r="B94" s="20" t="s">
        <v>1825</v>
      </c>
      <c r="C94" s="20" t="s">
        <v>1825</v>
      </c>
      <c r="D94" s="94" t="s">
        <v>1739</v>
      </c>
      <c r="E94" s="20" t="s">
        <v>126</v>
      </c>
      <c r="F94" s="20" t="s">
        <v>1846</v>
      </c>
      <c r="G94" s="31" t="s">
        <v>40</v>
      </c>
      <c r="H94" s="32">
        <v>1</v>
      </c>
      <c r="J94" s="32">
        <v>1</v>
      </c>
      <c r="O94" s="20">
        <v>0</v>
      </c>
      <c r="P94" s="20">
        <v>1</v>
      </c>
      <c r="Q94" s="20">
        <v>0</v>
      </c>
      <c r="R94" s="20">
        <v>0</v>
      </c>
      <c r="X94" s="20">
        <v>1</v>
      </c>
      <c r="Z94" s="20" t="s">
        <v>1835</v>
      </c>
      <c r="AA94" s="20" t="s">
        <v>1861</v>
      </c>
      <c r="AB94" s="31">
        <f>VLOOKUP(AA94,Masters!$K$2:$L$183,2,FALSE)</f>
        <v>1003</v>
      </c>
      <c r="AC94" s="20" t="s">
        <v>2064</v>
      </c>
      <c r="AD94" s="20" t="s">
        <v>2061</v>
      </c>
      <c r="AE94" s="20">
        <v>16</v>
      </c>
      <c r="AF94" s="20">
        <v>5</v>
      </c>
      <c r="AG94" s="20">
        <v>2005</v>
      </c>
      <c r="AH94" s="21">
        <v>38488</v>
      </c>
    </row>
    <row r="95" spans="1:34" x14ac:dyDescent="0.25">
      <c r="A95" s="35">
        <v>1817</v>
      </c>
      <c r="B95" s="20" t="s">
        <v>1825</v>
      </c>
      <c r="C95" s="20" t="s">
        <v>1825</v>
      </c>
      <c r="D95" s="94" t="s">
        <v>1744</v>
      </c>
      <c r="E95" s="20" t="s">
        <v>2053</v>
      </c>
      <c r="F95" s="20" t="s">
        <v>1846</v>
      </c>
      <c r="G95" s="31" t="s">
        <v>40</v>
      </c>
      <c r="H95" s="32">
        <v>1</v>
      </c>
      <c r="J95" s="32">
        <v>1</v>
      </c>
      <c r="O95" s="20">
        <v>0</v>
      </c>
      <c r="P95" s="20">
        <v>1</v>
      </c>
      <c r="Q95" s="20">
        <v>0</v>
      </c>
      <c r="R95" s="20">
        <v>0</v>
      </c>
      <c r="X95" s="20">
        <v>1</v>
      </c>
      <c r="Z95" s="20" t="s">
        <v>1851</v>
      </c>
      <c r="AA95" s="20" t="s">
        <v>1859</v>
      </c>
      <c r="AB95" s="31">
        <f>VLOOKUP(AA95,Masters!$K$2:$L$183,2,FALSE)</f>
        <v>1001</v>
      </c>
      <c r="AC95" s="20" t="s">
        <v>2063</v>
      </c>
      <c r="AD95" s="20" t="s">
        <v>2060</v>
      </c>
      <c r="AE95" s="20">
        <v>8</v>
      </c>
      <c r="AF95" s="20">
        <v>5</v>
      </c>
      <c r="AG95" s="20">
        <v>2000</v>
      </c>
      <c r="AH95" s="21">
        <v>36654</v>
      </c>
    </row>
    <row r="96" spans="1:34" x14ac:dyDescent="0.25">
      <c r="A96" s="35">
        <v>1818</v>
      </c>
      <c r="B96" s="20" t="s">
        <v>1825</v>
      </c>
      <c r="C96" s="20" t="s">
        <v>1825</v>
      </c>
      <c r="D96" s="94" t="s">
        <v>1745</v>
      </c>
      <c r="E96" s="20" t="s">
        <v>133</v>
      </c>
      <c r="F96" s="20" t="s">
        <v>1847</v>
      </c>
      <c r="G96" s="31" t="s">
        <v>40</v>
      </c>
      <c r="H96" s="32">
        <v>1</v>
      </c>
      <c r="J96" s="32">
        <v>1</v>
      </c>
      <c r="O96" s="20">
        <v>0</v>
      </c>
      <c r="P96" s="20">
        <v>1</v>
      </c>
      <c r="Q96" s="20">
        <v>0</v>
      </c>
      <c r="R96" s="20">
        <v>0</v>
      </c>
      <c r="X96" s="20">
        <v>1</v>
      </c>
      <c r="Z96" s="20" t="s">
        <v>34</v>
      </c>
      <c r="AA96" s="20" t="s">
        <v>1860</v>
      </c>
      <c r="AB96" s="31">
        <f>VLOOKUP(AA96,Masters!$K$2:$L$183,2,FALSE)</f>
        <v>1002</v>
      </c>
      <c r="AC96" s="20" t="s">
        <v>2064</v>
      </c>
      <c r="AD96" s="20" t="s">
        <v>2061</v>
      </c>
      <c r="AE96" s="20">
        <v>19</v>
      </c>
      <c r="AF96" s="20">
        <v>11</v>
      </c>
      <c r="AG96" s="20">
        <v>2001</v>
      </c>
      <c r="AH96" s="21">
        <v>37214</v>
      </c>
    </row>
    <row r="97" spans="1:34" x14ac:dyDescent="0.25">
      <c r="A97" s="35">
        <v>1827</v>
      </c>
      <c r="B97" s="20" t="s">
        <v>1825</v>
      </c>
      <c r="C97" s="20" t="s">
        <v>1825</v>
      </c>
      <c r="D97" s="94" t="s">
        <v>1754</v>
      </c>
      <c r="E97" s="20" t="s">
        <v>2056</v>
      </c>
      <c r="F97" s="20" t="s">
        <v>1846</v>
      </c>
      <c r="G97" s="31" t="s">
        <v>40</v>
      </c>
      <c r="H97" s="32">
        <v>1</v>
      </c>
      <c r="J97" s="32">
        <v>1</v>
      </c>
      <c r="O97" s="20">
        <v>0</v>
      </c>
      <c r="P97" s="20">
        <v>1</v>
      </c>
      <c r="Q97" s="20">
        <v>0</v>
      </c>
      <c r="R97" s="20">
        <v>0</v>
      </c>
      <c r="X97" s="20">
        <v>1</v>
      </c>
      <c r="Z97" s="20" t="s">
        <v>753</v>
      </c>
      <c r="AA97" s="20" t="s">
        <v>1862</v>
      </c>
      <c r="AB97" s="31">
        <f>VLOOKUP(AA97,Masters!$K$2:$L$183,2,FALSE)</f>
        <v>1004</v>
      </c>
      <c r="AC97" s="20" t="s">
        <v>2063</v>
      </c>
      <c r="AD97" s="20" t="s">
        <v>2060</v>
      </c>
      <c r="AE97" s="20">
        <v>11</v>
      </c>
      <c r="AF97" s="20">
        <v>10</v>
      </c>
      <c r="AG97" s="20">
        <v>2004</v>
      </c>
      <c r="AH97" s="21">
        <v>38271</v>
      </c>
    </row>
    <row r="98" spans="1:34" x14ac:dyDescent="0.25">
      <c r="A98" s="35">
        <v>1828</v>
      </c>
      <c r="B98" s="20" t="s">
        <v>1825</v>
      </c>
      <c r="C98" s="20" t="s">
        <v>1825</v>
      </c>
      <c r="D98" s="94" t="s">
        <v>1755</v>
      </c>
      <c r="E98" s="20" t="s">
        <v>126</v>
      </c>
      <c r="F98" s="20" t="s">
        <v>1844</v>
      </c>
      <c r="G98" s="31" t="s">
        <v>40</v>
      </c>
      <c r="H98" s="32">
        <v>1</v>
      </c>
      <c r="J98" s="32">
        <v>1</v>
      </c>
      <c r="O98" s="20">
        <v>0</v>
      </c>
      <c r="P98" s="20">
        <v>1</v>
      </c>
      <c r="Q98" s="20">
        <v>0</v>
      </c>
      <c r="R98" s="20">
        <v>0</v>
      </c>
      <c r="X98" s="20">
        <v>1</v>
      </c>
      <c r="Z98" s="20" t="s">
        <v>34</v>
      </c>
      <c r="AA98" s="20" t="s">
        <v>1863</v>
      </c>
      <c r="AB98" s="31">
        <f>VLOOKUP(AA98,Masters!$K$2:$L$183,2,FALSE)</f>
        <v>1005</v>
      </c>
      <c r="AC98" s="20" t="s">
        <v>2063</v>
      </c>
      <c r="AD98" s="20" t="s">
        <v>2060</v>
      </c>
      <c r="AE98" s="20">
        <v>7</v>
      </c>
      <c r="AF98" s="20">
        <v>9</v>
      </c>
      <c r="AG98" s="20">
        <v>2004</v>
      </c>
      <c r="AH98" s="21">
        <v>38237</v>
      </c>
    </row>
    <row r="99" spans="1:34" x14ac:dyDescent="0.25">
      <c r="A99" s="35">
        <v>1863</v>
      </c>
      <c r="B99" s="20" t="s">
        <v>1825</v>
      </c>
      <c r="C99" s="20" t="s">
        <v>1825</v>
      </c>
      <c r="D99" s="94" t="s">
        <v>1790</v>
      </c>
      <c r="E99" s="20" t="s">
        <v>2050</v>
      </c>
      <c r="F99" s="20" t="s">
        <v>1845</v>
      </c>
      <c r="G99" s="31" t="s">
        <v>40</v>
      </c>
      <c r="H99" s="32">
        <v>1</v>
      </c>
      <c r="J99" s="32">
        <v>1</v>
      </c>
      <c r="O99" s="20">
        <v>0</v>
      </c>
      <c r="P99" s="20">
        <v>1</v>
      </c>
      <c r="Q99" s="20">
        <v>0</v>
      </c>
      <c r="R99" s="20">
        <v>0</v>
      </c>
      <c r="T99" s="20" t="s">
        <v>170</v>
      </c>
      <c r="X99" s="20">
        <v>1</v>
      </c>
      <c r="Z99" s="20" t="s">
        <v>1849</v>
      </c>
      <c r="AA99" s="20" t="s">
        <v>1863</v>
      </c>
      <c r="AB99" s="31">
        <f>VLOOKUP(AA99,Masters!$K$2:$L$183,2,FALSE)</f>
        <v>1005</v>
      </c>
      <c r="AC99" s="20" t="s">
        <v>2063</v>
      </c>
      <c r="AD99" s="20" t="s">
        <v>2060</v>
      </c>
      <c r="AE99" s="20">
        <v>11</v>
      </c>
      <c r="AF99" s="20">
        <v>5</v>
      </c>
      <c r="AG99" s="20">
        <v>2001</v>
      </c>
      <c r="AH99" s="21">
        <v>37022</v>
      </c>
    </row>
    <row r="100" spans="1:34" x14ac:dyDescent="0.25">
      <c r="A100" s="35">
        <v>1890</v>
      </c>
      <c r="B100" s="20" t="s">
        <v>1825</v>
      </c>
      <c r="C100" s="20" t="s">
        <v>1825</v>
      </c>
      <c r="D100" s="94" t="s">
        <v>1817</v>
      </c>
      <c r="E100" s="20" t="s">
        <v>2058</v>
      </c>
      <c r="F100" s="20" t="s">
        <v>1846</v>
      </c>
      <c r="G100" s="31" t="s">
        <v>40</v>
      </c>
      <c r="H100" s="32">
        <v>1</v>
      </c>
      <c r="J100" s="32">
        <v>1</v>
      </c>
      <c r="O100" s="20">
        <v>0</v>
      </c>
      <c r="P100" s="20">
        <v>1</v>
      </c>
      <c r="Q100" s="20">
        <v>0</v>
      </c>
      <c r="R100" s="20">
        <v>0</v>
      </c>
      <c r="X100" s="20">
        <v>1</v>
      </c>
      <c r="Z100" s="20" t="s">
        <v>1848</v>
      </c>
      <c r="AA100" s="20" t="s">
        <v>1860</v>
      </c>
      <c r="AB100" s="31">
        <f>VLOOKUP(AA100,Masters!$K$2:$L$183,2,FALSE)</f>
        <v>1002</v>
      </c>
      <c r="AC100" s="20" t="s">
        <v>2064</v>
      </c>
      <c r="AD100" s="20" t="s">
        <v>2061</v>
      </c>
      <c r="AE100" s="20">
        <v>7</v>
      </c>
      <c r="AF100" s="20">
        <v>1</v>
      </c>
      <c r="AG100" s="20">
        <v>2004</v>
      </c>
      <c r="AH100" s="21">
        <v>37993</v>
      </c>
    </row>
    <row r="101" spans="1:34" x14ac:dyDescent="0.25">
      <c r="A101" s="35">
        <v>1892</v>
      </c>
      <c r="B101" s="20" t="s">
        <v>1825</v>
      </c>
      <c r="C101" s="20" t="s">
        <v>1825</v>
      </c>
      <c r="D101" s="94" t="s">
        <v>1819</v>
      </c>
      <c r="E101" s="20" t="s">
        <v>2051</v>
      </c>
      <c r="F101" s="20" t="s">
        <v>1846</v>
      </c>
      <c r="G101" s="31" t="s">
        <v>40</v>
      </c>
      <c r="H101" s="32">
        <v>1</v>
      </c>
      <c r="J101" s="32">
        <v>1</v>
      </c>
      <c r="O101" s="20">
        <v>0</v>
      </c>
      <c r="P101" s="20">
        <v>1</v>
      </c>
      <c r="Q101" s="20">
        <v>0</v>
      </c>
      <c r="R101" s="20">
        <v>0</v>
      </c>
      <c r="X101" s="20">
        <v>1</v>
      </c>
      <c r="Z101" s="20" t="s">
        <v>1857</v>
      </c>
      <c r="AA101" s="20" t="s">
        <v>1861</v>
      </c>
      <c r="AB101" s="31">
        <f>VLOOKUP(AA101,Masters!$K$2:$L$183,2,FALSE)</f>
        <v>1003</v>
      </c>
      <c r="AC101" s="20" t="s">
        <v>2064</v>
      </c>
      <c r="AD101" s="20" t="s">
        <v>2061</v>
      </c>
      <c r="AE101" s="20">
        <v>12</v>
      </c>
      <c r="AF101" s="20">
        <v>9</v>
      </c>
      <c r="AG101" s="20">
        <v>2004</v>
      </c>
      <c r="AH101" s="21">
        <v>38242</v>
      </c>
    </row>
    <row r="102" spans="1:34" x14ac:dyDescent="0.25">
      <c r="A102" s="35">
        <v>1898</v>
      </c>
      <c r="B102" s="20" t="s">
        <v>1825</v>
      </c>
      <c r="C102" s="20" t="s">
        <v>1825</v>
      </c>
      <c r="E102" s="20" t="s">
        <v>2052</v>
      </c>
      <c r="F102" s="20" t="s">
        <v>1846</v>
      </c>
      <c r="G102" s="31" t="s">
        <v>35</v>
      </c>
      <c r="H102" s="32" t="s">
        <v>263</v>
      </c>
      <c r="I102" s="208" t="s">
        <v>264</v>
      </c>
      <c r="J102" s="208">
        <v>1</v>
      </c>
      <c r="K102" s="208" t="s">
        <v>263</v>
      </c>
      <c r="L102" s="209" t="s">
        <v>263</v>
      </c>
      <c r="M102" s="208" t="s">
        <v>263</v>
      </c>
      <c r="N102" s="208" t="s">
        <v>263</v>
      </c>
      <c r="O102" s="210" t="s">
        <v>265</v>
      </c>
      <c r="P102" s="210" t="s">
        <v>265</v>
      </c>
      <c r="Q102" s="210" t="s">
        <v>264</v>
      </c>
      <c r="R102" s="210" t="s">
        <v>265</v>
      </c>
      <c r="S102" s="20" t="s">
        <v>263</v>
      </c>
      <c r="T102" s="20" t="s">
        <v>36</v>
      </c>
      <c r="U102" s="20" t="s">
        <v>263</v>
      </c>
      <c r="V102" s="20" t="s">
        <v>263</v>
      </c>
      <c r="X102" s="20" t="s">
        <v>264</v>
      </c>
      <c r="Y102" s="20" t="s">
        <v>263</v>
      </c>
      <c r="Z102" s="20" t="s">
        <v>753</v>
      </c>
      <c r="AA102" s="20" t="s">
        <v>1859</v>
      </c>
      <c r="AB102" s="31">
        <f>VLOOKUP(AA102,Masters!$K$2:$L$183,2,FALSE)</f>
        <v>1001</v>
      </c>
      <c r="AC102" s="20" t="s">
        <v>2063</v>
      </c>
      <c r="AD102" s="20" t="s">
        <v>263</v>
      </c>
      <c r="AE102" s="20">
        <v>7</v>
      </c>
      <c r="AF102" s="20">
        <v>9</v>
      </c>
      <c r="AG102" s="20">
        <v>2003</v>
      </c>
      <c r="AH102" s="21">
        <v>37871</v>
      </c>
    </row>
    <row r="103" spans="1:34" x14ac:dyDescent="0.25">
      <c r="A103" s="35">
        <v>1899</v>
      </c>
      <c r="B103" s="20" t="s">
        <v>1825</v>
      </c>
      <c r="C103" s="20" t="s">
        <v>1825</v>
      </c>
      <c r="E103" s="20" t="s">
        <v>2057</v>
      </c>
      <c r="F103" s="20" t="s">
        <v>1844</v>
      </c>
      <c r="G103" s="31" t="s">
        <v>35</v>
      </c>
      <c r="H103" s="32" t="s">
        <v>263</v>
      </c>
      <c r="I103" s="208" t="s">
        <v>264</v>
      </c>
      <c r="J103" s="208">
        <v>1</v>
      </c>
      <c r="K103" s="208" t="s">
        <v>263</v>
      </c>
      <c r="L103" s="209" t="s">
        <v>263</v>
      </c>
      <c r="M103" s="208" t="s">
        <v>263</v>
      </c>
      <c r="N103" s="208" t="s">
        <v>263</v>
      </c>
      <c r="O103" s="210" t="s">
        <v>265</v>
      </c>
      <c r="P103" s="210" t="s">
        <v>265</v>
      </c>
      <c r="Q103" s="210" t="s">
        <v>264</v>
      </c>
      <c r="R103" s="210" t="s">
        <v>265</v>
      </c>
      <c r="S103" s="20" t="s">
        <v>263</v>
      </c>
      <c r="T103" s="20" t="s">
        <v>263</v>
      </c>
      <c r="U103" s="20" t="s">
        <v>263</v>
      </c>
      <c r="V103" s="20" t="s">
        <v>263</v>
      </c>
      <c r="X103" s="20" t="s">
        <v>264</v>
      </c>
      <c r="Y103" s="20" t="s">
        <v>263</v>
      </c>
      <c r="Z103" s="20" t="s">
        <v>1835</v>
      </c>
      <c r="AA103" s="20" t="s">
        <v>1860</v>
      </c>
      <c r="AB103" s="31">
        <f>VLOOKUP(AA103,Masters!$K$2:$L$183,2,FALSE)</f>
        <v>1002</v>
      </c>
      <c r="AC103" s="20" t="s">
        <v>2063</v>
      </c>
      <c r="AD103" s="20" t="s">
        <v>263</v>
      </c>
      <c r="AE103" s="20">
        <v>14</v>
      </c>
      <c r="AF103" s="20">
        <v>2</v>
      </c>
      <c r="AG103" s="20">
        <v>2000</v>
      </c>
      <c r="AH103" s="21">
        <v>36570</v>
      </c>
    </row>
    <row r="104" spans="1:34" x14ac:dyDescent="0.25">
      <c r="A104" s="35">
        <v>1900</v>
      </c>
      <c r="B104" s="20" t="s">
        <v>1825</v>
      </c>
      <c r="C104" s="20" t="s">
        <v>1825</v>
      </c>
      <c r="E104" s="20" t="s">
        <v>2050</v>
      </c>
      <c r="F104" s="20" t="s">
        <v>1846</v>
      </c>
      <c r="G104" s="31" t="s">
        <v>35</v>
      </c>
      <c r="I104" s="208">
        <v>1</v>
      </c>
      <c r="J104" s="208">
        <v>1</v>
      </c>
      <c r="K104" s="208"/>
      <c r="L104" s="209"/>
      <c r="M104" s="208"/>
      <c r="N104" s="208"/>
      <c r="O104" s="210">
        <v>0</v>
      </c>
      <c r="P104" s="210">
        <v>0</v>
      </c>
      <c r="Q104" s="210">
        <v>1</v>
      </c>
      <c r="R104" s="210">
        <v>0</v>
      </c>
      <c r="X104" s="20">
        <v>1</v>
      </c>
      <c r="Z104" s="20" t="s">
        <v>753</v>
      </c>
      <c r="AA104" s="20" t="s">
        <v>1860</v>
      </c>
      <c r="AB104" s="31">
        <f>VLOOKUP(AA104,Masters!$K$2:$L$183,2,FALSE)</f>
        <v>1002</v>
      </c>
      <c r="AC104" s="20" t="s">
        <v>2063</v>
      </c>
      <c r="AE104" s="20">
        <v>22</v>
      </c>
      <c r="AF104" s="20">
        <v>12</v>
      </c>
      <c r="AG104" s="20">
        <v>2000</v>
      </c>
      <c r="AH104" s="21">
        <v>36882</v>
      </c>
    </row>
    <row r="105" spans="1:34" x14ac:dyDescent="0.25">
      <c r="A105" s="35">
        <v>1901</v>
      </c>
      <c r="B105" s="20" t="s">
        <v>1825</v>
      </c>
      <c r="C105" s="20" t="s">
        <v>1825</v>
      </c>
      <c r="E105" s="20" t="s">
        <v>2053</v>
      </c>
      <c r="F105" s="20" t="s">
        <v>1844</v>
      </c>
      <c r="G105" s="31" t="s">
        <v>35</v>
      </c>
      <c r="I105" s="208">
        <v>1</v>
      </c>
      <c r="J105" s="208">
        <v>1</v>
      </c>
      <c r="K105" s="208"/>
      <c r="L105" s="209"/>
      <c r="M105" s="208"/>
      <c r="N105" s="208"/>
      <c r="O105" s="210">
        <v>0</v>
      </c>
      <c r="P105" s="210">
        <v>0</v>
      </c>
      <c r="Q105" s="210">
        <v>1</v>
      </c>
      <c r="R105" s="210">
        <v>0</v>
      </c>
      <c r="X105" s="20">
        <v>1</v>
      </c>
      <c r="Z105" s="20" t="s">
        <v>1853</v>
      </c>
      <c r="AA105" s="20" t="s">
        <v>1861</v>
      </c>
      <c r="AB105" s="31">
        <f>VLOOKUP(AA105,Masters!$K$2:$L$183,2,FALSE)</f>
        <v>1003</v>
      </c>
      <c r="AC105" s="20" t="s">
        <v>2063</v>
      </c>
      <c r="AE105" s="20">
        <v>7</v>
      </c>
      <c r="AF105" s="20">
        <v>6</v>
      </c>
      <c r="AG105" s="20">
        <v>2003</v>
      </c>
      <c r="AH105" s="21">
        <v>37779</v>
      </c>
    </row>
    <row r="106" spans="1:34" x14ac:dyDescent="0.25">
      <c r="A106" s="35">
        <v>1943</v>
      </c>
      <c r="B106" s="20" t="s">
        <v>1825</v>
      </c>
      <c r="C106" s="20" t="s">
        <v>1825</v>
      </c>
      <c r="E106" s="20" t="s">
        <v>126</v>
      </c>
      <c r="F106" s="20" t="s">
        <v>1844</v>
      </c>
      <c r="G106" s="31" t="s">
        <v>35</v>
      </c>
      <c r="I106" s="208">
        <v>1</v>
      </c>
      <c r="J106" s="208">
        <v>1</v>
      </c>
      <c r="K106" s="208"/>
      <c r="L106" s="209"/>
      <c r="M106" s="208"/>
      <c r="N106" s="208"/>
      <c r="O106" s="210">
        <v>0</v>
      </c>
      <c r="P106" s="210">
        <v>0</v>
      </c>
      <c r="Q106" s="210">
        <v>1</v>
      </c>
      <c r="R106" s="210">
        <v>0</v>
      </c>
      <c r="X106" s="20">
        <v>1</v>
      </c>
      <c r="Z106" s="20" t="s">
        <v>1857</v>
      </c>
      <c r="AA106" s="20" t="s">
        <v>1861</v>
      </c>
      <c r="AB106" s="31">
        <f>VLOOKUP(AA106,Masters!$K$2:$L$183,2,FALSE)</f>
        <v>1003</v>
      </c>
      <c r="AC106" s="20" t="s">
        <v>2063</v>
      </c>
      <c r="AE106" s="20">
        <v>21</v>
      </c>
      <c r="AF106" s="20">
        <v>2</v>
      </c>
      <c r="AG106" s="20">
        <v>2005</v>
      </c>
      <c r="AH106" s="21">
        <v>38404</v>
      </c>
    </row>
    <row r="107" spans="1:34" x14ac:dyDescent="0.25">
      <c r="A107" s="35">
        <v>1944</v>
      </c>
      <c r="B107" s="20" t="s">
        <v>1825</v>
      </c>
      <c r="C107" s="20" t="s">
        <v>1825</v>
      </c>
      <c r="E107" s="20" t="s">
        <v>2055</v>
      </c>
      <c r="F107" s="20" t="s">
        <v>1844</v>
      </c>
      <c r="G107" s="31" t="s">
        <v>35</v>
      </c>
      <c r="I107" s="208">
        <v>1</v>
      </c>
      <c r="J107" s="208">
        <v>1</v>
      </c>
      <c r="K107" s="208"/>
      <c r="L107" s="209"/>
      <c r="M107" s="208"/>
      <c r="N107" s="208"/>
      <c r="O107" s="210">
        <v>0</v>
      </c>
      <c r="P107" s="210">
        <v>0</v>
      </c>
      <c r="Q107" s="210">
        <v>1</v>
      </c>
      <c r="R107" s="210">
        <v>0</v>
      </c>
      <c r="X107" s="20">
        <v>1</v>
      </c>
      <c r="Z107" s="20" t="s">
        <v>1851</v>
      </c>
      <c r="AA107" s="20" t="s">
        <v>1862</v>
      </c>
      <c r="AB107" s="31">
        <f>VLOOKUP(AA107,Masters!$K$2:$L$183,2,FALSE)</f>
        <v>1004</v>
      </c>
      <c r="AC107" s="20" t="s">
        <v>2063</v>
      </c>
      <c r="AE107" s="20">
        <v>26</v>
      </c>
      <c r="AF107" s="20">
        <v>12</v>
      </c>
      <c r="AG107" s="20">
        <v>2001</v>
      </c>
      <c r="AH107" s="21">
        <v>37251</v>
      </c>
    </row>
    <row r="108" spans="1:34" x14ac:dyDescent="0.25">
      <c r="A108" s="35">
        <v>1945</v>
      </c>
      <c r="B108" s="20" t="s">
        <v>1825</v>
      </c>
      <c r="C108" s="20" t="s">
        <v>1825</v>
      </c>
      <c r="E108" s="20" t="s">
        <v>2051</v>
      </c>
      <c r="F108" s="20" t="s">
        <v>1845</v>
      </c>
      <c r="G108" s="31" t="s">
        <v>35</v>
      </c>
      <c r="I108" s="208">
        <v>1</v>
      </c>
      <c r="J108" s="208">
        <v>1</v>
      </c>
      <c r="K108" s="208"/>
      <c r="L108" s="209"/>
      <c r="M108" s="208"/>
      <c r="N108" s="208"/>
      <c r="O108" s="210">
        <v>0</v>
      </c>
      <c r="P108" s="210">
        <v>0</v>
      </c>
      <c r="Q108" s="210">
        <v>1</v>
      </c>
      <c r="R108" s="210">
        <v>0</v>
      </c>
      <c r="X108" s="20">
        <v>1</v>
      </c>
      <c r="Z108" s="20" t="s">
        <v>1848</v>
      </c>
      <c r="AA108" s="20" t="s">
        <v>1861</v>
      </c>
      <c r="AB108" s="31">
        <f>VLOOKUP(AA108,Masters!$K$2:$L$183,2,FALSE)</f>
        <v>1003</v>
      </c>
      <c r="AC108" s="20" t="s">
        <v>2063</v>
      </c>
      <c r="AE108" s="20">
        <v>25</v>
      </c>
      <c r="AF108" s="20">
        <v>6</v>
      </c>
      <c r="AG108" s="20">
        <v>2005</v>
      </c>
      <c r="AH108" s="21">
        <v>38528</v>
      </c>
    </row>
    <row r="109" spans="1:34" x14ac:dyDescent="0.25">
      <c r="A109" s="35">
        <v>1038</v>
      </c>
      <c r="B109" s="20" t="s">
        <v>1826</v>
      </c>
      <c r="C109" s="20" t="s">
        <v>1826</v>
      </c>
      <c r="D109" s="94" t="s">
        <v>965</v>
      </c>
      <c r="E109" s="20" t="s">
        <v>2059</v>
      </c>
      <c r="F109" s="20" t="s">
        <v>1843</v>
      </c>
      <c r="G109" s="31" t="s">
        <v>40</v>
      </c>
      <c r="H109" s="32">
        <v>1</v>
      </c>
      <c r="J109" s="32">
        <v>1</v>
      </c>
      <c r="O109" s="20">
        <v>0</v>
      </c>
      <c r="P109" s="20">
        <v>1</v>
      </c>
      <c r="Q109" s="20">
        <v>0</v>
      </c>
      <c r="R109" s="20">
        <v>0</v>
      </c>
      <c r="X109" s="20">
        <v>1</v>
      </c>
      <c r="Z109" s="20" t="s">
        <v>753</v>
      </c>
      <c r="AA109" s="20" t="s">
        <v>1863</v>
      </c>
      <c r="AB109" s="31">
        <f>VLOOKUP(AA109,Masters!$K$2:$L$183,2,FALSE)</f>
        <v>1005</v>
      </c>
      <c r="AC109" s="20" t="s">
        <v>2063</v>
      </c>
      <c r="AD109" s="20" t="s">
        <v>2060</v>
      </c>
      <c r="AE109" s="20">
        <v>10</v>
      </c>
      <c r="AF109" s="20">
        <v>5</v>
      </c>
      <c r="AG109" s="20">
        <v>2001</v>
      </c>
      <c r="AH109" s="21">
        <v>37021</v>
      </c>
    </row>
    <row r="110" spans="1:34" x14ac:dyDescent="0.25">
      <c r="A110" s="35">
        <v>1069</v>
      </c>
      <c r="B110" s="20" t="s">
        <v>1826</v>
      </c>
      <c r="C110" s="20" t="s">
        <v>1826</v>
      </c>
      <c r="D110" s="94" t="s">
        <v>996</v>
      </c>
      <c r="E110" s="20" t="s">
        <v>2050</v>
      </c>
      <c r="F110" s="20" t="s">
        <v>1846</v>
      </c>
      <c r="G110" s="31" t="s">
        <v>40</v>
      </c>
      <c r="H110" s="32">
        <v>1</v>
      </c>
      <c r="J110" s="32">
        <v>1</v>
      </c>
      <c r="O110" s="20">
        <v>0</v>
      </c>
      <c r="P110" s="20">
        <v>1</v>
      </c>
      <c r="Q110" s="20">
        <v>0</v>
      </c>
      <c r="R110" s="20">
        <v>0</v>
      </c>
      <c r="X110" s="20">
        <v>1</v>
      </c>
      <c r="Z110" s="20" t="s">
        <v>1855</v>
      </c>
      <c r="AA110" s="20" t="s">
        <v>1862</v>
      </c>
      <c r="AB110" s="31">
        <f>VLOOKUP(AA110,Masters!$K$2:$L$183,2,FALSE)</f>
        <v>1004</v>
      </c>
      <c r="AC110" s="20" t="s">
        <v>2063</v>
      </c>
      <c r="AD110" s="20" t="s">
        <v>2061</v>
      </c>
      <c r="AE110" s="20">
        <v>24</v>
      </c>
      <c r="AF110" s="20">
        <v>4</v>
      </c>
      <c r="AG110" s="20">
        <v>2000</v>
      </c>
      <c r="AH110" s="21">
        <v>36640</v>
      </c>
    </row>
    <row r="111" spans="1:34" x14ac:dyDescent="0.25">
      <c r="A111" s="35">
        <v>1107</v>
      </c>
      <c r="B111" s="20" t="s">
        <v>1826</v>
      </c>
      <c r="C111" s="20" t="s">
        <v>1826</v>
      </c>
      <c r="D111" s="94" t="s">
        <v>1034</v>
      </c>
      <c r="E111" s="20" t="s">
        <v>126</v>
      </c>
      <c r="F111" s="20" t="s">
        <v>1846</v>
      </c>
      <c r="G111" s="31" t="s">
        <v>40</v>
      </c>
      <c r="H111" s="32">
        <v>1</v>
      </c>
      <c r="J111" s="32">
        <v>1</v>
      </c>
      <c r="O111" s="20">
        <v>0</v>
      </c>
      <c r="P111" s="20">
        <v>1</v>
      </c>
      <c r="Q111" s="20">
        <v>0</v>
      </c>
      <c r="R111" s="20">
        <v>0</v>
      </c>
      <c r="X111" s="20">
        <v>1</v>
      </c>
      <c r="Z111" s="20" t="s">
        <v>1854</v>
      </c>
      <c r="AA111" s="20" t="s">
        <v>1859</v>
      </c>
      <c r="AB111" s="31">
        <f>VLOOKUP(AA111,Masters!$K$2:$L$183,2,FALSE)</f>
        <v>1001</v>
      </c>
      <c r="AC111" s="20" t="s">
        <v>2063</v>
      </c>
      <c r="AD111" s="20" t="s">
        <v>2060</v>
      </c>
      <c r="AE111" s="20">
        <v>16</v>
      </c>
      <c r="AF111" s="20">
        <v>5</v>
      </c>
      <c r="AG111" s="20">
        <v>2003</v>
      </c>
      <c r="AH111" s="21">
        <v>37757</v>
      </c>
    </row>
    <row r="112" spans="1:34" x14ac:dyDescent="0.25">
      <c r="A112" s="35">
        <v>1116</v>
      </c>
      <c r="B112" s="20" t="s">
        <v>1826</v>
      </c>
      <c r="C112" s="20" t="s">
        <v>1826</v>
      </c>
      <c r="D112" s="94" t="s">
        <v>1043</v>
      </c>
      <c r="E112" s="20" t="s">
        <v>2052</v>
      </c>
      <c r="F112" s="20" t="s">
        <v>1843</v>
      </c>
      <c r="G112" s="31" t="s">
        <v>40</v>
      </c>
      <c r="H112" s="32">
        <v>1</v>
      </c>
      <c r="J112" s="32">
        <v>1</v>
      </c>
      <c r="O112" s="20">
        <v>0</v>
      </c>
      <c r="P112" s="20">
        <v>1</v>
      </c>
      <c r="Q112" s="20">
        <v>0</v>
      </c>
      <c r="R112" s="20">
        <v>0</v>
      </c>
      <c r="X112" s="20">
        <v>1</v>
      </c>
      <c r="Z112" s="20" t="s">
        <v>78</v>
      </c>
      <c r="AA112" s="20" t="s">
        <v>1860</v>
      </c>
      <c r="AB112" s="31">
        <f>VLOOKUP(AA112,Masters!$K$2:$L$183,2,FALSE)</f>
        <v>1002</v>
      </c>
      <c r="AC112" s="20" t="s">
        <v>2063</v>
      </c>
      <c r="AD112" s="20" t="s">
        <v>2061</v>
      </c>
      <c r="AE112" s="20">
        <v>11</v>
      </c>
      <c r="AF112" s="20">
        <v>12</v>
      </c>
      <c r="AG112" s="20">
        <v>2002</v>
      </c>
      <c r="AH112" s="21">
        <v>37601</v>
      </c>
    </row>
    <row r="113" spans="1:34" x14ac:dyDescent="0.25">
      <c r="A113" s="35">
        <v>1117</v>
      </c>
      <c r="B113" s="20" t="s">
        <v>1826</v>
      </c>
      <c r="C113" s="20" t="s">
        <v>1826</v>
      </c>
      <c r="D113" s="94" t="s">
        <v>1044</v>
      </c>
      <c r="E113" s="20" t="s">
        <v>2053</v>
      </c>
      <c r="F113" s="20" t="s">
        <v>1845</v>
      </c>
      <c r="G113" s="31" t="s">
        <v>40</v>
      </c>
      <c r="H113" s="32">
        <v>1</v>
      </c>
      <c r="J113" s="32">
        <v>1</v>
      </c>
      <c r="O113" s="20">
        <v>0</v>
      </c>
      <c r="P113" s="20">
        <v>1</v>
      </c>
      <c r="Q113" s="20">
        <v>0</v>
      </c>
      <c r="R113" s="20">
        <v>0</v>
      </c>
      <c r="X113" s="20">
        <v>1</v>
      </c>
      <c r="Z113" s="20" t="s">
        <v>1857</v>
      </c>
      <c r="AA113" s="20" t="s">
        <v>1862</v>
      </c>
      <c r="AB113" s="31">
        <f>VLOOKUP(AA113,Masters!$K$2:$L$183,2,FALSE)</f>
        <v>1004</v>
      </c>
      <c r="AC113" s="20" t="s">
        <v>2063</v>
      </c>
      <c r="AD113" s="20" t="s">
        <v>2061</v>
      </c>
      <c r="AE113" s="20">
        <v>11</v>
      </c>
      <c r="AF113" s="20">
        <v>5</v>
      </c>
      <c r="AG113" s="20">
        <v>2003</v>
      </c>
      <c r="AH113" s="21">
        <v>37752</v>
      </c>
    </row>
    <row r="114" spans="1:34" x14ac:dyDescent="0.25">
      <c r="A114" s="35">
        <v>1247</v>
      </c>
      <c r="B114" s="20" t="s">
        <v>1826</v>
      </c>
      <c r="C114" s="20" t="s">
        <v>1826</v>
      </c>
      <c r="D114" s="94" t="s">
        <v>1174</v>
      </c>
      <c r="E114" s="20" t="s">
        <v>126</v>
      </c>
      <c r="F114" s="20" t="s">
        <v>1846</v>
      </c>
      <c r="G114" s="31" t="s">
        <v>40</v>
      </c>
      <c r="H114" s="32">
        <v>1</v>
      </c>
      <c r="J114" s="32">
        <v>1</v>
      </c>
      <c r="O114" s="20">
        <v>0</v>
      </c>
      <c r="P114" s="20">
        <v>1</v>
      </c>
      <c r="Q114" s="20">
        <v>0</v>
      </c>
      <c r="R114" s="20">
        <v>0</v>
      </c>
      <c r="X114" s="20">
        <v>1</v>
      </c>
      <c r="Y114" s="20" t="s">
        <v>178</v>
      </c>
      <c r="Z114" s="20" t="s">
        <v>1854</v>
      </c>
      <c r="AA114" s="20" t="s">
        <v>1859</v>
      </c>
      <c r="AB114" s="31">
        <f>VLOOKUP(AA114,Masters!$K$2:$L$183,2,FALSE)</f>
        <v>1001</v>
      </c>
      <c r="AC114" s="20" t="s">
        <v>2063</v>
      </c>
      <c r="AD114" s="20" t="s">
        <v>2060</v>
      </c>
      <c r="AE114" s="20">
        <v>30</v>
      </c>
      <c r="AF114" s="20">
        <v>11</v>
      </c>
      <c r="AG114" s="20">
        <v>2002</v>
      </c>
      <c r="AH114" s="21">
        <v>37590</v>
      </c>
    </row>
    <row r="115" spans="1:34" x14ac:dyDescent="0.25">
      <c r="A115" s="35">
        <v>1362</v>
      </c>
      <c r="B115" s="20" t="s">
        <v>1826</v>
      </c>
      <c r="C115" s="20" t="s">
        <v>1826</v>
      </c>
      <c r="D115" s="94" t="s">
        <v>1289</v>
      </c>
      <c r="E115" s="20" t="s">
        <v>2054</v>
      </c>
      <c r="F115" s="20" t="s">
        <v>1847</v>
      </c>
      <c r="G115" s="31" t="s">
        <v>40</v>
      </c>
      <c r="H115" s="32">
        <v>1</v>
      </c>
      <c r="J115" s="32">
        <v>1</v>
      </c>
      <c r="O115" s="20">
        <v>0</v>
      </c>
      <c r="P115" s="20">
        <v>1</v>
      </c>
      <c r="Q115" s="20">
        <v>0</v>
      </c>
      <c r="R115" s="20">
        <v>0</v>
      </c>
      <c r="X115" s="20">
        <v>1</v>
      </c>
      <c r="Z115" s="20" t="s">
        <v>1832</v>
      </c>
      <c r="AA115" s="20" t="s">
        <v>1862</v>
      </c>
      <c r="AB115" s="31">
        <f>VLOOKUP(AA115,Masters!$K$2:$L$183,2,FALSE)</f>
        <v>1004</v>
      </c>
      <c r="AC115" s="20" t="s">
        <v>2063</v>
      </c>
      <c r="AD115" s="20" t="s">
        <v>2060</v>
      </c>
      <c r="AE115" s="20">
        <v>28</v>
      </c>
      <c r="AF115" s="20">
        <v>7</v>
      </c>
      <c r="AG115" s="20">
        <v>2003</v>
      </c>
      <c r="AH115" s="21">
        <v>37830</v>
      </c>
    </row>
    <row r="116" spans="1:34" x14ac:dyDescent="0.25">
      <c r="A116" s="35">
        <v>1441</v>
      </c>
      <c r="B116" s="20" t="s">
        <v>1826</v>
      </c>
      <c r="C116" s="20" t="s">
        <v>1826</v>
      </c>
      <c r="D116" s="94" t="s">
        <v>1368</v>
      </c>
      <c r="E116" s="20" t="s">
        <v>2058</v>
      </c>
      <c r="F116" s="20" t="s">
        <v>1847</v>
      </c>
      <c r="G116" s="31" t="s">
        <v>40</v>
      </c>
      <c r="H116" s="32">
        <v>1</v>
      </c>
      <c r="J116" s="32">
        <v>1</v>
      </c>
      <c r="O116" s="20">
        <v>0</v>
      </c>
      <c r="P116" s="20">
        <v>1</v>
      </c>
      <c r="Q116" s="20">
        <v>0</v>
      </c>
      <c r="R116" s="20">
        <v>0</v>
      </c>
      <c r="X116" s="20">
        <v>1</v>
      </c>
      <c r="Z116" s="20" t="s">
        <v>58</v>
      </c>
      <c r="AA116" s="20" t="s">
        <v>1861</v>
      </c>
      <c r="AB116" s="31">
        <f>VLOOKUP(AA116,Masters!$K$2:$L$183,2,FALSE)</f>
        <v>1003</v>
      </c>
      <c r="AC116" s="20" t="s">
        <v>2063</v>
      </c>
      <c r="AD116" s="20" t="s">
        <v>2060</v>
      </c>
      <c r="AE116" s="20">
        <v>4</v>
      </c>
      <c r="AF116" s="20">
        <v>9</v>
      </c>
      <c r="AG116" s="20">
        <v>2000</v>
      </c>
      <c r="AH116" s="21">
        <v>36773</v>
      </c>
    </row>
    <row r="117" spans="1:34" x14ac:dyDescent="0.25">
      <c r="A117" s="35">
        <v>1467</v>
      </c>
      <c r="B117" s="20" t="s">
        <v>1826</v>
      </c>
      <c r="C117" s="20" t="s">
        <v>1826</v>
      </c>
      <c r="D117" s="94" t="s">
        <v>1394</v>
      </c>
      <c r="E117" s="20" t="s">
        <v>2059</v>
      </c>
      <c r="F117" s="20" t="s">
        <v>1844</v>
      </c>
      <c r="G117" s="31" t="s">
        <v>40</v>
      </c>
      <c r="H117" s="32">
        <v>1</v>
      </c>
      <c r="J117" s="32">
        <v>1</v>
      </c>
      <c r="O117" s="20">
        <v>0</v>
      </c>
      <c r="P117" s="20">
        <v>1</v>
      </c>
      <c r="Q117" s="20">
        <v>0</v>
      </c>
      <c r="R117" s="20">
        <v>0</v>
      </c>
      <c r="X117" s="20">
        <v>1</v>
      </c>
      <c r="Z117" s="20" t="s">
        <v>201</v>
      </c>
      <c r="AA117" s="20" t="s">
        <v>1863</v>
      </c>
      <c r="AB117" s="31">
        <f>VLOOKUP(AA117,Masters!$K$2:$L$183,2,FALSE)</f>
        <v>1005</v>
      </c>
      <c r="AC117" s="20" t="s">
        <v>2063</v>
      </c>
      <c r="AD117" s="20" t="s">
        <v>2060</v>
      </c>
      <c r="AE117" s="20">
        <v>27</v>
      </c>
      <c r="AF117" s="20">
        <v>12</v>
      </c>
      <c r="AG117" s="20">
        <v>2004</v>
      </c>
      <c r="AH117" s="21">
        <v>38348</v>
      </c>
    </row>
    <row r="118" spans="1:34" x14ac:dyDescent="0.25">
      <c r="A118" s="35">
        <v>1619</v>
      </c>
      <c r="B118" s="20" t="s">
        <v>1826</v>
      </c>
      <c r="C118" s="20" t="s">
        <v>1826</v>
      </c>
      <c r="D118" s="94" t="s">
        <v>1546</v>
      </c>
      <c r="E118" s="20" t="s">
        <v>2054</v>
      </c>
      <c r="F118" s="20" t="s">
        <v>1845</v>
      </c>
      <c r="G118" s="31" t="s">
        <v>40</v>
      </c>
      <c r="H118" s="32">
        <v>1</v>
      </c>
      <c r="J118" s="32">
        <v>1</v>
      </c>
      <c r="O118" s="20">
        <v>0</v>
      </c>
      <c r="P118" s="20">
        <v>1</v>
      </c>
      <c r="Q118" s="20">
        <v>0</v>
      </c>
      <c r="R118" s="20">
        <v>0</v>
      </c>
      <c r="X118" s="20">
        <v>1</v>
      </c>
      <c r="Z118" s="20" t="s">
        <v>1858</v>
      </c>
      <c r="AA118" s="20" t="s">
        <v>1861</v>
      </c>
      <c r="AB118" s="31">
        <f>VLOOKUP(AA118,Masters!$K$2:$L$183,2,FALSE)</f>
        <v>1003</v>
      </c>
      <c r="AC118" s="20" t="s">
        <v>2064</v>
      </c>
      <c r="AD118" s="20" t="s">
        <v>2061</v>
      </c>
      <c r="AE118" s="20">
        <v>4</v>
      </c>
      <c r="AF118" s="20">
        <v>10</v>
      </c>
      <c r="AG118" s="20">
        <v>2002</v>
      </c>
      <c r="AH118" s="21">
        <v>37533</v>
      </c>
    </row>
    <row r="119" spans="1:34" x14ac:dyDescent="0.25">
      <c r="A119" s="35">
        <v>1677</v>
      </c>
      <c r="B119" s="20" t="s">
        <v>1826</v>
      </c>
      <c r="C119" s="20" t="s">
        <v>1826</v>
      </c>
      <c r="D119" s="94" t="s">
        <v>1604</v>
      </c>
      <c r="E119" s="20" t="s">
        <v>2050</v>
      </c>
      <c r="F119" s="20" t="s">
        <v>1847</v>
      </c>
      <c r="G119" s="31" t="s">
        <v>40</v>
      </c>
      <c r="H119" s="32">
        <v>1</v>
      </c>
      <c r="J119" s="32">
        <v>1</v>
      </c>
      <c r="O119" s="20">
        <v>0</v>
      </c>
      <c r="P119" s="20">
        <v>1</v>
      </c>
      <c r="Q119" s="20">
        <v>0</v>
      </c>
      <c r="R119" s="20">
        <v>0</v>
      </c>
      <c r="X119" s="20">
        <v>1</v>
      </c>
      <c r="Z119" s="20" t="s">
        <v>1835</v>
      </c>
      <c r="AA119" s="20" t="s">
        <v>1860</v>
      </c>
      <c r="AB119" s="31">
        <f>VLOOKUP(AA119,Masters!$K$2:$L$183,2,FALSE)</f>
        <v>1002</v>
      </c>
      <c r="AC119" s="20" t="s">
        <v>2063</v>
      </c>
      <c r="AD119" s="20" t="s">
        <v>2060</v>
      </c>
      <c r="AE119" s="20">
        <v>12</v>
      </c>
      <c r="AF119" s="20">
        <v>8</v>
      </c>
      <c r="AG119" s="20">
        <v>2003</v>
      </c>
      <c r="AH119" s="21">
        <v>37845</v>
      </c>
    </row>
    <row r="120" spans="1:34" x14ac:dyDescent="0.25">
      <c r="A120" s="35">
        <v>1797</v>
      </c>
      <c r="B120" s="20" t="s">
        <v>1826</v>
      </c>
      <c r="C120" s="20" t="s">
        <v>1826</v>
      </c>
      <c r="D120" s="94" t="s">
        <v>1724</v>
      </c>
      <c r="E120" s="20" t="s">
        <v>2054</v>
      </c>
      <c r="F120" s="20" t="s">
        <v>1845</v>
      </c>
      <c r="G120" s="31" t="s">
        <v>40</v>
      </c>
      <c r="H120" s="32">
        <v>1</v>
      </c>
      <c r="J120" s="32">
        <v>1</v>
      </c>
      <c r="O120" s="20">
        <v>0</v>
      </c>
      <c r="P120" s="20">
        <v>1</v>
      </c>
      <c r="Q120" s="20">
        <v>0</v>
      </c>
      <c r="R120" s="20">
        <v>0</v>
      </c>
      <c r="X120" s="20">
        <v>1</v>
      </c>
      <c r="Z120" s="20" t="s">
        <v>1832</v>
      </c>
      <c r="AA120" s="20" t="s">
        <v>1862</v>
      </c>
      <c r="AB120" s="31">
        <f>VLOOKUP(AA120,Masters!$K$2:$L$183,2,FALSE)</f>
        <v>1004</v>
      </c>
      <c r="AC120" s="20" t="s">
        <v>2063</v>
      </c>
      <c r="AD120" s="20" t="s">
        <v>2061</v>
      </c>
      <c r="AE120" s="20">
        <v>25</v>
      </c>
      <c r="AF120" s="20">
        <v>6</v>
      </c>
      <c r="AG120" s="20">
        <v>2004</v>
      </c>
      <c r="AH120" s="21">
        <v>38163</v>
      </c>
    </row>
    <row r="121" spans="1:34" x14ac:dyDescent="0.25">
      <c r="A121" s="35">
        <v>1946</v>
      </c>
      <c r="B121" s="20" t="s">
        <v>1826</v>
      </c>
      <c r="C121" s="20" t="s">
        <v>1826</v>
      </c>
      <c r="E121" s="20" t="s">
        <v>2051</v>
      </c>
      <c r="F121" s="20" t="s">
        <v>1844</v>
      </c>
      <c r="G121" s="31" t="s">
        <v>35</v>
      </c>
      <c r="I121" s="208">
        <v>1</v>
      </c>
      <c r="J121" s="208">
        <v>1</v>
      </c>
      <c r="K121" s="208"/>
      <c r="L121" s="209"/>
      <c r="M121" s="208"/>
      <c r="N121" s="208"/>
      <c r="O121" s="210">
        <v>0</v>
      </c>
      <c r="P121" s="210">
        <v>0</v>
      </c>
      <c r="Q121" s="210">
        <v>1</v>
      </c>
      <c r="R121" s="210">
        <v>0</v>
      </c>
      <c r="X121" s="20">
        <v>1</v>
      </c>
      <c r="Z121" s="20" t="s">
        <v>1850</v>
      </c>
      <c r="AA121" s="20" t="s">
        <v>1861</v>
      </c>
      <c r="AB121" s="31">
        <f>VLOOKUP(AA121,Masters!$K$2:$L$183,2,FALSE)</f>
        <v>1003</v>
      </c>
      <c r="AC121" s="20" t="s">
        <v>2063</v>
      </c>
      <c r="AE121" s="20">
        <v>20</v>
      </c>
      <c r="AF121" s="20">
        <v>1</v>
      </c>
      <c r="AG121" s="20">
        <v>2004</v>
      </c>
      <c r="AH121" s="21">
        <v>38006</v>
      </c>
    </row>
    <row r="122" spans="1:34" x14ac:dyDescent="0.25">
      <c r="A122" s="35">
        <v>1947</v>
      </c>
      <c r="B122" s="20" t="s">
        <v>1826</v>
      </c>
      <c r="C122" s="20" t="s">
        <v>1826</v>
      </c>
      <c r="E122" s="20" t="s">
        <v>2051</v>
      </c>
      <c r="F122" s="20" t="s">
        <v>1843</v>
      </c>
      <c r="G122" s="31" t="s">
        <v>35</v>
      </c>
      <c r="I122" s="208">
        <v>1</v>
      </c>
      <c r="J122" s="208">
        <v>1</v>
      </c>
      <c r="K122" s="208"/>
      <c r="L122" s="209"/>
      <c r="M122" s="208"/>
      <c r="N122" s="208"/>
      <c r="O122" s="210">
        <v>0</v>
      </c>
      <c r="P122" s="210">
        <v>0</v>
      </c>
      <c r="Q122" s="210">
        <v>1</v>
      </c>
      <c r="R122" s="210">
        <v>0</v>
      </c>
      <c r="X122" s="20">
        <v>1</v>
      </c>
      <c r="Y122" s="20" t="s">
        <v>178</v>
      </c>
      <c r="Z122" s="20" t="s">
        <v>1855</v>
      </c>
      <c r="AA122" s="20" t="s">
        <v>1861</v>
      </c>
      <c r="AB122" s="31">
        <f>VLOOKUP(AA122,Masters!$K$2:$L$183,2,FALSE)</f>
        <v>1003</v>
      </c>
      <c r="AC122" s="20" t="s">
        <v>2063</v>
      </c>
      <c r="AE122" s="20">
        <v>29</v>
      </c>
      <c r="AF122" s="20">
        <v>8</v>
      </c>
      <c r="AG122" s="20">
        <v>2004</v>
      </c>
      <c r="AH122" s="21">
        <v>38228</v>
      </c>
    </row>
    <row r="123" spans="1:34" x14ac:dyDescent="0.25">
      <c r="A123" s="35">
        <v>1948</v>
      </c>
      <c r="B123" s="20" t="s">
        <v>1826</v>
      </c>
      <c r="C123" s="20" t="s">
        <v>1826</v>
      </c>
      <c r="E123" s="20" t="s">
        <v>2051</v>
      </c>
      <c r="F123" s="20" t="s">
        <v>1844</v>
      </c>
      <c r="G123" s="31" t="s">
        <v>35</v>
      </c>
      <c r="I123" s="208">
        <v>1</v>
      </c>
      <c r="J123" s="208">
        <v>1</v>
      </c>
      <c r="K123" s="208"/>
      <c r="L123" s="209"/>
      <c r="M123" s="208"/>
      <c r="N123" s="208"/>
      <c r="O123" s="210">
        <v>0</v>
      </c>
      <c r="P123" s="210">
        <v>0</v>
      </c>
      <c r="Q123" s="210">
        <v>1</v>
      </c>
      <c r="R123" s="210">
        <v>0</v>
      </c>
      <c r="X123" s="20">
        <v>1</v>
      </c>
      <c r="Z123" s="20" t="s">
        <v>34</v>
      </c>
      <c r="AA123" s="20" t="s">
        <v>1863</v>
      </c>
      <c r="AB123" s="31">
        <f>VLOOKUP(AA123,Masters!$K$2:$L$183,2,FALSE)</f>
        <v>1005</v>
      </c>
      <c r="AC123" s="20" t="s">
        <v>2063</v>
      </c>
      <c r="AE123" s="20">
        <v>14</v>
      </c>
      <c r="AF123" s="20">
        <v>8</v>
      </c>
      <c r="AG123" s="20">
        <v>2000</v>
      </c>
      <c r="AH123" s="21">
        <v>36752</v>
      </c>
    </row>
    <row r="124" spans="1:34" x14ac:dyDescent="0.25">
      <c r="A124" s="35">
        <v>1001</v>
      </c>
      <c r="B124" s="22" t="s">
        <v>1827</v>
      </c>
      <c r="C124" s="22" t="s">
        <v>1827</v>
      </c>
      <c r="D124" s="22" t="s">
        <v>928</v>
      </c>
      <c r="E124" s="20" t="s">
        <v>2050</v>
      </c>
      <c r="F124" s="20" t="s">
        <v>1846</v>
      </c>
      <c r="G124" s="35" t="s">
        <v>40</v>
      </c>
      <c r="H124" s="36">
        <v>1</v>
      </c>
      <c r="I124" s="36" t="s">
        <v>263</v>
      </c>
      <c r="J124" s="41">
        <v>1</v>
      </c>
      <c r="K124" s="37" t="s">
        <v>263</v>
      </c>
      <c r="L124" s="37" t="s">
        <v>263</v>
      </c>
      <c r="M124" s="37" t="s">
        <v>263</v>
      </c>
      <c r="N124" s="36" t="s">
        <v>265</v>
      </c>
      <c r="O124" s="39" t="s">
        <v>265</v>
      </c>
      <c r="P124" s="40" t="s">
        <v>264</v>
      </c>
      <c r="Q124" s="36" t="s">
        <v>265</v>
      </c>
      <c r="R124" s="24" t="s">
        <v>265</v>
      </c>
      <c r="S124" s="24" t="s">
        <v>263</v>
      </c>
      <c r="T124" s="24" t="s">
        <v>263</v>
      </c>
      <c r="U124" s="24" t="s">
        <v>263</v>
      </c>
      <c r="V124" s="24" t="s">
        <v>263</v>
      </c>
      <c r="X124" s="24" t="s">
        <v>264</v>
      </c>
      <c r="Y124" s="24" t="s">
        <v>263</v>
      </c>
      <c r="Z124" s="20" t="s">
        <v>753</v>
      </c>
      <c r="AA124" s="20" t="s">
        <v>1860</v>
      </c>
      <c r="AB124" s="31">
        <f>VLOOKUP(AA124,Masters!$K$2:$L$183,2,FALSE)</f>
        <v>1002</v>
      </c>
      <c r="AC124" s="24" t="s">
        <v>2063</v>
      </c>
      <c r="AD124" s="24" t="s">
        <v>2061</v>
      </c>
      <c r="AE124" s="20">
        <v>3</v>
      </c>
      <c r="AF124" s="20">
        <v>12</v>
      </c>
      <c r="AG124" s="20">
        <v>2004</v>
      </c>
      <c r="AH124" s="21">
        <v>38324</v>
      </c>
    </row>
    <row r="125" spans="1:34" x14ac:dyDescent="0.25">
      <c r="A125" s="35">
        <v>1055</v>
      </c>
      <c r="B125" s="22" t="s">
        <v>1827</v>
      </c>
      <c r="C125" s="22" t="s">
        <v>1827</v>
      </c>
      <c r="D125" s="94" t="s">
        <v>982</v>
      </c>
      <c r="E125" s="20" t="s">
        <v>2056</v>
      </c>
      <c r="F125" s="20" t="s">
        <v>1843</v>
      </c>
      <c r="G125" s="31" t="s">
        <v>40</v>
      </c>
      <c r="H125" s="32">
        <v>1</v>
      </c>
      <c r="J125" s="32">
        <v>1</v>
      </c>
      <c r="O125" s="20">
        <v>0</v>
      </c>
      <c r="P125" s="20">
        <v>1</v>
      </c>
      <c r="Q125" s="20">
        <v>0</v>
      </c>
      <c r="R125" s="20">
        <v>0</v>
      </c>
      <c r="X125" s="20">
        <v>1</v>
      </c>
      <c r="Z125" s="20" t="s">
        <v>1851</v>
      </c>
      <c r="AA125" s="20" t="s">
        <v>1861</v>
      </c>
      <c r="AB125" s="31">
        <f>VLOOKUP(AA125,Masters!$K$2:$L$183,2,FALSE)</f>
        <v>1003</v>
      </c>
      <c r="AC125" s="20" t="s">
        <v>2063</v>
      </c>
      <c r="AD125" s="20" t="s">
        <v>2060</v>
      </c>
      <c r="AE125" s="20">
        <v>28</v>
      </c>
      <c r="AF125" s="20">
        <v>3</v>
      </c>
      <c r="AG125" s="20">
        <v>2000</v>
      </c>
      <c r="AH125" s="21">
        <v>36613</v>
      </c>
    </row>
    <row r="126" spans="1:34" x14ac:dyDescent="0.25">
      <c r="A126" s="35">
        <v>1139</v>
      </c>
      <c r="B126" s="22" t="s">
        <v>1827</v>
      </c>
      <c r="C126" s="22" t="s">
        <v>1827</v>
      </c>
      <c r="D126" s="94" t="s">
        <v>1066</v>
      </c>
      <c r="E126" s="20" t="s">
        <v>2054</v>
      </c>
      <c r="F126" s="20" t="s">
        <v>1845</v>
      </c>
      <c r="G126" s="31" t="s">
        <v>40</v>
      </c>
      <c r="H126" s="32">
        <v>1</v>
      </c>
      <c r="J126" s="32">
        <v>1</v>
      </c>
      <c r="O126" s="20">
        <v>0</v>
      </c>
      <c r="P126" s="20">
        <v>1</v>
      </c>
      <c r="Q126" s="20">
        <v>0</v>
      </c>
      <c r="R126" s="20">
        <v>0</v>
      </c>
      <c r="X126" s="20">
        <v>1</v>
      </c>
      <c r="Z126" s="20" t="s">
        <v>1858</v>
      </c>
      <c r="AA126" s="20" t="s">
        <v>1863</v>
      </c>
      <c r="AB126" s="31">
        <f>VLOOKUP(AA126,Masters!$K$2:$L$183,2,FALSE)</f>
        <v>1005</v>
      </c>
      <c r="AC126" s="20" t="s">
        <v>2063</v>
      </c>
      <c r="AD126" s="20" t="s">
        <v>2060</v>
      </c>
      <c r="AE126" s="20">
        <v>27</v>
      </c>
      <c r="AF126" s="20">
        <v>9</v>
      </c>
      <c r="AG126" s="20">
        <v>2003</v>
      </c>
      <c r="AH126" s="21">
        <v>37891</v>
      </c>
    </row>
    <row r="127" spans="1:34" x14ac:dyDescent="0.25">
      <c r="A127" s="35">
        <v>1493</v>
      </c>
      <c r="B127" s="22" t="s">
        <v>1827</v>
      </c>
      <c r="C127" s="22" t="s">
        <v>1827</v>
      </c>
      <c r="D127" s="94" t="s">
        <v>1420</v>
      </c>
      <c r="E127" s="20" t="s">
        <v>2058</v>
      </c>
      <c r="F127" s="20" t="s">
        <v>1844</v>
      </c>
      <c r="G127" s="31" t="s">
        <v>40</v>
      </c>
      <c r="H127" s="32">
        <v>1</v>
      </c>
      <c r="J127" s="32">
        <v>1</v>
      </c>
      <c r="O127" s="20">
        <v>0</v>
      </c>
      <c r="P127" s="20">
        <v>1</v>
      </c>
      <c r="Q127" s="20">
        <v>0</v>
      </c>
      <c r="R127" s="20">
        <v>0</v>
      </c>
      <c r="X127" s="20">
        <v>1</v>
      </c>
      <c r="Z127" s="20" t="s">
        <v>1851</v>
      </c>
      <c r="AA127" s="20" t="s">
        <v>1861</v>
      </c>
      <c r="AB127" s="31">
        <f>VLOOKUP(AA127,Masters!$K$2:$L$183,2,FALSE)</f>
        <v>1003</v>
      </c>
      <c r="AC127" s="20" t="s">
        <v>2064</v>
      </c>
      <c r="AD127" s="20" t="s">
        <v>2061</v>
      </c>
      <c r="AE127" s="20">
        <v>7</v>
      </c>
      <c r="AF127" s="20">
        <v>6</v>
      </c>
      <c r="AG127" s="20">
        <v>2000</v>
      </c>
      <c r="AH127" s="21">
        <v>36684</v>
      </c>
    </row>
    <row r="128" spans="1:34" x14ac:dyDescent="0.25">
      <c r="A128" s="35">
        <v>1548</v>
      </c>
      <c r="B128" s="22" t="s">
        <v>1827</v>
      </c>
      <c r="C128" s="22" t="s">
        <v>1827</v>
      </c>
      <c r="D128" s="94" t="s">
        <v>1475</v>
      </c>
      <c r="E128" s="20" t="s">
        <v>2052</v>
      </c>
      <c r="F128" s="20" t="s">
        <v>1845</v>
      </c>
      <c r="G128" s="31" t="s">
        <v>40</v>
      </c>
      <c r="H128" s="32">
        <v>1</v>
      </c>
      <c r="J128" s="32">
        <v>1</v>
      </c>
      <c r="O128" s="20">
        <v>0</v>
      </c>
      <c r="P128" s="20">
        <v>1</v>
      </c>
      <c r="Q128" s="20">
        <v>0</v>
      </c>
      <c r="R128" s="20">
        <v>0</v>
      </c>
      <c r="X128" s="20">
        <v>1</v>
      </c>
      <c r="Z128" s="20" t="s">
        <v>753</v>
      </c>
      <c r="AA128" s="20" t="s">
        <v>1862</v>
      </c>
      <c r="AB128" s="31">
        <f>VLOOKUP(AA128,Masters!$K$2:$L$183,2,FALSE)</f>
        <v>1004</v>
      </c>
      <c r="AC128" s="20" t="s">
        <v>2063</v>
      </c>
      <c r="AD128" s="20" t="s">
        <v>2060</v>
      </c>
      <c r="AE128" s="20">
        <v>6</v>
      </c>
      <c r="AF128" s="20">
        <v>6</v>
      </c>
      <c r="AG128" s="20">
        <v>2004</v>
      </c>
      <c r="AH128" s="21">
        <v>38144</v>
      </c>
    </row>
    <row r="129" spans="1:34" x14ac:dyDescent="0.25">
      <c r="A129" s="35">
        <v>1553</v>
      </c>
      <c r="B129" s="22" t="s">
        <v>1827</v>
      </c>
      <c r="C129" s="22" t="s">
        <v>1827</v>
      </c>
      <c r="D129" s="94" t="s">
        <v>1480</v>
      </c>
      <c r="E129" s="20" t="s">
        <v>126</v>
      </c>
      <c r="F129" s="20" t="s">
        <v>1844</v>
      </c>
      <c r="G129" s="31" t="s">
        <v>40</v>
      </c>
      <c r="H129" s="32">
        <v>1</v>
      </c>
      <c r="J129" s="32">
        <v>1</v>
      </c>
      <c r="O129" s="20">
        <v>0</v>
      </c>
      <c r="P129" s="20">
        <v>1</v>
      </c>
      <c r="Q129" s="20">
        <v>0</v>
      </c>
      <c r="R129" s="20">
        <v>0</v>
      </c>
      <c r="X129" s="20">
        <v>1</v>
      </c>
      <c r="Z129" s="20" t="s">
        <v>1858</v>
      </c>
      <c r="AA129" s="20" t="s">
        <v>1859</v>
      </c>
      <c r="AB129" s="31">
        <f>VLOOKUP(AA129,Masters!$K$2:$L$183,2,FALSE)</f>
        <v>1001</v>
      </c>
      <c r="AC129" s="20" t="s">
        <v>2064</v>
      </c>
      <c r="AD129" s="20" t="s">
        <v>2061</v>
      </c>
      <c r="AE129" s="20">
        <v>16</v>
      </c>
      <c r="AF129" s="20">
        <v>1</v>
      </c>
      <c r="AG129" s="20">
        <v>2000</v>
      </c>
      <c r="AH129" s="21">
        <v>36541</v>
      </c>
    </row>
    <row r="130" spans="1:34" x14ac:dyDescent="0.25">
      <c r="A130" s="35">
        <v>1596</v>
      </c>
      <c r="B130" s="22" t="s">
        <v>1827</v>
      </c>
      <c r="C130" s="22" t="s">
        <v>1827</v>
      </c>
      <c r="D130" s="94" t="s">
        <v>1523</v>
      </c>
      <c r="E130" s="20" t="s">
        <v>2050</v>
      </c>
      <c r="F130" s="20" t="s">
        <v>1844</v>
      </c>
      <c r="G130" s="31" t="s">
        <v>40</v>
      </c>
      <c r="H130" s="32">
        <v>1</v>
      </c>
      <c r="J130" s="32">
        <v>1</v>
      </c>
      <c r="O130" s="20">
        <v>0</v>
      </c>
      <c r="P130" s="20">
        <v>1</v>
      </c>
      <c r="Q130" s="20">
        <v>0</v>
      </c>
      <c r="R130" s="20">
        <v>0</v>
      </c>
      <c r="X130" s="20">
        <v>1</v>
      </c>
      <c r="Z130" s="20" t="s">
        <v>1854</v>
      </c>
      <c r="AA130" s="20" t="s">
        <v>1859</v>
      </c>
      <c r="AB130" s="31">
        <f>VLOOKUP(AA130,Masters!$K$2:$L$183,2,FALSE)</f>
        <v>1001</v>
      </c>
      <c r="AC130" s="20" t="s">
        <v>2064</v>
      </c>
      <c r="AD130" s="20" t="s">
        <v>2061</v>
      </c>
      <c r="AE130" s="20">
        <v>19</v>
      </c>
      <c r="AF130" s="20">
        <v>6</v>
      </c>
      <c r="AG130" s="20">
        <v>2002</v>
      </c>
      <c r="AH130" s="21">
        <v>37426</v>
      </c>
    </row>
    <row r="131" spans="1:34" x14ac:dyDescent="0.25">
      <c r="A131" s="35">
        <v>1705</v>
      </c>
      <c r="B131" s="22" t="s">
        <v>1827</v>
      </c>
      <c r="C131" s="22" t="s">
        <v>1827</v>
      </c>
      <c r="D131" s="94" t="s">
        <v>1632</v>
      </c>
      <c r="E131" s="20" t="s">
        <v>2058</v>
      </c>
      <c r="F131" s="20" t="s">
        <v>1845</v>
      </c>
      <c r="G131" s="31" t="s">
        <v>40</v>
      </c>
      <c r="H131" s="32">
        <v>1</v>
      </c>
      <c r="J131" s="32">
        <v>1</v>
      </c>
      <c r="O131" s="20">
        <v>0</v>
      </c>
      <c r="P131" s="20">
        <v>1</v>
      </c>
      <c r="Q131" s="20">
        <v>0</v>
      </c>
      <c r="R131" s="20">
        <v>0</v>
      </c>
      <c r="X131" s="20">
        <v>1</v>
      </c>
      <c r="Z131" s="20" t="s">
        <v>1852</v>
      </c>
      <c r="AA131" s="20" t="s">
        <v>1862</v>
      </c>
      <c r="AB131" s="31">
        <f>VLOOKUP(AA131,Masters!$K$2:$L$183,2,FALSE)</f>
        <v>1004</v>
      </c>
      <c r="AC131" s="20" t="s">
        <v>2063</v>
      </c>
      <c r="AD131" s="20" t="s">
        <v>2060</v>
      </c>
      <c r="AE131" s="20">
        <v>28</v>
      </c>
      <c r="AF131" s="20">
        <v>3</v>
      </c>
      <c r="AG131" s="20">
        <v>2000</v>
      </c>
      <c r="AH131" s="21">
        <v>36613</v>
      </c>
    </row>
    <row r="132" spans="1:34" x14ac:dyDescent="0.25">
      <c r="A132" s="35">
        <v>1850</v>
      </c>
      <c r="B132" s="22" t="s">
        <v>1827</v>
      </c>
      <c r="C132" s="22" t="s">
        <v>1827</v>
      </c>
      <c r="D132" s="94" t="s">
        <v>1777</v>
      </c>
      <c r="E132" s="20" t="s">
        <v>2056</v>
      </c>
      <c r="F132" s="20" t="s">
        <v>1843</v>
      </c>
      <c r="G132" s="31" t="s">
        <v>40</v>
      </c>
      <c r="H132" s="32">
        <v>1</v>
      </c>
      <c r="J132" s="32">
        <v>1</v>
      </c>
      <c r="O132" s="20">
        <v>0</v>
      </c>
      <c r="P132" s="20">
        <v>1</v>
      </c>
      <c r="Q132" s="20">
        <v>0</v>
      </c>
      <c r="R132" s="20">
        <v>0</v>
      </c>
      <c r="X132" s="20">
        <v>1</v>
      </c>
      <c r="Z132" s="20" t="s">
        <v>34</v>
      </c>
      <c r="AA132" s="20" t="s">
        <v>1863</v>
      </c>
      <c r="AB132" s="31">
        <f>VLOOKUP(AA132,Masters!$K$2:$L$183,2,FALSE)</f>
        <v>1005</v>
      </c>
      <c r="AC132" s="20" t="s">
        <v>2064</v>
      </c>
      <c r="AD132" s="20" t="s">
        <v>2061</v>
      </c>
      <c r="AE132" s="20">
        <v>31</v>
      </c>
      <c r="AF132" s="20">
        <v>5</v>
      </c>
      <c r="AG132" s="20">
        <v>2004</v>
      </c>
      <c r="AH132" s="21">
        <v>38138</v>
      </c>
    </row>
    <row r="133" spans="1:34" x14ac:dyDescent="0.25">
      <c r="A133" s="35">
        <v>1870</v>
      </c>
      <c r="B133" s="22" t="s">
        <v>1827</v>
      </c>
      <c r="C133" s="22" t="s">
        <v>1827</v>
      </c>
      <c r="D133" s="94" t="s">
        <v>1797</v>
      </c>
      <c r="E133" s="20" t="s">
        <v>2051</v>
      </c>
      <c r="F133" s="20" t="s">
        <v>1846</v>
      </c>
      <c r="G133" s="31" t="s">
        <v>40</v>
      </c>
      <c r="H133" s="32">
        <v>1</v>
      </c>
      <c r="J133" s="32">
        <v>1</v>
      </c>
      <c r="O133" s="20">
        <v>0</v>
      </c>
      <c r="P133" s="20">
        <v>1</v>
      </c>
      <c r="Q133" s="20">
        <v>0</v>
      </c>
      <c r="R133" s="20">
        <v>0</v>
      </c>
      <c r="X133" s="20">
        <v>1</v>
      </c>
      <c r="Z133" s="20" t="s">
        <v>78</v>
      </c>
      <c r="AA133" s="20" t="s">
        <v>1863</v>
      </c>
      <c r="AB133" s="31">
        <f>VLOOKUP(AA133,Masters!$K$2:$L$183,2,FALSE)</f>
        <v>1005</v>
      </c>
      <c r="AC133" s="20" t="s">
        <v>2063</v>
      </c>
      <c r="AD133" s="20" t="s">
        <v>2060</v>
      </c>
      <c r="AE133" s="20">
        <v>19</v>
      </c>
      <c r="AF133" s="20">
        <v>1</v>
      </c>
      <c r="AG133" s="20">
        <v>2005</v>
      </c>
      <c r="AH133" s="21">
        <v>38371</v>
      </c>
    </row>
    <row r="134" spans="1:34" x14ac:dyDescent="0.25">
      <c r="A134" s="35">
        <v>1902</v>
      </c>
      <c r="B134" s="22" t="s">
        <v>1827</v>
      </c>
      <c r="C134" s="22" t="s">
        <v>1827</v>
      </c>
      <c r="E134" s="20" t="s">
        <v>2056</v>
      </c>
      <c r="F134" s="20" t="s">
        <v>1843</v>
      </c>
      <c r="G134" s="31" t="s">
        <v>35</v>
      </c>
      <c r="I134" s="208">
        <v>1</v>
      </c>
      <c r="J134" s="208">
        <v>1</v>
      </c>
      <c r="K134" s="208"/>
      <c r="L134" s="209"/>
      <c r="M134" s="208"/>
      <c r="N134" s="208"/>
      <c r="O134" s="210">
        <v>0</v>
      </c>
      <c r="P134" s="210">
        <v>0</v>
      </c>
      <c r="Q134" s="210">
        <v>1</v>
      </c>
      <c r="R134" s="210">
        <v>0</v>
      </c>
      <c r="X134" s="20">
        <v>1</v>
      </c>
      <c r="Z134" s="20" t="s">
        <v>1850</v>
      </c>
      <c r="AA134" s="20" t="s">
        <v>1862</v>
      </c>
      <c r="AB134" s="31">
        <f>VLOOKUP(AA134,Masters!$K$2:$L$183,2,FALSE)</f>
        <v>1004</v>
      </c>
      <c r="AC134" s="20" t="s">
        <v>2063</v>
      </c>
      <c r="AE134" s="20">
        <v>18</v>
      </c>
      <c r="AF134" s="20">
        <v>7</v>
      </c>
      <c r="AG134" s="20">
        <v>2005</v>
      </c>
      <c r="AH134" s="21">
        <v>38551</v>
      </c>
    </row>
    <row r="135" spans="1:34" x14ac:dyDescent="0.25">
      <c r="A135" s="35">
        <v>1903</v>
      </c>
      <c r="B135" s="22" t="s">
        <v>1827</v>
      </c>
      <c r="C135" s="22" t="s">
        <v>1827</v>
      </c>
      <c r="E135" s="20" t="s">
        <v>2053</v>
      </c>
      <c r="F135" s="20" t="s">
        <v>1847</v>
      </c>
      <c r="G135" s="31" t="s">
        <v>35</v>
      </c>
      <c r="I135" s="208">
        <v>1</v>
      </c>
      <c r="J135" s="208">
        <v>1</v>
      </c>
      <c r="K135" s="208"/>
      <c r="L135" s="209"/>
      <c r="M135" s="208"/>
      <c r="N135" s="208"/>
      <c r="O135" s="210">
        <v>0</v>
      </c>
      <c r="P135" s="210">
        <v>0</v>
      </c>
      <c r="Q135" s="210">
        <v>1</v>
      </c>
      <c r="R135" s="210">
        <v>0</v>
      </c>
      <c r="S135" s="20" t="s">
        <v>180</v>
      </c>
      <c r="T135" s="20" t="s">
        <v>36</v>
      </c>
      <c r="V135" s="20" t="s">
        <v>181</v>
      </c>
      <c r="W135" s="21">
        <v>42885</v>
      </c>
      <c r="X135" s="20">
        <v>1</v>
      </c>
      <c r="Z135" s="20" t="s">
        <v>1850</v>
      </c>
      <c r="AA135" s="20" t="s">
        <v>1860</v>
      </c>
      <c r="AB135" s="31">
        <f>VLOOKUP(AA135,Masters!$K$2:$L$183,2,FALSE)</f>
        <v>1002</v>
      </c>
      <c r="AC135" s="20" t="s">
        <v>2063</v>
      </c>
      <c r="AE135" s="20">
        <v>11</v>
      </c>
      <c r="AF135" s="20">
        <v>7</v>
      </c>
      <c r="AG135" s="20">
        <v>2004</v>
      </c>
      <c r="AH135" s="21">
        <v>38179</v>
      </c>
    </row>
    <row r="136" spans="1:34" x14ac:dyDescent="0.25">
      <c r="A136" s="35">
        <v>1015</v>
      </c>
      <c r="B136" s="20" t="s">
        <v>1828</v>
      </c>
      <c r="C136" s="20" t="s">
        <v>1828</v>
      </c>
      <c r="D136" s="94" t="s">
        <v>942</v>
      </c>
      <c r="E136" s="20" t="s">
        <v>126</v>
      </c>
      <c r="F136" s="20" t="s">
        <v>1846</v>
      </c>
      <c r="G136" s="31" t="s">
        <v>40</v>
      </c>
      <c r="H136" s="32">
        <v>1</v>
      </c>
      <c r="I136" s="32" t="s">
        <v>263</v>
      </c>
      <c r="J136" s="32">
        <v>1</v>
      </c>
      <c r="K136" s="33" t="s">
        <v>263</v>
      </c>
      <c r="L136" s="34" t="s">
        <v>263</v>
      </c>
      <c r="M136" s="32" t="s">
        <v>263</v>
      </c>
      <c r="N136" s="32" t="s">
        <v>263</v>
      </c>
      <c r="O136" s="20" t="s">
        <v>265</v>
      </c>
      <c r="P136" s="20" t="s">
        <v>264</v>
      </c>
      <c r="Q136" s="20" t="s">
        <v>265</v>
      </c>
      <c r="R136" s="20" t="s">
        <v>265</v>
      </c>
      <c r="S136" s="20" t="s">
        <v>263</v>
      </c>
      <c r="T136" s="20" t="s">
        <v>263</v>
      </c>
      <c r="U136" s="20" t="s">
        <v>263</v>
      </c>
      <c r="V136" s="20" t="s">
        <v>263</v>
      </c>
      <c r="X136" s="20" t="s">
        <v>264</v>
      </c>
      <c r="Y136" s="20" t="s">
        <v>263</v>
      </c>
      <c r="Z136" s="20" t="s">
        <v>1857</v>
      </c>
      <c r="AA136" s="20" t="s">
        <v>1862</v>
      </c>
      <c r="AB136" s="31">
        <f>VLOOKUP(AA136,Masters!$K$2:$L$183,2,FALSE)</f>
        <v>1004</v>
      </c>
      <c r="AC136" s="20" t="s">
        <v>2063</v>
      </c>
      <c r="AD136" s="20" t="s">
        <v>2061</v>
      </c>
      <c r="AE136" s="20">
        <v>27</v>
      </c>
      <c r="AF136" s="20">
        <v>1</v>
      </c>
      <c r="AG136" s="20">
        <v>2002</v>
      </c>
      <c r="AH136" s="21">
        <v>37283</v>
      </c>
    </row>
    <row r="137" spans="1:34" x14ac:dyDescent="0.25">
      <c r="A137" s="35">
        <v>1460</v>
      </c>
      <c r="B137" s="20" t="s">
        <v>1828</v>
      </c>
      <c r="C137" s="20" t="s">
        <v>1828</v>
      </c>
      <c r="D137" s="94" t="s">
        <v>1387</v>
      </c>
      <c r="E137" s="20" t="s">
        <v>2055</v>
      </c>
      <c r="F137" s="20" t="s">
        <v>1844</v>
      </c>
      <c r="G137" s="31" t="s">
        <v>40</v>
      </c>
      <c r="H137" s="32">
        <v>1</v>
      </c>
      <c r="J137" s="32">
        <v>1</v>
      </c>
      <c r="O137" s="20">
        <v>0</v>
      </c>
      <c r="P137" s="20">
        <v>1</v>
      </c>
      <c r="Q137" s="20">
        <v>0</v>
      </c>
      <c r="R137" s="20">
        <v>0</v>
      </c>
      <c r="X137" s="20">
        <v>1</v>
      </c>
      <c r="Z137" s="20" t="s">
        <v>201</v>
      </c>
      <c r="AA137" s="20" t="s">
        <v>1860</v>
      </c>
      <c r="AB137" s="31">
        <f>VLOOKUP(AA137,Masters!$K$2:$L$183,2,FALSE)</f>
        <v>1002</v>
      </c>
      <c r="AC137" s="20" t="s">
        <v>2064</v>
      </c>
      <c r="AD137" s="20" t="s">
        <v>2061</v>
      </c>
      <c r="AE137" s="20">
        <v>26</v>
      </c>
      <c r="AF137" s="20">
        <v>1</v>
      </c>
      <c r="AG137" s="20">
        <v>2003</v>
      </c>
      <c r="AH137" s="21">
        <v>37647</v>
      </c>
    </row>
    <row r="138" spans="1:34" x14ac:dyDescent="0.25">
      <c r="A138" s="35">
        <v>1614</v>
      </c>
      <c r="B138" s="20" t="s">
        <v>1828</v>
      </c>
      <c r="C138" s="20" t="s">
        <v>1828</v>
      </c>
      <c r="D138" s="94" t="s">
        <v>1541</v>
      </c>
      <c r="E138" s="20" t="s">
        <v>2054</v>
      </c>
      <c r="F138" s="20" t="s">
        <v>1843</v>
      </c>
      <c r="G138" s="31" t="s">
        <v>40</v>
      </c>
      <c r="H138" s="32">
        <v>1</v>
      </c>
      <c r="J138" s="32">
        <v>1</v>
      </c>
      <c r="O138" s="20">
        <v>0</v>
      </c>
      <c r="P138" s="20">
        <v>1</v>
      </c>
      <c r="Q138" s="20">
        <v>0</v>
      </c>
      <c r="R138" s="20">
        <v>0</v>
      </c>
      <c r="X138" s="20">
        <v>1</v>
      </c>
      <c r="Z138" s="20" t="s">
        <v>1856</v>
      </c>
      <c r="AA138" s="20" t="s">
        <v>1859</v>
      </c>
      <c r="AB138" s="31">
        <f>VLOOKUP(AA138,Masters!$K$2:$L$183,2,FALSE)</f>
        <v>1001</v>
      </c>
      <c r="AC138" s="20" t="s">
        <v>2063</v>
      </c>
      <c r="AD138" s="20" t="s">
        <v>2060</v>
      </c>
      <c r="AE138" s="20">
        <v>7</v>
      </c>
      <c r="AF138" s="20">
        <v>7</v>
      </c>
      <c r="AG138" s="20">
        <v>2003</v>
      </c>
      <c r="AH138" s="21">
        <v>37809</v>
      </c>
    </row>
    <row r="139" spans="1:34" x14ac:dyDescent="0.25">
      <c r="A139" s="35">
        <v>1738</v>
      </c>
      <c r="B139" s="20" t="s">
        <v>1828</v>
      </c>
      <c r="C139" s="20" t="s">
        <v>1828</v>
      </c>
      <c r="D139" s="94" t="s">
        <v>1665</v>
      </c>
      <c r="E139" s="20" t="s">
        <v>135</v>
      </c>
      <c r="F139" s="20" t="s">
        <v>1846</v>
      </c>
      <c r="G139" s="31" t="s">
        <v>40</v>
      </c>
      <c r="H139" s="32">
        <v>1</v>
      </c>
      <c r="J139" s="32">
        <v>1</v>
      </c>
      <c r="O139" s="20">
        <v>0</v>
      </c>
      <c r="P139" s="20">
        <v>1</v>
      </c>
      <c r="Q139" s="20">
        <v>0</v>
      </c>
      <c r="R139" s="20">
        <v>0</v>
      </c>
      <c r="X139" s="20">
        <v>1</v>
      </c>
      <c r="Z139" s="20" t="s">
        <v>1832</v>
      </c>
      <c r="AA139" s="20" t="s">
        <v>1861</v>
      </c>
      <c r="AB139" s="31">
        <f>VLOOKUP(AA139,Masters!$K$2:$L$183,2,FALSE)</f>
        <v>1003</v>
      </c>
      <c r="AC139" s="20" t="s">
        <v>2063</v>
      </c>
      <c r="AD139" s="20" t="s">
        <v>2061</v>
      </c>
      <c r="AE139" s="20">
        <v>5</v>
      </c>
      <c r="AF139" s="20">
        <v>11</v>
      </c>
      <c r="AG139" s="20">
        <v>2003</v>
      </c>
      <c r="AH139" s="21">
        <v>37930</v>
      </c>
    </row>
    <row r="140" spans="1:34" x14ac:dyDescent="0.25">
      <c r="A140" s="35">
        <v>1862</v>
      </c>
      <c r="B140" s="20" t="s">
        <v>1828</v>
      </c>
      <c r="C140" s="20" t="s">
        <v>1828</v>
      </c>
      <c r="D140" s="94" t="s">
        <v>1789</v>
      </c>
      <c r="E140" s="20" t="s">
        <v>2050</v>
      </c>
      <c r="F140" s="20" t="s">
        <v>1847</v>
      </c>
      <c r="G140" s="31" t="s">
        <v>40</v>
      </c>
      <c r="H140" s="32">
        <v>1</v>
      </c>
      <c r="J140" s="32">
        <v>1</v>
      </c>
      <c r="O140" s="20">
        <v>0</v>
      </c>
      <c r="P140" s="20">
        <v>1</v>
      </c>
      <c r="Q140" s="20">
        <v>0</v>
      </c>
      <c r="R140" s="20">
        <v>0</v>
      </c>
      <c r="S140" s="20" t="s">
        <v>184</v>
      </c>
      <c r="T140" s="20" t="s">
        <v>170</v>
      </c>
      <c r="X140" s="20">
        <v>1</v>
      </c>
      <c r="Z140" s="20" t="s">
        <v>1857</v>
      </c>
      <c r="AA140" s="20" t="s">
        <v>1861</v>
      </c>
      <c r="AB140" s="31">
        <f>VLOOKUP(AA140,Masters!$K$2:$L$183,2,FALSE)</f>
        <v>1003</v>
      </c>
      <c r="AC140" s="20" t="s">
        <v>2064</v>
      </c>
      <c r="AD140" s="20" t="s">
        <v>2061</v>
      </c>
      <c r="AE140" s="20">
        <v>14</v>
      </c>
      <c r="AF140" s="20">
        <v>8</v>
      </c>
      <c r="AG140" s="20">
        <v>2001</v>
      </c>
      <c r="AH140" s="21">
        <v>37117</v>
      </c>
    </row>
    <row r="141" spans="1:34" x14ac:dyDescent="0.25">
      <c r="A141" s="35">
        <v>1865</v>
      </c>
      <c r="B141" s="20" t="s">
        <v>1828</v>
      </c>
      <c r="C141" s="20" t="s">
        <v>1828</v>
      </c>
      <c r="D141" s="94" t="s">
        <v>1792</v>
      </c>
      <c r="E141" s="20" t="s">
        <v>133</v>
      </c>
      <c r="F141" s="20" t="s">
        <v>1847</v>
      </c>
      <c r="G141" s="31" t="s">
        <v>40</v>
      </c>
      <c r="H141" s="32">
        <v>1</v>
      </c>
      <c r="J141" s="32">
        <v>1</v>
      </c>
      <c r="O141" s="20">
        <v>0</v>
      </c>
      <c r="P141" s="20">
        <v>1</v>
      </c>
      <c r="Q141" s="20">
        <v>0</v>
      </c>
      <c r="R141" s="20">
        <v>0</v>
      </c>
      <c r="S141" s="20" t="s">
        <v>183</v>
      </c>
      <c r="T141" s="20" t="s">
        <v>36</v>
      </c>
      <c r="X141" s="20">
        <v>1</v>
      </c>
      <c r="Z141" s="20" t="s">
        <v>1858</v>
      </c>
      <c r="AA141" s="20" t="s">
        <v>1863</v>
      </c>
      <c r="AB141" s="31">
        <f>VLOOKUP(AA141,Masters!$K$2:$L$183,2,FALSE)</f>
        <v>1005</v>
      </c>
      <c r="AC141" s="20" t="s">
        <v>2064</v>
      </c>
      <c r="AD141" s="20" t="s">
        <v>2061</v>
      </c>
      <c r="AE141" s="20">
        <v>24</v>
      </c>
      <c r="AF141" s="20">
        <v>10</v>
      </c>
      <c r="AG141" s="20">
        <v>2000</v>
      </c>
      <c r="AH141" s="21">
        <v>36823</v>
      </c>
    </row>
    <row r="142" spans="1:34" x14ac:dyDescent="0.25">
      <c r="A142" s="35">
        <v>1904</v>
      </c>
      <c r="B142" s="20" t="s">
        <v>1828</v>
      </c>
      <c r="C142" s="20" t="s">
        <v>1828</v>
      </c>
      <c r="E142" s="20" t="s">
        <v>2055</v>
      </c>
      <c r="F142" s="20" t="s">
        <v>1844</v>
      </c>
      <c r="G142" s="31" t="s">
        <v>35</v>
      </c>
      <c r="I142" s="208">
        <v>1</v>
      </c>
      <c r="J142" s="208">
        <v>1</v>
      </c>
      <c r="K142" s="208"/>
      <c r="L142" s="209"/>
      <c r="M142" s="208"/>
      <c r="N142" s="208"/>
      <c r="O142" s="210">
        <v>0</v>
      </c>
      <c r="P142" s="210">
        <v>0</v>
      </c>
      <c r="Q142" s="210">
        <v>1</v>
      </c>
      <c r="R142" s="210">
        <v>0</v>
      </c>
      <c r="S142" s="20" t="s">
        <v>180</v>
      </c>
      <c r="T142" s="20" t="s">
        <v>36</v>
      </c>
      <c r="V142" s="20" t="s">
        <v>182</v>
      </c>
      <c r="X142" s="20">
        <v>1</v>
      </c>
      <c r="Z142" s="20" t="s">
        <v>1856</v>
      </c>
      <c r="AA142" s="20" t="s">
        <v>1863</v>
      </c>
      <c r="AB142" s="31">
        <f>VLOOKUP(AA142,Masters!$K$2:$L$183,2,FALSE)</f>
        <v>1005</v>
      </c>
      <c r="AC142" s="20" t="s">
        <v>2063</v>
      </c>
      <c r="AE142" s="20">
        <v>28</v>
      </c>
      <c r="AF142" s="20">
        <v>3</v>
      </c>
      <c r="AG142" s="20">
        <v>2005</v>
      </c>
      <c r="AH142" s="21">
        <v>38439</v>
      </c>
    </row>
    <row r="143" spans="1:34" x14ac:dyDescent="0.25">
      <c r="A143" s="35">
        <v>1184</v>
      </c>
      <c r="B143" s="20" t="s">
        <v>1829</v>
      </c>
      <c r="C143" s="20" t="s">
        <v>1829</v>
      </c>
      <c r="D143" s="94" t="s">
        <v>1111</v>
      </c>
      <c r="E143" s="20" t="s">
        <v>2050</v>
      </c>
      <c r="F143" s="20" t="s">
        <v>1845</v>
      </c>
      <c r="G143" s="31" t="s">
        <v>40</v>
      </c>
      <c r="H143" s="32">
        <v>1</v>
      </c>
      <c r="J143" s="32">
        <v>1</v>
      </c>
      <c r="O143" s="20">
        <v>0</v>
      </c>
      <c r="P143" s="20">
        <v>1</v>
      </c>
      <c r="Q143" s="20">
        <v>0</v>
      </c>
      <c r="R143" s="20">
        <v>0</v>
      </c>
      <c r="X143" s="20">
        <v>1</v>
      </c>
      <c r="Z143" s="20" t="s">
        <v>78</v>
      </c>
      <c r="AA143" s="20" t="s">
        <v>1861</v>
      </c>
      <c r="AB143" s="31">
        <f>VLOOKUP(AA143,Masters!$K$2:$L$183,2,FALSE)</f>
        <v>1003</v>
      </c>
      <c r="AC143" s="20" t="s">
        <v>2064</v>
      </c>
      <c r="AD143" s="20" t="s">
        <v>2061</v>
      </c>
      <c r="AE143" s="20">
        <v>9</v>
      </c>
      <c r="AF143" s="20">
        <v>11</v>
      </c>
      <c r="AG143" s="20">
        <v>2005</v>
      </c>
      <c r="AH143" s="21">
        <v>38665</v>
      </c>
    </row>
    <row r="144" spans="1:34" x14ac:dyDescent="0.25">
      <c r="A144" s="35">
        <v>1217</v>
      </c>
      <c r="B144" s="20" t="s">
        <v>1829</v>
      </c>
      <c r="C144" s="20" t="s">
        <v>1829</v>
      </c>
      <c r="D144" s="94" t="s">
        <v>1144</v>
      </c>
      <c r="E144" s="20" t="s">
        <v>2054</v>
      </c>
      <c r="F144" s="20" t="s">
        <v>1847</v>
      </c>
      <c r="G144" s="31" t="s">
        <v>40</v>
      </c>
      <c r="H144" s="32">
        <v>1</v>
      </c>
      <c r="J144" s="32">
        <v>1</v>
      </c>
      <c r="O144" s="20">
        <v>0</v>
      </c>
      <c r="P144" s="20">
        <v>1</v>
      </c>
      <c r="Q144" s="20">
        <v>0</v>
      </c>
      <c r="R144" s="20">
        <v>0</v>
      </c>
      <c r="X144" s="20">
        <v>1</v>
      </c>
      <c r="Z144" s="20" t="s">
        <v>1832</v>
      </c>
      <c r="AA144" s="20" t="s">
        <v>1862</v>
      </c>
      <c r="AB144" s="31">
        <f>VLOOKUP(AA144,Masters!$K$2:$L$183,2,FALSE)</f>
        <v>1004</v>
      </c>
      <c r="AC144" s="20" t="s">
        <v>2063</v>
      </c>
      <c r="AD144" s="20" t="s">
        <v>2060</v>
      </c>
      <c r="AE144" s="20">
        <v>26</v>
      </c>
      <c r="AF144" s="20">
        <v>10</v>
      </c>
      <c r="AG144" s="20">
        <v>2005</v>
      </c>
      <c r="AH144" s="21">
        <v>38651</v>
      </c>
    </row>
    <row r="145" spans="1:34" x14ac:dyDescent="0.25">
      <c r="A145" s="35">
        <v>1221</v>
      </c>
      <c r="B145" s="20" t="s">
        <v>1829</v>
      </c>
      <c r="C145" s="20" t="s">
        <v>1829</v>
      </c>
      <c r="D145" s="94" t="s">
        <v>1148</v>
      </c>
      <c r="E145" s="20" t="s">
        <v>2055</v>
      </c>
      <c r="F145" s="20" t="s">
        <v>1843</v>
      </c>
      <c r="G145" s="31" t="s">
        <v>40</v>
      </c>
      <c r="H145" s="32">
        <v>1</v>
      </c>
      <c r="J145" s="32">
        <v>1</v>
      </c>
      <c r="O145" s="20">
        <v>0</v>
      </c>
      <c r="P145" s="20">
        <v>1</v>
      </c>
      <c r="Q145" s="20">
        <v>0</v>
      </c>
      <c r="R145" s="20">
        <v>0</v>
      </c>
      <c r="X145" s="20">
        <v>1</v>
      </c>
      <c r="Z145" s="20" t="s">
        <v>1835</v>
      </c>
      <c r="AA145" s="20" t="s">
        <v>1863</v>
      </c>
      <c r="AB145" s="31">
        <f>VLOOKUP(AA145,Masters!$K$2:$L$183,2,FALSE)</f>
        <v>1005</v>
      </c>
      <c r="AC145" s="20" t="s">
        <v>2063</v>
      </c>
      <c r="AD145" s="20" t="s">
        <v>2060</v>
      </c>
      <c r="AE145" s="20">
        <v>5</v>
      </c>
      <c r="AF145" s="20">
        <v>3</v>
      </c>
      <c r="AG145" s="20">
        <v>2005</v>
      </c>
      <c r="AH145" s="21">
        <v>38416</v>
      </c>
    </row>
    <row r="146" spans="1:34" x14ac:dyDescent="0.25">
      <c r="A146" s="35">
        <v>1223</v>
      </c>
      <c r="B146" s="20" t="s">
        <v>1829</v>
      </c>
      <c r="C146" s="20" t="s">
        <v>1829</v>
      </c>
      <c r="D146" s="94" t="s">
        <v>1150</v>
      </c>
      <c r="E146" s="20" t="s">
        <v>2053</v>
      </c>
      <c r="F146" s="20" t="s">
        <v>1846</v>
      </c>
      <c r="G146" s="31" t="s">
        <v>40</v>
      </c>
      <c r="H146" s="32">
        <v>1</v>
      </c>
      <c r="J146" s="32">
        <v>1</v>
      </c>
      <c r="O146" s="20">
        <v>0</v>
      </c>
      <c r="P146" s="20">
        <v>1</v>
      </c>
      <c r="Q146" s="20">
        <v>0</v>
      </c>
      <c r="R146" s="20">
        <v>0</v>
      </c>
      <c r="X146" s="20">
        <v>1</v>
      </c>
      <c r="Z146" s="20" t="s">
        <v>100</v>
      </c>
      <c r="AA146" s="20" t="s">
        <v>1863</v>
      </c>
      <c r="AB146" s="31">
        <f>VLOOKUP(AA146,Masters!$K$2:$L$183,2,FALSE)</f>
        <v>1005</v>
      </c>
      <c r="AC146" s="20" t="s">
        <v>2063</v>
      </c>
      <c r="AD146" s="20" t="s">
        <v>2061</v>
      </c>
      <c r="AE146" s="20">
        <v>16</v>
      </c>
      <c r="AF146" s="20">
        <v>11</v>
      </c>
      <c r="AG146" s="20">
        <v>2005</v>
      </c>
      <c r="AH146" s="21">
        <v>38672</v>
      </c>
    </row>
    <row r="147" spans="1:34" x14ac:dyDescent="0.25">
      <c r="A147" s="35">
        <v>1269</v>
      </c>
      <c r="B147" s="20" t="s">
        <v>1829</v>
      </c>
      <c r="C147" s="20" t="s">
        <v>1829</v>
      </c>
      <c r="D147" s="94" t="s">
        <v>1196</v>
      </c>
      <c r="E147" s="20" t="s">
        <v>135</v>
      </c>
      <c r="F147" s="20" t="s">
        <v>1843</v>
      </c>
      <c r="G147" s="31" t="s">
        <v>40</v>
      </c>
      <c r="H147" s="32">
        <v>1</v>
      </c>
      <c r="J147" s="32">
        <v>1</v>
      </c>
      <c r="O147" s="20">
        <v>0</v>
      </c>
      <c r="P147" s="20">
        <v>1</v>
      </c>
      <c r="Q147" s="20">
        <v>0</v>
      </c>
      <c r="R147" s="20">
        <v>0</v>
      </c>
      <c r="X147" s="20">
        <v>1</v>
      </c>
      <c r="Z147" s="20" t="s">
        <v>1856</v>
      </c>
      <c r="AA147" s="20" t="s">
        <v>1863</v>
      </c>
      <c r="AB147" s="31">
        <f>VLOOKUP(AA147,Masters!$K$2:$L$183,2,FALSE)</f>
        <v>1005</v>
      </c>
      <c r="AC147" s="20" t="s">
        <v>2063</v>
      </c>
      <c r="AD147" s="20" t="s">
        <v>2060</v>
      </c>
      <c r="AE147" s="20">
        <v>8</v>
      </c>
      <c r="AF147" s="20">
        <v>10</v>
      </c>
      <c r="AG147" s="20">
        <v>2000</v>
      </c>
      <c r="AH147" s="21">
        <v>36807</v>
      </c>
    </row>
    <row r="148" spans="1:34" x14ac:dyDescent="0.25">
      <c r="A148" s="35">
        <v>1359</v>
      </c>
      <c r="B148" s="20" t="s">
        <v>1829</v>
      </c>
      <c r="C148" s="20" t="s">
        <v>1829</v>
      </c>
      <c r="D148" s="94" t="s">
        <v>1286</v>
      </c>
      <c r="E148" s="20" t="s">
        <v>2050</v>
      </c>
      <c r="F148" s="20" t="s">
        <v>1843</v>
      </c>
      <c r="G148" s="31" t="s">
        <v>40</v>
      </c>
      <c r="H148" s="32">
        <v>1</v>
      </c>
      <c r="J148" s="32">
        <v>1</v>
      </c>
      <c r="O148" s="20">
        <v>0</v>
      </c>
      <c r="P148" s="20">
        <v>1</v>
      </c>
      <c r="Q148" s="20">
        <v>0</v>
      </c>
      <c r="R148" s="20">
        <v>0</v>
      </c>
      <c r="X148" s="20">
        <v>1</v>
      </c>
      <c r="Z148" s="20" t="s">
        <v>1855</v>
      </c>
      <c r="AA148" s="20" t="s">
        <v>1860</v>
      </c>
      <c r="AB148" s="31">
        <f>VLOOKUP(AA148,Masters!$K$2:$L$183,2,FALSE)</f>
        <v>1002</v>
      </c>
      <c r="AC148" s="20" t="s">
        <v>2063</v>
      </c>
      <c r="AD148" s="20" t="s">
        <v>2060</v>
      </c>
      <c r="AE148" s="20">
        <v>14</v>
      </c>
      <c r="AF148" s="20">
        <v>5</v>
      </c>
      <c r="AG148" s="20">
        <v>2002</v>
      </c>
      <c r="AH148" s="21">
        <v>37390</v>
      </c>
    </row>
    <row r="149" spans="1:34" x14ac:dyDescent="0.25">
      <c r="A149" s="35">
        <v>1389</v>
      </c>
      <c r="B149" s="20" t="s">
        <v>1829</v>
      </c>
      <c r="C149" s="20" t="s">
        <v>1829</v>
      </c>
      <c r="D149" s="94" t="s">
        <v>1316</v>
      </c>
      <c r="E149" s="20" t="s">
        <v>2051</v>
      </c>
      <c r="F149" s="20" t="s">
        <v>1844</v>
      </c>
      <c r="G149" s="31" t="s">
        <v>40</v>
      </c>
      <c r="H149" s="32">
        <v>1</v>
      </c>
      <c r="J149" s="32">
        <v>1</v>
      </c>
      <c r="O149" s="20">
        <v>0</v>
      </c>
      <c r="P149" s="20">
        <v>1</v>
      </c>
      <c r="Q149" s="20">
        <v>0</v>
      </c>
      <c r="R149" s="20">
        <v>0</v>
      </c>
      <c r="X149" s="20">
        <v>1</v>
      </c>
      <c r="Z149" s="20" t="s">
        <v>753</v>
      </c>
      <c r="AA149" s="20" t="s">
        <v>1860</v>
      </c>
      <c r="AB149" s="31">
        <f>VLOOKUP(AA149,Masters!$K$2:$L$183,2,FALSE)</f>
        <v>1002</v>
      </c>
      <c r="AC149" s="20" t="s">
        <v>2063</v>
      </c>
      <c r="AD149" s="20" t="s">
        <v>2061</v>
      </c>
      <c r="AE149" s="20">
        <v>25</v>
      </c>
      <c r="AF149" s="20">
        <v>1</v>
      </c>
      <c r="AG149" s="20">
        <v>2005</v>
      </c>
      <c r="AH149" s="21">
        <v>38377</v>
      </c>
    </row>
    <row r="150" spans="1:34" x14ac:dyDescent="0.25">
      <c r="A150" s="35">
        <v>1010</v>
      </c>
      <c r="B150" s="22" t="s">
        <v>1830</v>
      </c>
      <c r="C150" s="22" t="s">
        <v>1830</v>
      </c>
      <c r="D150" s="94" t="s">
        <v>937</v>
      </c>
      <c r="E150" s="20" t="s">
        <v>2052</v>
      </c>
      <c r="F150" s="20" t="s">
        <v>1847</v>
      </c>
      <c r="G150" s="35" t="s">
        <v>40</v>
      </c>
      <c r="H150" s="36">
        <v>1</v>
      </c>
      <c r="I150" s="36" t="s">
        <v>263</v>
      </c>
      <c r="J150" s="36">
        <v>1</v>
      </c>
      <c r="K150" s="37" t="s">
        <v>263</v>
      </c>
      <c r="L150" s="38" t="s">
        <v>263</v>
      </c>
      <c r="M150" s="36" t="s">
        <v>263</v>
      </c>
      <c r="N150" s="36" t="s">
        <v>263</v>
      </c>
      <c r="O150" s="22" t="s">
        <v>265</v>
      </c>
      <c r="P150" s="22" t="s">
        <v>264</v>
      </c>
      <c r="Q150" s="22" t="s">
        <v>265</v>
      </c>
      <c r="R150" s="22" t="s">
        <v>265</v>
      </c>
      <c r="S150" s="22" t="s">
        <v>263</v>
      </c>
      <c r="T150" s="22" t="s">
        <v>263</v>
      </c>
      <c r="U150" s="22" t="s">
        <v>263</v>
      </c>
      <c r="V150" s="22" t="s">
        <v>263</v>
      </c>
      <c r="X150" s="22" t="s">
        <v>264</v>
      </c>
      <c r="Y150" s="22" t="s">
        <v>263</v>
      </c>
      <c r="Z150" s="20" t="s">
        <v>1851</v>
      </c>
      <c r="AA150" s="20" t="s">
        <v>1862</v>
      </c>
      <c r="AB150" s="31">
        <f>VLOOKUP(AA150,Masters!$K$2:$L$183,2,FALSE)</f>
        <v>1004</v>
      </c>
      <c r="AC150" s="22" t="s">
        <v>2063</v>
      </c>
      <c r="AD150" s="22" t="s">
        <v>2061</v>
      </c>
      <c r="AE150" s="20">
        <v>6</v>
      </c>
      <c r="AF150" s="20">
        <v>3</v>
      </c>
      <c r="AG150" s="20">
        <v>2005</v>
      </c>
      <c r="AH150" s="21">
        <v>38417</v>
      </c>
    </row>
    <row r="151" spans="1:34" x14ac:dyDescent="0.25">
      <c r="A151" s="35">
        <v>1046</v>
      </c>
      <c r="B151" s="22" t="s">
        <v>1830</v>
      </c>
      <c r="C151" s="22" t="s">
        <v>1830</v>
      </c>
      <c r="D151" s="94" t="s">
        <v>973</v>
      </c>
      <c r="E151" s="20" t="s">
        <v>2055</v>
      </c>
      <c r="F151" s="20" t="s">
        <v>1844</v>
      </c>
      <c r="G151" s="31" t="s">
        <v>40</v>
      </c>
      <c r="H151" s="32">
        <v>1</v>
      </c>
      <c r="J151" s="32">
        <v>1</v>
      </c>
      <c r="O151" s="20">
        <v>0</v>
      </c>
      <c r="P151" s="20">
        <v>1</v>
      </c>
      <c r="Q151" s="20">
        <v>0</v>
      </c>
      <c r="R151" s="20">
        <v>0</v>
      </c>
      <c r="X151" s="20">
        <v>1</v>
      </c>
      <c r="Z151" s="20" t="s">
        <v>1855</v>
      </c>
      <c r="AA151" s="20" t="s">
        <v>1860</v>
      </c>
      <c r="AB151" s="31">
        <f>VLOOKUP(AA151,Masters!$K$2:$L$183,2,FALSE)</f>
        <v>1002</v>
      </c>
      <c r="AC151" s="20" t="s">
        <v>2063</v>
      </c>
      <c r="AD151" s="20" t="s">
        <v>2060</v>
      </c>
      <c r="AE151" s="20">
        <v>22</v>
      </c>
      <c r="AF151" s="20">
        <v>12</v>
      </c>
      <c r="AG151" s="20">
        <v>2001</v>
      </c>
      <c r="AH151" s="21">
        <v>37247</v>
      </c>
    </row>
    <row r="152" spans="1:34" x14ac:dyDescent="0.25">
      <c r="A152" s="35">
        <v>1056</v>
      </c>
      <c r="B152" s="22" t="s">
        <v>1830</v>
      </c>
      <c r="C152" s="22" t="s">
        <v>1830</v>
      </c>
      <c r="D152" s="94" t="s">
        <v>983</v>
      </c>
      <c r="E152" s="20" t="s">
        <v>2057</v>
      </c>
      <c r="F152" s="20" t="s">
        <v>1845</v>
      </c>
      <c r="G152" s="31" t="s">
        <v>40</v>
      </c>
      <c r="H152" s="32">
        <v>1</v>
      </c>
      <c r="J152" s="32">
        <v>1</v>
      </c>
      <c r="O152" s="20">
        <v>0</v>
      </c>
      <c r="P152" s="20">
        <v>1</v>
      </c>
      <c r="Q152" s="20">
        <v>0</v>
      </c>
      <c r="R152" s="20">
        <v>0</v>
      </c>
      <c r="X152" s="20">
        <v>1</v>
      </c>
      <c r="Z152" s="20" t="s">
        <v>1849</v>
      </c>
      <c r="AA152" s="20" t="s">
        <v>1861</v>
      </c>
      <c r="AB152" s="31">
        <f>VLOOKUP(AA152,Masters!$K$2:$L$183,2,FALSE)</f>
        <v>1003</v>
      </c>
      <c r="AC152" s="20" t="s">
        <v>2063</v>
      </c>
      <c r="AD152" s="20" t="s">
        <v>2061</v>
      </c>
      <c r="AE152" s="20">
        <v>16</v>
      </c>
      <c r="AF152" s="20">
        <v>11</v>
      </c>
      <c r="AG152" s="20">
        <v>2000</v>
      </c>
      <c r="AH152" s="21">
        <v>36846</v>
      </c>
    </row>
    <row r="153" spans="1:34" x14ac:dyDescent="0.25">
      <c r="A153" s="35">
        <v>1068</v>
      </c>
      <c r="B153" s="22" t="s">
        <v>1830</v>
      </c>
      <c r="C153" s="22" t="s">
        <v>1830</v>
      </c>
      <c r="D153" s="94" t="s">
        <v>995</v>
      </c>
      <c r="E153" s="20" t="s">
        <v>135</v>
      </c>
      <c r="F153" s="20" t="s">
        <v>1846</v>
      </c>
      <c r="G153" s="31" t="s">
        <v>40</v>
      </c>
      <c r="H153" s="32">
        <v>1</v>
      </c>
      <c r="J153" s="32">
        <v>1</v>
      </c>
      <c r="O153" s="20">
        <v>0</v>
      </c>
      <c r="P153" s="20">
        <v>1</v>
      </c>
      <c r="Q153" s="20">
        <v>0</v>
      </c>
      <c r="R153" s="20">
        <v>0</v>
      </c>
      <c r="X153" s="20">
        <v>1</v>
      </c>
      <c r="Z153" s="20" t="s">
        <v>1858</v>
      </c>
      <c r="AA153" s="20" t="s">
        <v>1860</v>
      </c>
      <c r="AB153" s="31">
        <f>VLOOKUP(AA153,Masters!$K$2:$L$183,2,FALSE)</f>
        <v>1002</v>
      </c>
      <c r="AC153" s="20" t="s">
        <v>2063</v>
      </c>
      <c r="AD153" s="20" t="s">
        <v>2061</v>
      </c>
      <c r="AE153" s="20">
        <v>14</v>
      </c>
      <c r="AF153" s="20">
        <v>1</v>
      </c>
      <c r="AG153" s="20">
        <v>2003</v>
      </c>
      <c r="AH153" s="21">
        <v>37635</v>
      </c>
    </row>
    <row r="154" spans="1:34" x14ac:dyDescent="0.25">
      <c r="A154" s="35">
        <v>1201</v>
      </c>
      <c r="B154" s="22" t="s">
        <v>1830</v>
      </c>
      <c r="C154" s="22" t="s">
        <v>1830</v>
      </c>
      <c r="D154" s="94" t="s">
        <v>1128</v>
      </c>
      <c r="E154" s="20" t="s">
        <v>2052</v>
      </c>
      <c r="F154" s="20" t="s">
        <v>1843</v>
      </c>
      <c r="G154" s="31" t="s">
        <v>40</v>
      </c>
      <c r="H154" s="32">
        <v>1</v>
      </c>
      <c r="J154" s="32">
        <v>1</v>
      </c>
      <c r="O154" s="20">
        <v>0</v>
      </c>
      <c r="P154" s="20">
        <v>1</v>
      </c>
      <c r="Q154" s="20">
        <v>0</v>
      </c>
      <c r="R154" s="20">
        <v>0</v>
      </c>
      <c r="X154" s="20">
        <v>1</v>
      </c>
      <c r="Z154" s="20" t="s">
        <v>201</v>
      </c>
      <c r="AA154" s="20" t="s">
        <v>1862</v>
      </c>
      <c r="AB154" s="31">
        <f>VLOOKUP(AA154,Masters!$K$2:$L$183,2,FALSE)</f>
        <v>1004</v>
      </c>
      <c r="AC154" s="20" t="s">
        <v>2063</v>
      </c>
      <c r="AD154" s="20" t="s">
        <v>2060</v>
      </c>
      <c r="AE154" s="20">
        <v>24</v>
      </c>
      <c r="AF154" s="20">
        <v>9</v>
      </c>
      <c r="AG154" s="20">
        <v>2003</v>
      </c>
      <c r="AH154" s="21">
        <v>37888</v>
      </c>
    </row>
    <row r="155" spans="1:34" x14ac:dyDescent="0.25">
      <c r="A155" s="35">
        <v>1249</v>
      </c>
      <c r="B155" s="22" t="s">
        <v>1830</v>
      </c>
      <c r="C155" s="22" t="s">
        <v>1830</v>
      </c>
      <c r="D155" s="94" t="s">
        <v>1176</v>
      </c>
      <c r="E155" s="20" t="s">
        <v>2058</v>
      </c>
      <c r="F155" s="20" t="s">
        <v>1846</v>
      </c>
      <c r="G155" s="31" t="s">
        <v>40</v>
      </c>
      <c r="H155" s="32">
        <v>1</v>
      </c>
      <c r="J155" s="32">
        <v>1</v>
      </c>
      <c r="O155" s="20">
        <v>0</v>
      </c>
      <c r="P155" s="20">
        <v>1</v>
      </c>
      <c r="Q155" s="20">
        <v>0</v>
      </c>
      <c r="R155" s="20">
        <v>0</v>
      </c>
      <c r="X155" s="20">
        <v>1</v>
      </c>
      <c r="Z155" s="20" t="s">
        <v>1851</v>
      </c>
      <c r="AA155" s="20" t="s">
        <v>1861</v>
      </c>
      <c r="AB155" s="31">
        <f>VLOOKUP(AA155,Masters!$K$2:$L$183,2,FALSE)</f>
        <v>1003</v>
      </c>
      <c r="AC155" s="20" t="s">
        <v>2064</v>
      </c>
      <c r="AD155" s="20" t="s">
        <v>2061</v>
      </c>
      <c r="AE155" s="20">
        <v>28</v>
      </c>
      <c r="AF155" s="20">
        <v>7</v>
      </c>
      <c r="AG155" s="20">
        <v>2004</v>
      </c>
      <c r="AH155" s="21">
        <v>38196</v>
      </c>
    </row>
    <row r="156" spans="1:34" x14ac:dyDescent="0.25">
      <c r="A156" s="35">
        <v>1262</v>
      </c>
      <c r="B156" s="22" t="s">
        <v>1830</v>
      </c>
      <c r="C156" s="22" t="s">
        <v>1830</v>
      </c>
      <c r="D156" s="94" t="s">
        <v>1189</v>
      </c>
      <c r="E156" s="20" t="s">
        <v>135</v>
      </c>
      <c r="F156" s="20" t="s">
        <v>1847</v>
      </c>
      <c r="G156" s="31" t="s">
        <v>40</v>
      </c>
      <c r="H156" s="32">
        <v>1</v>
      </c>
      <c r="J156" s="32">
        <v>1</v>
      </c>
      <c r="O156" s="20">
        <v>0</v>
      </c>
      <c r="P156" s="20">
        <v>1</v>
      </c>
      <c r="Q156" s="20">
        <v>0</v>
      </c>
      <c r="R156" s="20">
        <v>0</v>
      </c>
      <c r="X156" s="20">
        <v>1</v>
      </c>
      <c r="Z156" s="20" t="s">
        <v>1848</v>
      </c>
      <c r="AA156" s="20" t="s">
        <v>1863</v>
      </c>
      <c r="AB156" s="31">
        <f>VLOOKUP(AA156,Masters!$K$2:$L$183,2,FALSE)</f>
        <v>1005</v>
      </c>
      <c r="AC156" s="20" t="s">
        <v>2063</v>
      </c>
      <c r="AD156" s="20" t="s">
        <v>2061</v>
      </c>
      <c r="AE156" s="20">
        <v>17</v>
      </c>
      <c r="AF156" s="20">
        <v>11</v>
      </c>
      <c r="AG156" s="20">
        <v>2001</v>
      </c>
      <c r="AH156" s="21">
        <v>37212</v>
      </c>
    </row>
    <row r="157" spans="1:34" x14ac:dyDescent="0.25">
      <c r="A157" s="35">
        <v>1276</v>
      </c>
      <c r="B157" s="22" t="s">
        <v>1830</v>
      </c>
      <c r="C157" s="22" t="s">
        <v>1830</v>
      </c>
      <c r="D157" s="94" t="s">
        <v>1203</v>
      </c>
      <c r="E157" s="20" t="s">
        <v>2056</v>
      </c>
      <c r="F157" s="20" t="s">
        <v>1846</v>
      </c>
      <c r="G157" s="31" t="s">
        <v>40</v>
      </c>
      <c r="H157" s="32">
        <v>1</v>
      </c>
      <c r="J157" s="32">
        <v>1</v>
      </c>
      <c r="O157" s="20">
        <v>0</v>
      </c>
      <c r="P157" s="20">
        <v>1</v>
      </c>
      <c r="Q157" s="20">
        <v>0</v>
      </c>
      <c r="R157" s="20">
        <v>0</v>
      </c>
      <c r="X157" s="20">
        <v>1</v>
      </c>
      <c r="Z157" s="20" t="s">
        <v>1848</v>
      </c>
      <c r="AA157" s="20" t="s">
        <v>1859</v>
      </c>
      <c r="AB157" s="31">
        <f>VLOOKUP(AA157,Masters!$K$2:$L$183,2,FALSE)</f>
        <v>1001</v>
      </c>
      <c r="AC157" s="20" t="s">
        <v>2063</v>
      </c>
      <c r="AD157" s="20" t="s">
        <v>2060</v>
      </c>
      <c r="AE157" s="20">
        <v>17</v>
      </c>
      <c r="AF157" s="20">
        <v>5</v>
      </c>
      <c r="AG157" s="20">
        <v>2000</v>
      </c>
      <c r="AH157" s="21">
        <v>36663</v>
      </c>
    </row>
    <row r="158" spans="1:34" x14ac:dyDescent="0.25">
      <c r="A158" s="35">
        <v>1353</v>
      </c>
      <c r="B158" s="22" t="s">
        <v>1830</v>
      </c>
      <c r="C158" s="22" t="s">
        <v>1830</v>
      </c>
      <c r="D158" s="94" t="s">
        <v>1280</v>
      </c>
      <c r="E158" s="20" t="s">
        <v>2050</v>
      </c>
      <c r="F158" s="20" t="s">
        <v>1847</v>
      </c>
      <c r="G158" s="31" t="s">
        <v>40</v>
      </c>
      <c r="H158" s="32">
        <v>1</v>
      </c>
      <c r="J158" s="32">
        <v>1</v>
      </c>
      <c r="O158" s="20">
        <v>0</v>
      </c>
      <c r="P158" s="20">
        <v>1</v>
      </c>
      <c r="Q158" s="20">
        <v>0</v>
      </c>
      <c r="R158" s="20">
        <v>0</v>
      </c>
      <c r="X158" s="20">
        <v>1</v>
      </c>
      <c r="Z158" s="20" t="s">
        <v>753</v>
      </c>
      <c r="AA158" s="20" t="s">
        <v>1861</v>
      </c>
      <c r="AB158" s="31">
        <f>VLOOKUP(AA158,Masters!$K$2:$L$183,2,FALSE)</f>
        <v>1003</v>
      </c>
      <c r="AC158" s="20" t="s">
        <v>2063</v>
      </c>
      <c r="AD158" s="20" t="s">
        <v>2061</v>
      </c>
      <c r="AE158" s="20">
        <v>5</v>
      </c>
      <c r="AF158" s="20">
        <v>9</v>
      </c>
      <c r="AG158" s="20">
        <v>2000</v>
      </c>
      <c r="AH158" s="21">
        <v>36774</v>
      </c>
    </row>
    <row r="159" spans="1:34" x14ac:dyDescent="0.25">
      <c r="A159" s="35">
        <v>1373</v>
      </c>
      <c r="B159" s="22" t="s">
        <v>1830</v>
      </c>
      <c r="C159" s="22" t="s">
        <v>1830</v>
      </c>
      <c r="D159" s="94" t="s">
        <v>1300</v>
      </c>
      <c r="E159" s="20" t="s">
        <v>2058</v>
      </c>
      <c r="F159" s="20" t="s">
        <v>1847</v>
      </c>
      <c r="G159" s="31" t="s">
        <v>40</v>
      </c>
      <c r="H159" s="32">
        <v>1</v>
      </c>
      <c r="J159" s="32">
        <v>1</v>
      </c>
      <c r="O159" s="20">
        <v>0</v>
      </c>
      <c r="P159" s="20">
        <v>1</v>
      </c>
      <c r="Q159" s="20">
        <v>0</v>
      </c>
      <c r="R159" s="20">
        <v>0</v>
      </c>
      <c r="X159" s="20">
        <v>1</v>
      </c>
      <c r="Z159" s="20" t="s">
        <v>201</v>
      </c>
      <c r="AA159" s="20" t="s">
        <v>1859</v>
      </c>
      <c r="AB159" s="31">
        <f>VLOOKUP(AA159,Masters!$K$2:$L$183,2,FALSE)</f>
        <v>1001</v>
      </c>
      <c r="AC159" s="20" t="s">
        <v>2063</v>
      </c>
      <c r="AD159" s="20" t="s">
        <v>2060</v>
      </c>
      <c r="AE159" s="20">
        <v>27</v>
      </c>
      <c r="AF159" s="20">
        <v>1</v>
      </c>
      <c r="AG159" s="20">
        <v>2001</v>
      </c>
      <c r="AH159" s="21">
        <v>36918</v>
      </c>
    </row>
    <row r="160" spans="1:34" x14ac:dyDescent="0.25">
      <c r="A160" s="35">
        <v>1418</v>
      </c>
      <c r="B160" s="22" t="s">
        <v>1830</v>
      </c>
      <c r="C160" s="22" t="s">
        <v>1830</v>
      </c>
      <c r="D160" s="94" t="s">
        <v>1345</v>
      </c>
      <c r="E160" s="20" t="s">
        <v>2051</v>
      </c>
      <c r="F160" s="20" t="s">
        <v>1847</v>
      </c>
      <c r="G160" s="31" t="s">
        <v>40</v>
      </c>
      <c r="H160" s="32">
        <v>1</v>
      </c>
      <c r="J160" s="32">
        <v>1</v>
      </c>
      <c r="O160" s="20">
        <v>0</v>
      </c>
      <c r="P160" s="20">
        <v>1</v>
      </c>
      <c r="Q160" s="20">
        <v>0</v>
      </c>
      <c r="R160" s="20">
        <v>0</v>
      </c>
      <c r="X160" s="20">
        <v>1</v>
      </c>
      <c r="Z160" s="20" t="s">
        <v>1857</v>
      </c>
      <c r="AA160" s="20" t="s">
        <v>1863</v>
      </c>
      <c r="AB160" s="31">
        <f>VLOOKUP(AA160,Masters!$K$2:$L$183,2,FALSE)</f>
        <v>1005</v>
      </c>
      <c r="AC160" s="20" t="s">
        <v>2063</v>
      </c>
      <c r="AD160" s="20" t="s">
        <v>2060</v>
      </c>
      <c r="AE160" s="20">
        <v>10</v>
      </c>
      <c r="AF160" s="20">
        <v>1</v>
      </c>
      <c r="AG160" s="20">
        <v>2002</v>
      </c>
      <c r="AH160" s="21">
        <v>37266</v>
      </c>
    </row>
    <row r="161" spans="1:34" x14ac:dyDescent="0.25">
      <c r="A161" s="35">
        <v>1421</v>
      </c>
      <c r="B161" s="22" t="s">
        <v>1830</v>
      </c>
      <c r="C161" s="22" t="s">
        <v>1830</v>
      </c>
      <c r="D161" s="94" t="s">
        <v>1348</v>
      </c>
      <c r="E161" s="20" t="s">
        <v>2057</v>
      </c>
      <c r="F161" s="20" t="s">
        <v>1843</v>
      </c>
      <c r="G161" s="31" t="s">
        <v>40</v>
      </c>
      <c r="H161" s="32">
        <v>1</v>
      </c>
      <c r="J161" s="32">
        <v>1</v>
      </c>
      <c r="O161" s="20">
        <v>0</v>
      </c>
      <c r="P161" s="20">
        <v>1</v>
      </c>
      <c r="Q161" s="20">
        <v>0</v>
      </c>
      <c r="R161" s="20">
        <v>0</v>
      </c>
      <c r="X161" s="20">
        <v>1</v>
      </c>
      <c r="Z161" s="20" t="s">
        <v>1850</v>
      </c>
      <c r="AA161" s="20" t="s">
        <v>1859</v>
      </c>
      <c r="AB161" s="31">
        <f>VLOOKUP(AA161,Masters!$K$2:$L$183,2,FALSE)</f>
        <v>1001</v>
      </c>
      <c r="AC161" s="20" t="s">
        <v>2063</v>
      </c>
      <c r="AD161" s="20" t="s">
        <v>2060</v>
      </c>
      <c r="AE161" s="20">
        <v>8</v>
      </c>
      <c r="AF161" s="20">
        <v>11</v>
      </c>
      <c r="AG161" s="20">
        <v>2003</v>
      </c>
      <c r="AH161" s="21">
        <v>37933</v>
      </c>
    </row>
    <row r="162" spans="1:34" x14ac:dyDescent="0.25">
      <c r="A162" s="35">
        <v>1439</v>
      </c>
      <c r="B162" s="22" t="s">
        <v>1830</v>
      </c>
      <c r="C162" s="22" t="s">
        <v>1830</v>
      </c>
      <c r="D162" s="94" t="s">
        <v>1366</v>
      </c>
      <c r="E162" s="20" t="s">
        <v>2054</v>
      </c>
      <c r="F162" s="20" t="s">
        <v>1846</v>
      </c>
      <c r="G162" s="31" t="s">
        <v>40</v>
      </c>
      <c r="H162" s="32">
        <v>1</v>
      </c>
      <c r="J162" s="32">
        <v>1</v>
      </c>
      <c r="O162" s="20">
        <v>0</v>
      </c>
      <c r="P162" s="20">
        <v>1</v>
      </c>
      <c r="Q162" s="20">
        <v>0</v>
      </c>
      <c r="R162" s="20">
        <v>0</v>
      </c>
      <c r="X162" s="20">
        <v>1</v>
      </c>
      <c r="Z162" s="20" t="s">
        <v>1853</v>
      </c>
      <c r="AA162" s="20" t="s">
        <v>1862</v>
      </c>
      <c r="AB162" s="31">
        <f>VLOOKUP(AA162,Masters!$K$2:$L$183,2,FALSE)</f>
        <v>1004</v>
      </c>
      <c r="AC162" s="20" t="s">
        <v>2063</v>
      </c>
      <c r="AD162" s="20" t="s">
        <v>2061</v>
      </c>
      <c r="AE162" s="20">
        <v>20</v>
      </c>
      <c r="AF162" s="20">
        <v>5</v>
      </c>
      <c r="AG162" s="20">
        <v>2001</v>
      </c>
      <c r="AH162" s="21">
        <v>37031</v>
      </c>
    </row>
    <row r="163" spans="1:34" x14ac:dyDescent="0.25">
      <c r="A163" s="35">
        <v>1461</v>
      </c>
      <c r="B163" s="22" t="s">
        <v>1830</v>
      </c>
      <c r="C163" s="22" t="s">
        <v>1830</v>
      </c>
      <c r="D163" s="94" t="s">
        <v>1388</v>
      </c>
      <c r="E163" s="20" t="s">
        <v>2057</v>
      </c>
      <c r="F163" s="20" t="s">
        <v>1845</v>
      </c>
      <c r="G163" s="31" t="s">
        <v>40</v>
      </c>
      <c r="H163" s="32">
        <v>1</v>
      </c>
      <c r="J163" s="32">
        <v>1</v>
      </c>
      <c r="O163" s="20">
        <v>0</v>
      </c>
      <c r="P163" s="20">
        <v>1</v>
      </c>
      <c r="Q163" s="20">
        <v>0</v>
      </c>
      <c r="R163" s="20">
        <v>0</v>
      </c>
      <c r="X163" s="20">
        <v>1</v>
      </c>
      <c r="Z163" s="20" t="s">
        <v>100</v>
      </c>
      <c r="AA163" s="20" t="s">
        <v>1862</v>
      </c>
      <c r="AB163" s="31">
        <f>VLOOKUP(AA163,Masters!$K$2:$L$183,2,FALSE)</f>
        <v>1004</v>
      </c>
      <c r="AC163" s="20" t="s">
        <v>2063</v>
      </c>
      <c r="AD163" s="20" t="s">
        <v>2061</v>
      </c>
      <c r="AE163" s="20">
        <v>23</v>
      </c>
      <c r="AF163" s="20">
        <v>10</v>
      </c>
      <c r="AG163" s="20">
        <v>2005</v>
      </c>
      <c r="AH163" s="21">
        <v>38648</v>
      </c>
    </row>
    <row r="164" spans="1:34" x14ac:dyDescent="0.25">
      <c r="A164" s="35">
        <v>1521</v>
      </c>
      <c r="B164" s="22" t="s">
        <v>1830</v>
      </c>
      <c r="C164" s="22" t="s">
        <v>1830</v>
      </c>
      <c r="D164" s="94" t="s">
        <v>1448</v>
      </c>
      <c r="E164" s="20" t="s">
        <v>135</v>
      </c>
      <c r="F164" s="20" t="s">
        <v>1846</v>
      </c>
      <c r="G164" s="31" t="s">
        <v>40</v>
      </c>
      <c r="H164" s="32">
        <v>1</v>
      </c>
      <c r="J164" s="32">
        <v>1</v>
      </c>
      <c r="O164" s="20">
        <v>0</v>
      </c>
      <c r="P164" s="20">
        <v>1</v>
      </c>
      <c r="Q164" s="20">
        <v>0</v>
      </c>
      <c r="R164" s="20">
        <v>0</v>
      </c>
      <c r="X164" s="20">
        <v>1</v>
      </c>
      <c r="Z164" s="20" t="s">
        <v>1858</v>
      </c>
      <c r="AA164" s="20" t="s">
        <v>1863</v>
      </c>
      <c r="AB164" s="31">
        <f>VLOOKUP(AA164,Masters!$K$2:$L$183,2,FALSE)</f>
        <v>1005</v>
      </c>
      <c r="AC164" s="20" t="s">
        <v>2064</v>
      </c>
      <c r="AD164" s="20" t="s">
        <v>2061</v>
      </c>
      <c r="AE164" s="20">
        <v>17</v>
      </c>
      <c r="AF164" s="20">
        <v>7</v>
      </c>
      <c r="AG164" s="20">
        <v>2001</v>
      </c>
      <c r="AH164" s="21">
        <v>37089</v>
      </c>
    </row>
    <row r="165" spans="1:34" x14ac:dyDescent="0.25">
      <c r="A165" s="35">
        <v>1566</v>
      </c>
      <c r="B165" s="22" t="s">
        <v>1830</v>
      </c>
      <c r="C165" s="22" t="s">
        <v>1830</v>
      </c>
      <c r="D165" s="94" t="s">
        <v>1493</v>
      </c>
      <c r="E165" s="20" t="s">
        <v>2054</v>
      </c>
      <c r="F165" s="20" t="s">
        <v>1847</v>
      </c>
      <c r="G165" s="31" t="s">
        <v>40</v>
      </c>
      <c r="H165" s="32">
        <v>1</v>
      </c>
      <c r="J165" s="32">
        <v>1</v>
      </c>
      <c r="O165" s="20">
        <v>0</v>
      </c>
      <c r="P165" s="20">
        <v>1</v>
      </c>
      <c r="Q165" s="20">
        <v>0</v>
      </c>
      <c r="R165" s="20">
        <v>0</v>
      </c>
      <c r="X165" s="20">
        <v>1</v>
      </c>
      <c r="Z165" s="20" t="s">
        <v>1858</v>
      </c>
      <c r="AA165" s="20" t="s">
        <v>1863</v>
      </c>
      <c r="AB165" s="31">
        <f>VLOOKUP(AA165,Masters!$K$2:$L$183,2,FALSE)</f>
        <v>1005</v>
      </c>
      <c r="AC165" s="20" t="s">
        <v>2063</v>
      </c>
      <c r="AD165" s="20" t="s">
        <v>2060</v>
      </c>
      <c r="AE165" s="20">
        <v>23</v>
      </c>
      <c r="AF165" s="20">
        <v>10</v>
      </c>
      <c r="AG165" s="20">
        <v>2001</v>
      </c>
      <c r="AH165" s="21">
        <v>37187</v>
      </c>
    </row>
    <row r="166" spans="1:34" x14ac:dyDescent="0.25">
      <c r="A166" s="35">
        <v>1569</v>
      </c>
      <c r="B166" s="22" t="s">
        <v>1830</v>
      </c>
      <c r="C166" s="22" t="s">
        <v>1830</v>
      </c>
      <c r="D166" s="94" t="s">
        <v>1496</v>
      </c>
      <c r="E166" s="20" t="s">
        <v>133</v>
      </c>
      <c r="F166" s="20" t="s">
        <v>1843</v>
      </c>
      <c r="G166" s="31" t="s">
        <v>40</v>
      </c>
      <c r="H166" s="32">
        <v>1</v>
      </c>
      <c r="J166" s="32">
        <v>1</v>
      </c>
      <c r="O166" s="20">
        <v>0</v>
      </c>
      <c r="P166" s="20">
        <v>1</v>
      </c>
      <c r="Q166" s="20">
        <v>0</v>
      </c>
      <c r="R166" s="20">
        <v>0</v>
      </c>
      <c r="X166" s="20">
        <v>1</v>
      </c>
      <c r="Z166" s="20" t="s">
        <v>1835</v>
      </c>
      <c r="AA166" s="20" t="s">
        <v>1859</v>
      </c>
      <c r="AB166" s="31">
        <f>VLOOKUP(AA166,Masters!$K$2:$L$183,2,FALSE)</f>
        <v>1001</v>
      </c>
      <c r="AC166" s="20" t="s">
        <v>2063</v>
      </c>
      <c r="AD166" s="20" t="s">
        <v>2060</v>
      </c>
      <c r="AE166" s="20">
        <v>17</v>
      </c>
      <c r="AF166" s="20">
        <v>9</v>
      </c>
      <c r="AG166" s="20">
        <v>2005</v>
      </c>
      <c r="AH166" s="21">
        <v>38612</v>
      </c>
    </row>
    <row r="167" spans="1:34" x14ac:dyDescent="0.25">
      <c r="A167" s="35">
        <v>1610</v>
      </c>
      <c r="B167" s="22" t="s">
        <v>1830</v>
      </c>
      <c r="C167" s="22" t="s">
        <v>1830</v>
      </c>
      <c r="D167" s="94" t="s">
        <v>1537</v>
      </c>
      <c r="E167" s="20" t="s">
        <v>2053</v>
      </c>
      <c r="F167" s="20" t="s">
        <v>1844</v>
      </c>
      <c r="G167" s="31" t="s">
        <v>40</v>
      </c>
      <c r="H167" s="32">
        <v>1</v>
      </c>
      <c r="J167" s="32">
        <v>1</v>
      </c>
      <c r="O167" s="20">
        <v>0</v>
      </c>
      <c r="P167" s="20">
        <v>1</v>
      </c>
      <c r="Q167" s="20">
        <v>0</v>
      </c>
      <c r="R167" s="20">
        <v>0</v>
      </c>
      <c r="X167" s="20">
        <v>1</v>
      </c>
      <c r="Z167" s="20" t="s">
        <v>58</v>
      </c>
      <c r="AA167" s="20" t="s">
        <v>1861</v>
      </c>
      <c r="AB167" s="31">
        <f>VLOOKUP(AA167,Masters!$K$2:$L$183,2,FALSE)</f>
        <v>1003</v>
      </c>
      <c r="AC167" s="20" t="s">
        <v>2063</v>
      </c>
      <c r="AD167" s="20" t="s">
        <v>2060</v>
      </c>
      <c r="AE167" s="20">
        <v>27</v>
      </c>
      <c r="AF167" s="20">
        <v>10</v>
      </c>
      <c r="AG167" s="20">
        <v>2001</v>
      </c>
      <c r="AH167" s="21">
        <v>37191</v>
      </c>
    </row>
    <row r="168" spans="1:34" x14ac:dyDescent="0.25">
      <c r="A168" s="35">
        <v>1637</v>
      </c>
      <c r="B168" s="22" t="s">
        <v>1830</v>
      </c>
      <c r="C168" s="22" t="s">
        <v>1830</v>
      </c>
      <c r="D168" s="94" t="s">
        <v>1564</v>
      </c>
      <c r="E168" s="20" t="s">
        <v>2052</v>
      </c>
      <c r="F168" s="20" t="s">
        <v>1847</v>
      </c>
      <c r="G168" s="31" t="s">
        <v>40</v>
      </c>
      <c r="H168" s="32">
        <v>1</v>
      </c>
      <c r="J168" s="32">
        <v>1</v>
      </c>
      <c r="O168" s="20">
        <v>0</v>
      </c>
      <c r="P168" s="20">
        <v>1</v>
      </c>
      <c r="Q168" s="20">
        <v>0</v>
      </c>
      <c r="R168" s="20">
        <v>0</v>
      </c>
      <c r="X168" s="20">
        <v>1</v>
      </c>
      <c r="Z168" s="20" t="s">
        <v>1832</v>
      </c>
      <c r="AA168" s="20" t="s">
        <v>1863</v>
      </c>
      <c r="AB168" s="31">
        <f>VLOOKUP(AA168,Masters!$K$2:$L$183,2,FALSE)</f>
        <v>1005</v>
      </c>
      <c r="AC168" s="20" t="s">
        <v>2063</v>
      </c>
      <c r="AD168" s="20" t="s">
        <v>2060</v>
      </c>
      <c r="AE168" s="20">
        <v>15</v>
      </c>
      <c r="AF168" s="20">
        <v>3</v>
      </c>
      <c r="AG168" s="20">
        <v>2002</v>
      </c>
      <c r="AH168" s="21">
        <v>37330</v>
      </c>
    </row>
    <row r="169" spans="1:34" x14ac:dyDescent="0.25">
      <c r="A169" s="35">
        <v>1652</v>
      </c>
      <c r="B169" s="22" t="s">
        <v>1830</v>
      </c>
      <c r="C169" s="22" t="s">
        <v>1830</v>
      </c>
      <c r="D169" s="94" t="s">
        <v>1579</v>
      </c>
      <c r="E169" s="20" t="s">
        <v>2059</v>
      </c>
      <c r="F169" s="20" t="s">
        <v>1844</v>
      </c>
      <c r="G169" s="31" t="s">
        <v>40</v>
      </c>
      <c r="H169" s="32">
        <v>1</v>
      </c>
      <c r="J169" s="32">
        <v>1</v>
      </c>
      <c r="O169" s="20">
        <v>0</v>
      </c>
      <c r="P169" s="20">
        <v>1</v>
      </c>
      <c r="Q169" s="20">
        <v>0</v>
      </c>
      <c r="R169" s="20">
        <v>0</v>
      </c>
      <c r="X169" s="20">
        <v>1</v>
      </c>
      <c r="Z169" s="20" t="s">
        <v>1858</v>
      </c>
      <c r="AA169" s="20" t="s">
        <v>1860</v>
      </c>
      <c r="AB169" s="31">
        <f>VLOOKUP(AA169,Masters!$K$2:$L$183,2,FALSE)</f>
        <v>1002</v>
      </c>
      <c r="AC169" s="20" t="s">
        <v>2063</v>
      </c>
      <c r="AD169" s="20" t="s">
        <v>2060</v>
      </c>
      <c r="AE169" s="20">
        <v>8</v>
      </c>
      <c r="AF169" s="20">
        <v>7</v>
      </c>
      <c r="AG169" s="20">
        <v>2001</v>
      </c>
      <c r="AH169" s="21">
        <v>37080</v>
      </c>
    </row>
    <row r="170" spans="1:34" x14ac:dyDescent="0.25">
      <c r="A170" s="35">
        <v>1681</v>
      </c>
      <c r="B170" s="20" t="s">
        <v>1831</v>
      </c>
      <c r="C170" s="20" t="s">
        <v>1831</v>
      </c>
      <c r="D170" s="94" t="s">
        <v>1608</v>
      </c>
      <c r="E170" s="20" t="s">
        <v>2051</v>
      </c>
      <c r="F170" s="20" t="s">
        <v>1843</v>
      </c>
      <c r="G170" s="31" t="s">
        <v>40</v>
      </c>
      <c r="H170" s="32">
        <v>1</v>
      </c>
      <c r="J170" s="32">
        <v>1</v>
      </c>
      <c r="O170" s="20">
        <v>0</v>
      </c>
      <c r="P170" s="20">
        <v>1</v>
      </c>
      <c r="Q170" s="20">
        <v>0</v>
      </c>
      <c r="R170" s="20">
        <v>0</v>
      </c>
      <c r="X170" s="20">
        <v>1</v>
      </c>
      <c r="Z170" s="20" t="s">
        <v>1855</v>
      </c>
      <c r="AA170" s="20" t="s">
        <v>1862</v>
      </c>
      <c r="AB170" s="31">
        <f>VLOOKUP(AA170,Masters!$K$2:$L$183,2,FALSE)</f>
        <v>1004</v>
      </c>
      <c r="AC170" s="20" t="s">
        <v>2063</v>
      </c>
      <c r="AD170" s="20" t="s">
        <v>2061</v>
      </c>
      <c r="AE170" s="20">
        <v>26</v>
      </c>
      <c r="AF170" s="20">
        <v>12</v>
      </c>
      <c r="AG170" s="20">
        <v>2001</v>
      </c>
      <c r="AH170" s="21">
        <v>37251</v>
      </c>
    </row>
    <row r="171" spans="1:34" x14ac:dyDescent="0.25">
      <c r="A171" s="35">
        <v>1754</v>
      </c>
      <c r="B171" s="20" t="s">
        <v>1831</v>
      </c>
      <c r="C171" s="20" t="s">
        <v>1831</v>
      </c>
      <c r="D171" s="94" t="s">
        <v>1681</v>
      </c>
      <c r="E171" s="20" t="s">
        <v>2056</v>
      </c>
      <c r="F171" s="20" t="s">
        <v>1844</v>
      </c>
      <c r="G171" s="31" t="s">
        <v>40</v>
      </c>
      <c r="H171" s="32">
        <v>1</v>
      </c>
      <c r="J171" s="32">
        <v>1</v>
      </c>
      <c r="O171" s="20">
        <v>0</v>
      </c>
      <c r="P171" s="20">
        <v>1</v>
      </c>
      <c r="Q171" s="20">
        <v>0</v>
      </c>
      <c r="R171" s="20">
        <v>0</v>
      </c>
      <c r="X171" s="20">
        <v>1</v>
      </c>
      <c r="Z171" s="20" t="s">
        <v>1854</v>
      </c>
      <c r="AA171" s="20" t="s">
        <v>1860</v>
      </c>
      <c r="AB171" s="31">
        <f>VLOOKUP(AA171,Masters!$K$2:$L$183,2,FALSE)</f>
        <v>1002</v>
      </c>
      <c r="AC171" s="20" t="s">
        <v>2063</v>
      </c>
      <c r="AD171" s="20" t="s">
        <v>2060</v>
      </c>
      <c r="AE171" s="20">
        <v>19</v>
      </c>
      <c r="AF171" s="20">
        <v>4</v>
      </c>
      <c r="AG171" s="20">
        <v>2005</v>
      </c>
      <c r="AH171" s="21">
        <v>38461</v>
      </c>
    </row>
    <row r="172" spans="1:34" x14ac:dyDescent="0.25">
      <c r="A172" s="35">
        <v>1854</v>
      </c>
      <c r="B172" s="20" t="s">
        <v>1831</v>
      </c>
      <c r="C172" s="20" t="s">
        <v>1831</v>
      </c>
      <c r="D172" s="94" t="s">
        <v>1781</v>
      </c>
      <c r="E172" s="20" t="s">
        <v>2053</v>
      </c>
      <c r="F172" s="20" t="s">
        <v>1844</v>
      </c>
      <c r="G172" s="31" t="s">
        <v>40</v>
      </c>
      <c r="J172" s="32">
        <v>0</v>
      </c>
      <c r="M172" s="32">
        <v>1</v>
      </c>
      <c r="O172" s="20">
        <v>1</v>
      </c>
      <c r="P172" s="20">
        <v>1</v>
      </c>
      <c r="Q172" s="20">
        <v>0</v>
      </c>
      <c r="R172" s="20">
        <v>0</v>
      </c>
      <c r="X172" s="20">
        <v>1</v>
      </c>
      <c r="Z172" s="20" t="s">
        <v>1850</v>
      </c>
      <c r="AA172" s="20" t="s">
        <v>1859</v>
      </c>
      <c r="AB172" s="31">
        <f>VLOOKUP(AA172,Masters!$K$2:$L$183,2,FALSE)</f>
        <v>1001</v>
      </c>
      <c r="AC172" s="20" t="s">
        <v>2063</v>
      </c>
      <c r="AD172" s="20" t="s">
        <v>2060</v>
      </c>
      <c r="AE172" s="20">
        <v>6</v>
      </c>
      <c r="AF172" s="20">
        <v>5</v>
      </c>
      <c r="AG172" s="20">
        <v>2004</v>
      </c>
      <c r="AH172" s="21">
        <v>38113</v>
      </c>
    </row>
    <row r="173" spans="1:34" x14ac:dyDescent="0.25">
      <c r="A173" s="35">
        <v>1869</v>
      </c>
      <c r="B173" s="20" t="s">
        <v>1831</v>
      </c>
      <c r="C173" s="20" t="s">
        <v>1831</v>
      </c>
      <c r="D173" s="94" t="s">
        <v>1796</v>
      </c>
      <c r="E173" s="20" t="s">
        <v>2055</v>
      </c>
      <c r="F173" s="20" t="s">
        <v>1845</v>
      </c>
      <c r="G173" s="31" t="s">
        <v>40</v>
      </c>
      <c r="H173" s="32">
        <v>1</v>
      </c>
      <c r="J173" s="32">
        <v>1</v>
      </c>
      <c r="O173" s="20">
        <v>0</v>
      </c>
      <c r="P173" s="20">
        <v>1</v>
      </c>
      <c r="Q173" s="20">
        <v>0</v>
      </c>
      <c r="R173" s="20">
        <v>0</v>
      </c>
      <c r="X173" s="20">
        <v>1</v>
      </c>
      <c r="Z173" s="20" t="s">
        <v>1852</v>
      </c>
      <c r="AA173" s="20" t="s">
        <v>1860</v>
      </c>
      <c r="AB173" s="31">
        <f>VLOOKUP(AA173,Masters!$K$2:$L$183,2,FALSE)</f>
        <v>1002</v>
      </c>
      <c r="AC173" s="20" t="s">
        <v>2063</v>
      </c>
      <c r="AD173" s="20" t="s">
        <v>2061</v>
      </c>
      <c r="AE173" s="20">
        <v>26</v>
      </c>
      <c r="AF173" s="20">
        <v>1</v>
      </c>
      <c r="AG173" s="20">
        <v>2000</v>
      </c>
      <c r="AH173" s="21">
        <v>36551</v>
      </c>
    </row>
    <row r="174" spans="1:34" x14ac:dyDescent="0.25">
      <c r="A174" s="35">
        <v>1889</v>
      </c>
      <c r="B174" s="20" t="s">
        <v>1831</v>
      </c>
      <c r="C174" s="20" t="s">
        <v>1831</v>
      </c>
      <c r="D174" s="94" t="s">
        <v>1816</v>
      </c>
      <c r="E174" s="20" t="s">
        <v>2055</v>
      </c>
      <c r="F174" s="20" t="s">
        <v>1844</v>
      </c>
      <c r="G174" s="31" t="s">
        <v>40</v>
      </c>
      <c r="H174" s="32">
        <v>1</v>
      </c>
      <c r="J174" s="32">
        <v>1</v>
      </c>
      <c r="O174" s="20">
        <v>0</v>
      </c>
      <c r="P174" s="20">
        <v>1</v>
      </c>
      <c r="Q174" s="20">
        <v>0</v>
      </c>
      <c r="R174" s="20">
        <v>0</v>
      </c>
      <c r="X174" s="20">
        <v>1</v>
      </c>
      <c r="Z174" s="20" t="s">
        <v>753</v>
      </c>
      <c r="AA174" s="20" t="s">
        <v>1862</v>
      </c>
      <c r="AB174" s="31">
        <f>VLOOKUP(AA174,Masters!$K$2:$L$183,2,FALSE)</f>
        <v>1004</v>
      </c>
      <c r="AC174" s="20" t="s">
        <v>2063</v>
      </c>
      <c r="AD174" s="20" t="s">
        <v>2060</v>
      </c>
      <c r="AE174" s="20">
        <v>20</v>
      </c>
      <c r="AF174" s="20">
        <v>2</v>
      </c>
      <c r="AG174" s="20">
        <v>2004</v>
      </c>
      <c r="AH174" s="21">
        <v>38037</v>
      </c>
    </row>
    <row r="175" spans="1:34" x14ac:dyDescent="0.25">
      <c r="A175" s="35">
        <v>1906</v>
      </c>
      <c r="B175" s="20" t="s">
        <v>1831</v>
      </c>
      <c r="C175" s="20" t="s">
        <v>1831</v>
      </c>
      <c r="E175" s="20" t="s">
        <v>2052</v>
      </c>
      <c r="F175" s="20" t="s">
        <v>1843</v>
      </c>
      <c r="G175" s="31" t="s">
        <v>35</v>
      </c>
      <c r="I175" s="208">
        <v>1</v>
      </c>
      <c r="J175" s="208">
        <v>1</v>
      </c>
      <c r="K175" s="208"/>
      <c r="L175" s="209"/>
      <c r="M175" s="208"/>
      <c r="N175" s="208"/>
      <c r="O175" s="210">
        <v>0</v>
      </c>
      <c r="P175" s="210">
        <v>0</v>
      </c>
      <c r="Q175" s="210">
        <v>1</v>
      </c>
      <c r="R175" s="210">
        <v>0</v>
      </c>
      <c r="X175" s="20">
        <v>1</v>
      </c>
      <c r="Z175" s="20" t="s">
        <v>1851</v>
      </c>
      <c r="AA175" s="20" t="s">
        <v>1863</v>
      </c>
      <c r="AB175" s="31">
        <f>VLOOKUP(AA175,Masters!$K$2:$L$183,2,FALSE)</f>
        <v>1005</v>
      </c>
      <c r="AC175" s="20" t="s">
        <v>2063</v>
      </c>
      <c r="AE175" s="20">
        <v>5</v>
      </c>
      <c r="AF175" s="20">
        <v>1</v>
      </c>
      <c r="AG175" s="20">
        <v>2004</v>
      </c>
      <c r="AH175" s="21">
        <v>37991</v>
      </c>
    </row>
    <row r="176" spans="1:34" x14ac:dyDescent="0.25">
      <c r="A176" s="35">
        <v>1907</v>
      </c>
      <c r="B176" s="20" t="s">
        <v>1831</v>
      </c>
      <c r="C176" s="20" t="s">
        <v>1831</v>
      </c>
      <c r="E176" s="20" t="s">
        <v>2053</v>
      </c>
      <c r="F176" s="20" t="s">
        <v>1846</v>
      </c>
      <c r="G176" s="31" t="s">
        <v>35</v>
      </c>
      <c r="I176" s="208">
        <v>1</v>
      </c>
      <c r="J176" s="208">
        <v>1</v>
      </c>
      <c r="K176" s="208"/>
      <c r="L176" s="209"/>
      <c r="M176" s="208"/>
      <c r="N176" s="208"/>
      <c r="O176" s="210">
        <v>0</v>
      </c>
      <c r="P176" s="210">
        <v>0</v>
      </c>
      <c r="Q176" s="210">
        <v>1</v>
      </c>
      <c r="R176" s="210">
        <v>0</v>
      </c>
      <c r="X176" s="20">
        <v>1</v>
      </c>
      <c r="Z176" s="20" t="s">
        <v>1857</v>
      </c>
      <c r="AA176" s="20" t="s">
        <v>1859</v>
      </c>
      <c r="AB176" s="31">
        <f>VLOOKUP(AA176,Masters!$K$2:$L$183,2,FALSE)</f>
        <v>1001</v>
      </c>
      <c r="AC176" s="20" t="s">
        <v>2063</v>
      </c>
      <c r="AE176" s="20">
        <v>8</v>
      </c>
      <c r="AF176" s="20">
        <v>5</v>
      </c>
      <c r="AG176" s="20">
        <v>2004</v>
      </c>
      <c r="AH176" s="21">
        <v>38115</v>
      </c>
    </row>
    <row r="177" spans="1:34" x14ac:dyDescent="0.25">
      <c r="A177" s="35">
        <v>1908</v>
      </c>
      <c r="B177" s="20" t="s">
        <v>1831</v>
      </c>
      <c r="C177" s="20" t="s">
        <v>1831</v>
      </c>
      <c r="E177" s="20" t="s">
        <v>2052</v>
      </c>
      <c r="F177" s="20" t="s">
        <v>1846</v>
      </c>
      <c r="G177" s="31" t="s">
        <v>35</v>
      </c>
      <c r="I177" s="208">
        <v>1</v>
      </c>
      <c r="J177" s="208">
        <v>1</v>
      </c>
      <c r="K177" s="208"/>
      <c r="L177" s="209"/>
      <c r="M177" s="208"/>
      <c r="N177" s="208"/>
      <c r="O177" s="210">
        <v>0</v>
      </c>
      <c r="P177" s="210">
        <v>0</v>
      </c>
      <c r="Q177" s="210">
        <v>1</v>
      </c>
      <c r="R177" s="210">
        <v>0</v>
      </c>
      <c r="X177" s="20">
        <v>1</v>
      </c>
      <c r="Z177" s="20" t="s">
        <v>1850</v>
      </c>
      <c r="AA177" s="20" t="s">
        <v>1862</v>
      </c>
      <c r="AB177" s="31">
        <f>VLOOKUP(AA177,Masters!$K$2:$L$183,2,FALSE)</f>
        <v>1004</v>
      </c>
      <c r="AC177" s="20" t="s">
        <v>2063</v>
      </c>
      <c r="AE177" s="20">
        <v>21</v>
      </c>
      <c r="AF177" s="20">
        <v>11</v>
      </c>
      <c r="AG177" s="20">
        <v>2002</v>
      </c>
      <c r="AH177" s="21">
        <v>37581</v>
      </c>
    </row>
    <row r="178" spans="1:34" x14ac:dyDescent="0.25">
      <c r="A178" s="35">
        <v>1909</v>
      </c>
      <c r="B178" s="20" t="s">
        <v>1831</v>
      </c>
      <c r="C178" s="20" t="s">
        <v>1831</v>
      </c>
      <c r="E178" s="20" t="s">
        <v>2053</v>
      </c>
      <c r="F178" s="20" t="s">
        <v>1843</v>
      </c>
      <c r="G178" s="31" t="s">
        <v>35</v>
      </c>
      <c r="I178" s="208">
        <v>1</v>
      </c>
      <c r="J178" s="208">
        <v>1</v>
      </c>
      <c r="K178" s="208"/>
      <c r="L178" s="209"/>
      <c r="M178" s="208"/>
      <c r="N178" s="208"/>
      <c r="O178" s="210">
        <v>0</v>
      </c>
      <c r="P178" s="210">
        <v>0</v>
      </c>
      <c r="Q178" s="210">
        <v>1</v>
      </c>
      <c r="R178" s="210">
        <v>0</v>
      </c>
      <c r="X178" s="20">
        <v>1</v>
      </c>
      <c r="Z178" s="20" t="s">
        <v>1858</v>
      </c>
      <c r="AA178" s="20" t="s">
        <v>1863</v>
      </c>
      <c r="AB178" s="31">
        <f>VLOOKUP(AA178,Masters!$K$2:$L$183,2,FALSE)</f>
        <v>1005</v>
      </c>
      <c r="AC178" s="20" t="s">
        <v>2063</v>
      </c>
      <c r="AE178" s="20">
        <v>28</v>
      </c>
      <c r="AF178" s="20">
        <v>11</v>
      </c>
      <c r="AG178" s="20">
        <v>2001</v>
      </c>
      <c r="AH178" s="21">
        <v>37223</v>
      </c>
    </row>
    <row r="179" spans="1:34" x14ac:dyDescent="0.25">
      <c r="A179" s="35">
        <v>1949</v>
      </c>
      <c r="B179" s="20" t="s">
        <v>1831</v>
      </c>
      <c r="C179" s="20" t="s">
        <v>1831</v>
      </c>
      <c r="E179" s="20" t="s">
        <v>2056</v>
      </c>
      <c r="F179" s="20" t="s">
        <v>1845</v>
      </c>
      <c r="G179" s="31" t="s">
        <v>35</v>
      </c>
      <c r="I179" s="208"/>
      <c r="J179" s="208">
        <v>0</v>
      </c>
      <c r="K179" s="208"/>
      <c r="L179" s="209"/>
      <c r="M179" s="208"/>
      <c r="N179" s="208">
        <v>1</v>
      </c>
      <c r="O179" s="210">
        <v>1</v>
      </c>
      <c r="P179" s="210">
        <v>0</v>
      </c>
      <c r="Q179" s="210">
        <v>1</v>
      </c>
      <c r="R179" s="210">
        <v>0</v>
      </c>
      <c r="X179" s="20">
        <v>1</v>
      </c>
      <c r="Z179" s="20" t="s">
        <v>1850</v>
      </c>
      <c r="AA179" s="20" t="s">
        <v>1862</v>
      </c>
      <c r="AB179" s="31">
        <f>VLOOKUP(AA179,Masters!$K$2:$L$183,2,FALSE)</f>
        <v>1004</v>
      </c>
      <c r="AC179" s="20" t="s">
        <v>2063</v>
      </c>
      <c r="AE179" s="20">
        <v>5</v>
      </c>
      <c r="AF179" s="20">
        <v>4</v>
      </c>
      <c r="AG179" s="20">
        <v>2000</v>
      </c>
      <c r="AH179" s="21">
        <v>36621</v>
      </c>
    </row>
    <row r="180" spans="1:34" x14ac:dyDescent="0.25">
      <c r="A180" s="35">
        <v>1950</v>
      </c>
      <c r="B180" s="20" t="s">
        <v>1831</v>
      </c>
      <c r="C180" s="20" t="s">
        <v>1831</v>
      </c>
      <c r="E180" s="20" t="s">
        <v>133</v>
      </c>
      <c r="F180" s="20" t="s">
        <v>1846</v>
      </c>
      <c r="G180" s="31" t="s">
        <v>35</v>
      </c>
      <c r="I180" s="208">
        <v>1</v>
      </c>
      <c r="J180" s="208">
        <v>1</v>
      </c>
      <c r="K180" s="208"/>
      <c r="L180" s="209"/>
      <c r="M180" s="208"/>
      <c r="N180" s="208"/>
      <c r="O180" s="210">
        <v>0</v>
      </c>
      <c r="P180" s="210">
        <v>0</v>
      </c>
      <c r="Q180" s="210">
        <v>1</v>
      </c>
      <c r="R180" s="210">
        <v>0</v>
      </c>
      <c r="X180" s="20">
        <v>1</v>
      </c>
      <c r="Z180" s="20" t="s">
        <v>1855</v>
      </c>
      <c r="AA180" s="20" t="s">
        <v>1860</v>
      </c>
      <c r="AB180" s="31">
        <f>VLOOKUP(AA180,Masters!$K$2:$L$183,2,FALSE)</f>
        <v>1002</v>
      </c>
      <c r="AC180" s="20" t="s">
        <v>2063</v>
      </c>
      <c r="AE180" s="20">
        <v>18</v>
      </c>
      <c r="AF180" s="20">
        <v>1</v>
      </c>
      <c r="AG180" s="20">
        <v>2005</v>
      </c>
      <c r="AH180" s="21">
        <v>38370</v>
      </c>
    </row>
    <row r="181" spans="1:34" x14ac:dyDescent="0.25">
      <c r="A181" s="35">
        <v>1951</v>
      </c>
      <c r="B181" s="20" t="s">
        <v>1831</v>
      </c>
      <c r="C181" s="20" t="s">
        <v>1831</v>
      </c>
      <c r="E181" s="20" t="s">
        <v>2055</v>
      </c>
      <c r="F181" s="20" t="s">
        <v>1846</v>
      </c>
      <c r="G181" s="31" t="s">
        <v>35</v>
      </c>
      <c r="I181" s="208"/>
      <c r="J181" s="208">
        <v>0</v>
      </c>
      <c r="K181" s="208"/>
      <c r="L181" s="209"/>
      <c r="M181" s="208"/>
      <c r="N181" s="208">
        <v>1</v>
      </c>
      <c r="O181" s="210">
        <v>1</v>
      </c>
      <c r="P181" s="210">
        <v>0</v>
      </c>
      <c r="Q181" s="210">
        <v>1</v>
      </c>
      <c r="R181" s="210">
        <v>0</v>
      </c>
      <c r="X181" s="20">
        <v>1</v>
      </c>
      <c r="Z181" s="20" t="s">
        <v>753</v>
      </c>
      <c r="AA181" s="20" t="s">
        <v>1862</v>
      </c>
      <c r="AB181" s="31">
        <f>VLOOKUP(AA181,Masters!$K$2:$L$183,2,FALSE)</f>
        <v>1004</v>
      </c>
      <c r="AC181" s="20" t="s">
        <v>2063</v>
      </c>
      <c r="AE181" s="20">
        <v>9</v>
      </c>
      <c r="AF181" s="20">
        <v>5</v>
      </c>
      <c r="AG181" s="20">
        <v>2000</v>
      </c>
      <c r="AH181" s="21">
        <v>36655</v>
      </c>
    </row>
    <row r="182" spans="1:34" x14ac:dyDescent="0.25">
      <c r="A182" s="35">
        <v>1952</v>
      </c>
      <c r="B182" s="20" t="s">
        <v>1831</v>
      </c>
      <c r="C182" s="20" t="s">
        <v>1831</v>
      </c>
      <c r="E182" s="20" t="s">
        <v>135</v>
      </c>
      <c r="F182" s="20" t="s">
        <v>1845</v>
      </c>
      <c r="G182" s="31" t="s">
        <v>35</v>
      </c>
      <c r="I182" s="208"/>
      <c r="J182" s="208">
        <v>0</v>
      </c>
      <c r="K182" s="208"/>
      <c r="L182" s="209"/>
      <c r="M182" s="208"/>
      <c r="N182" s="208">
        <v>1</v>
      </c>
      <c r="O182" s="210">
        <v>1</v>
      </c>
      <c r="P182" s="210">
        <v>0</v>
      </c>
      <c r="Q182" s="210">
        <v>1</v>
      </c>
      <c r="R182" s="210">
        <v>0</v>
      </c>
      <c r="X182" s="20">
        <v>1</v>
      </c>
      <c r="Z182" s="20" t="s">
        <v>1858</v>
      </c>
      <c r="AA182" s="20" t="s">
        <v>1863</v>
      </c>
      <c r="AB182" s="31">
        <f>VLOOKUP(AA182,Masters!$K$2:$L$183,2,FALSE)</f>
        <v>1005</v>
      </c>
      <c r="AC182" s="20" t="s">
        <v>2063</v>
      </c>
      <c r="AE182" s="20">
        <v>24</v>
      </c>
      <c r="AF182" s="20">
        <v>3</v>
      </c>
      <c r="AG182" s="20">
        <v>2004</v>
      </c>
      <c r="AH182" s="21">
        <v>38070</v>
      </c>
    </row>
    <row r="183" spans="1:34" x14ac:dyDescent="0.25">
      <c r="A183" s="35">
        <v>1224</v>
      </c>
      <c r="B183" s="20" t="s">
        <v>1832</v>
      </c>
      <c r="C183" s="20" t="s">
        <v>1832</v>
      </c>
      <c r="D183" s="94" t="s">
        <v>1151</v>
      </c>
      <c r="E183" s="20" t="s">
        <v>2056</v>
      </c>
      <c r="F183" s="20" t="s">
        <v>1843</v>
      </c>
      <c r="G183" s="31" t="s">
        <v>40</v>
      </c>
      <c r="H183" s="32">
        <v>1</v>
      </c>
      <c r="J183" s="32">
        <v>1</v>
      </c>
      <c r="O183" s="20">
        <v>0</v>
      </c>
      <c r="P183" s="20">
        <v>1</v>
      </c>
      <c r="Q183" s="20">
        <v>0</v>
      </c>
      <c r="R183" s="20">
        <v>0</v>
      </c>
      <c r="X183" s="20">
        <v>1</v>
      </c>
      <c r="Z183" s="20" t="s">
        <v>1848</v>
      </c>
      <c r="AA183" s="20" t="s">
        <v>1863</v>
      </c>
      <c r="AB183" s="31">
        <f>VLOOKUP(AA183,Masters!$K$2:$L$183,2,FALSE)</f>
        <v>1005</v>
      </c>
      <c r="AC183" s="20" t="s">
        <v>2063</v>
      </c>
      <c r="AD183" s="20" t="s">
        <v>2060</v>
      </c>
      <c r="AE183" s="20">
        <v>28</v>
      </c>
      <c r="AF183" s="20">
        <v>4</v>
      </c>
      <c r="AG183" s="20">
        <v>2004</v>
      </c>
      <c r="AH183" s="21">
        <v>38105</v>
      </c>
    </row>
    <row r="184" spans="1:34" x14ac:dyDescent="0.25">
      <c r="A184" s="35">
        <v>1234</v>
      </c>
      <c r="B184" s="20" t="s">
        <v>1832</v>
      </c>
      <c r="C184" s="20" t="s">
        <v>1832</v>
      </c>
      <c r="D184" s="94" t="s">
        <v>1161</v>
      </c>
      <c r="E184" s="20" t="s">
        <v>126</v>
      </c>
      <c r="F184" s="20" t="s">
        <v>1843</v>
      </c>
      <c r="G184" s="31" t="s">
        <v>40</v>
      </c>
      <c r="H184" s="32">
        <v>1</v>
      </c>
      <c r="J184" s="32">
        <v>1</v>
      </c>
      <c r="O184" s="20">
        <v>0</v>
      </c>
      <c r="P184" s="20">
        <v>1</v>
      </c>
      <c r="Q184" s="20">
        <v>0</v>
      </c>
      <c r="R184" s="20">
        <v>0</v>
      </c>
      <c r="X184" s="20">
        <v>1</v>
      </c>
      <c r="Z184" s="20" t="s">
        <v>1850</v>
      </c>
      <c r="AA184" s="20" t="s">
        <v>1861</v>
      </c>
      <c r="AB184" s="31">
        <f>VLOOKUP(AA184,Masters!$K$2:$L$183,2,FALSE)</f>
        <v>1003</v>
      </c>
      <c r="AC184" s="20" t="s">
        <v>2063</v>
      </c>
      <c r="AD184" s="20" t="s">
        <v>2061</v>
      </c>
      <c r="AE184" s="20">
        <v>21</v>
      </c>
      <c r="AF184" s="20">
        <v>3</v>
      </c>
      <c r="AG184" s="20">
        <v>2001</v>
      </c>
      <c r="AH184" s="21">
        <v>36971</v>
      </c>
    </row>
    <row r="185" spans="1:34" x14ac:dyDescent="0.25">
      <c r="A185" s="35">
        <v>1238</v>
      </c>
      <c r="B185" s="20" t="s">
        <v>1832</v>
      </c>
      <c r="C185" s="20" t="s">
        <v>1832</v>
      </c>
      <c r="D185" s="94" t="s">
        <v>1165</v>
      </c>
      <c r="E185" s="20" t="s">
        <v>2055</v>
      </c>
      <c r="F185" s="20" t="s">
        <v>1844</v>
      </c>
      <c r="G185" s="31" t="s">
        <v>40</v>
      </c>
      <c r="H185" s="32">
        <v>1</v>
      </c>
      <c r="J185" s="32">
        <v>1</v>
      </c>
      <c r="O185" s="20">
        <v>0</v>
      </c>
      <c r="P185" s="20">
        <v>1</v>
      </c>
      <c r="Q185" s="20">
        <v>0</v>
      </c>
      <c r="R185" s="20">
        <v>0</v>
      </c>
      <c r="X185" s="20">
        <v>1</v>
      </c>
      <c r="Z185" s="20" t="s">
        <v>1832</v>
      </c>
      <c r="AA185" s="20" t="s">
        <v>1863</v>
      </c>
      <c r="AB185" s="31">
        <f>VLOOKUP(AA185,Masters!$K$2:$L$183,2,FALSE)</f>
        <v>1005</v>
      </c>
      <c r="AC185" s="20" t="s">
        <v>2063</v>
      </c>
      <c r="AD185" s="20" t="s">
        <v>2060</v>
      </c>
      <c r="AE185" s="20">
        <v>5</v>
      </c>
      <c r="AF185" s="20">
        <v>10</v>
      </c>
      <c r="AG185" s="20">
        <v>2001</v>
      </c>
      <c r="AH185" s="21">
        <v>37169</v>
      </c>
    </row>
    <row r="186" spans="1:34" x14ac:dyDescent="0.25">
      <c r="A186" s="35">
        <v>1242</v>
      </c>
      <c r="B186" s="20" t="s">
        <v>1832</v>
      </c>
      <c r="C186" s="20" t="s">
        <v>1832</v>
      </c>
      <c r="D186" s="94" t="s">
        <v>1169</v>
      </c>
      <c r="E186" s="20" t="s">
        <v>2051</v>
      </c>
      <c r="F186" s="20" t="s">
        <v>1843</v>
      </c>
      <c r="G186" s="31" t="s">
        <v>40</v>
      </c>
      <c r="H186" s="32">
        <v>1</v>
      </c>
      <c r="J186" s="32">
        <v>1</v>
      </c>
      <c r="O186" s="20">
        <v>0</v>
      </c>
      <c r="P186" s="20">
        <v>1</v>
      </c>
      <c r="Q186" s="20">
        <v>0</v>
      </c>
      <c r="R186" s="20">
        <v>0</v>
      </c>
      <c r="X186" s="20">
        <v>1</v>
      </c>
      <c r="Z186" s="20" t="s">
        <v>753</v>
      </c>
      <c r="AA186" s="20" t="s">
        <v>1863</v>
      </c>
      <c r="AB186" s="31">
        <f>VLOOKUP(AA186,Masters!$K$2:$L$183,2,FALSE)</f>
        <v>1005</v>
      </c>
      <c r="AC186" s="20" t="s">
        <v>2064</v>
      </c>
      <c r="AD186" s="20" t="s">
        <v>2061</v>
      </c>
      <c r="AE186" s="20">
        <v>15</v>
      </c>
      <c r="AF186" s="20">
        <v>11</v>
      </c>
      <c r="AG186" s="20">
        <v>2005</v>
      </c>
      <c r="AH186" s="21">
        <v>38671</v>
      </c>
    </row>
    <row r="187" spans="1:34" x14ac:dyDescent="0.25">
      <c r="A187" s="35">
        <v>1255</v>
      </c>
      <c r="B187" s="20" t="s">
        <v>1832</v>
      </c>
      <c r="C187" s="20" t="s">
        <v>1832</v>
      </c>
      <c r="D187" s="94" t="s">
        <v>1182</v>
      </c>
      <c r="E187" s="20" t="s">
        <v>126</v>
      </c>
      <c r="F187" s="20" t="s">
        <v>1846</v>
      </c>
      <c r="G187" s="31" t="s">
        <v>40</v>
      </c>
      <c r="H187" s="32">
        <v>1</v>
      </c>
      <c r="J187" s="32">
        <v>1</v>
      </c>
      <c r="O187" s="20">
        <v>0</v>
      </c>
      <c r="P187" s="20">
        <v>1</v>
      </c>
      <c r="Q187" s="20">
        <v>0</v>
      </c>
      <c r="R187" s="20">
        <v>0</v>
      </c>
      <c r="X187" s="20">
        <v>1</v>
      </c>
      <c r="Z187" s="20" t="s">
        <v>100</v>
      </c>
      <c r="AA187" s="20" t="s">
        <v>1863</v>
      </c>
      <c r="AB187" s="31">
        <f>VLOOKUP(AA187,Masters!$K$2:$L$183,2,FALSE)</f>
        <v>1005</v>
      </c>
      <c r="AC187" s="20" t="s">
        <v>2063</v>
      </c>
      <c r="AD187" s="20" t="s">
        <v>2060</v>
      </c>
      <c r="AE187" s="20">
        <v>15</v>
      </c>
      <c r="AF187" s="20">
        <v>8</v>
      </c>
      <c r="AG187" s="20">
        <v>2000</v>
      </c>
      <c r="AH187" s="21">
        <v>36753</v>
      </c>
    </row>
    <row r="188" spans="1:34" x14ac:dyDescent="0.25">
      <c r="A188" s="35">
        <v>1258</v>
      </c>
      <c r="B188" s="20" t="s">
        <v>1832</v>
      </c>
      <c r="C188" s="20" t="s">
        <v>1832</v>
      </c>
      <c r="D188" s="94" t="s">
        <v>1185</v>
      </c>
      <c r="E188" s="20" t="s">
        <v>2050</v>
      </c>
      <c r="F188" s="20" t="s">
        <v>1845</v>
      </c>
      <c r="G188" s="31" t="s">
        <v>40</v>
      </c>
      <c r="H188" s="32">
        <v>1</v>
      </c>
      <c r="J188" s="32">
        <v>1</v>
      </c>
      <c r="O188" s="20">
        <v>0</v>
      </c>
      <c r="P188" s="20">
        <v>1</v>
      </c>
      <c r="Q188" s="20">
        <v>0</v>
      </c>
      <c r="R188" s="20">
        <v>0</v>
      </c>
      <c r="X188" s="20">
        <v>1</v>
      </c>
      <c r="Z188" s="20" t="s">
        <v>1854</v>
      </c>
      <c r="AA188" s="20" t="s">
        <v>1863</v>
      </c>
      <c r="AB188" s="31">
        <f>VLOOKUP(AA188,Masters!$K$2:$L$183,2,FALSE)</f>
        <v>1005</v>
      </c>
      <c r="AC188" s="20" t="s">
        <v>2063</v>
      </c>
      <c r="AD188" s="20" t="s">
        <v>2061</v>
      </c>
      <c r="AE188" s="20">
        <v>6</v>
      </c>
      <c r="AF188" s="20">
        <v>9</v>
      </c>
      <c r="AG188" s="20">
        <v>2002</v>
      </c>
      <c r="AH188" s="21">
        <v>37505</v>
      </c>
    </row>
    <row r="189" spans="1:34" x14ac:dyDescent="0.25">
      <c r="A189" s="35">
        <v>1356</v>
      </c>
      <c r="B189" s="20" t="s">
        <v>1832</v>
      </c>
      <c r="C189" s="20" t="s">
        <v>1832</v>
      </c>
      <c r="D189" s="94" t="s">
        <v>1283</v>
      </c>
      <c r="E189" s="20" t="s">
        <v>126</v>
      </c>
      <c r="F189" s="20" t="s">
        <v>1844</v>
      </c>
      <c r="G189" s="31" t="s">
        <v>40</v>
      </c>
      <c r="H189" s="32">
        <v>1</v>
      </c>
      <c r="J189" s="32">
        <v>1</v>
      </c>
      <c r="O189" s="20">
        <v>0</v>
      </c>
      <c r="P189" s="20">
        <v>1</v>
      </c>
      <c r="Q189" s="20">
        <v>0</v>
      </c>
      <c r="R189" s="20">
        <v>0</v>
      </c>
      <c r="X189" s="20">
        <v>1</v>
      </c>
      <c r="Z189" s="20" t="s">
        <v>34</v>
      </c>
      <c r="AA189" s="20" t="s">
        <v>1859</v>
      </c>
      <c r="AB189" s="31">
        <f>VLOOKUP(AA189,Masters!$K$2:$L$183,2,FALSE)</f>
        <v>1001</v>
      </c>
      <c r="AC189" s="20" t="s">
        <v>2063</v>
      </c>
      <c r="AD189" s="20" t="s">
        <v>2061</v>
      </c>
      <c r="AE189" s="20">
        <v>24</v>
      </c>
      <c r="AF189" s="20">
        <v>8</v>
      </c>
      <c r="AG189" s="20">
        <v>2000</v>
      </c>
      <c r="AH189" s="21">
        <v>36762</v>
      </c>
    </row>
    <row r="190" spans="1:34" x14ac:dyDescent="0.25">
      <c r="A190" s="35">
        <v>1379</v>
      </c>
      <c r="B190" s="20" t="s">
        <v>1832</v>
      </c>
      <c r="C190" s="20" t="s">
        <v>1832</v>
      </c>
      <c r="D190" s="94" t="s">
        <v>1306</v>
      </c>
      <c r="E190" s="20" t="s">
        <v>2053</v>
      </c>
      <c r="F190" s="20" t="s">
        <v>1846</v>
      </c>
      <c r="G190" s="31" t="s">
        <v>40</v>
      </c>
      <c r="H190" s="32">
        <v>1</v>
      </c>
      <c r="J190" s="32">
        <v>1</v>
      </c>
      <c r="O190" s="20">
        <v>0</v>
      </c>
      <c r="P190" s="20">
        <v>1</v>
      </c>
      <c r="Q190" s="20">
        <v>0</v>
      </c>
      <c r="R190" s="20">
        <v>0</v>
      </c>
      <c r="X190" s="20">
        <v>1</v>
      </c>
      <c r="Z190" s="20" t="s">
        <v>1848</v>
      </c>
      <c r="AA190" s="20" t="s">
        <v>1861</v>
      </c>
      <c r="AB190" s="31">
        <f>VLOOKUP(AA190,Masters!$K$2:$L$183,2,FALSE)</f>
        <v>1003</v>
      </c>
      <c r="AC190" s="20" t="s">
        <v>2063</v>
      </c>
      <c r="AD190" s="20" t="s">
        <v>2060</v>
      </c>
      <c r="AE190" s="20">
        <v>27</v>
      </c>
      <c r="AF190" s="20">
        <v>8</v>
      </c>
      <c r="AG190" s="20">
        <v>2000</v>
      </c>
      <c r="AH190" s="21">
        <v>36765</v>
      </c>
    </row>
    <row r="191" spans="1:34" x14ac:dyDescent="0.25">
      <c r="A191" s="35">
        <v>1539</v>
      </c>
      <c r="B191" s="20" t="s">
        <v>1832</v>
      </c>
      <c r="C191" s="20" t="s">
        <v>1832</v>
      </c>
      <c r="D191" s="94" t="s">
        <v>1466</v>
      </c>
      <c r="E191" s="20" t="s">
        <v>133</v>
      </c>
      <c r="F191" s="20" t="s">
        <v>1846</v>
      </c>
      <c r="G191" s="31" t="s">
        <v>40</v>
      </c>
      <c r="H191" s="32">
        <v>1</v>
      </c>
      <c r="J191" s="32">
        <v>1</v>
      </c>
      <c r="O191" s="20">
        <v>0</v>
      </c>
      <c r="P191" s="20">
        <v>1</v>
      </c>
      <c r="Q191" s="20">
        <v>0</v>
      </c>
      <c r="R191" s="20">
        <v>0</v>
      </c>
      <c r="X191" s="20">
        <v>1</v>
      </c>
      <c r="Z191" s="20" t="s">
        <v>1848</v>
      </c>
      <c r="AA191" s="20" t="s">
        <v>1859</v>
      </c>
      <c r="AB191" s="31">
        <f>VLOOKUP(AA191,Masters!$K$2:$L$183,2,FALSE)</f>
        <v>1001</v>
      </c>
      <c r="AC191" s="20" t="s">
        <v>2063</v>
      </c>
      <c r="AD191" s="20" t="s">
        <v>2060</v>
      </c>
      <c r="AE191" s="20">
        <v>18</v>
      </c>
      <c r="AF191" s="20">
        <v>8</v>
      </c>
      <c r="AG191" s="20">
        <v>2000</v>
      </c>
      <c r="AH191" s="21">
        <v>36756</v>
      </c>
    </row>
    <row r="192" spans="1:34" x14ac:dyDescent="0.25">
      <c r="A192" s="35">
        <v>1587</v>
      </c>
      <c r="B192" s="20" t="s">
        <v>1832</v>
      </c>
      <c r="C192" s="20" t="s">
        <v>1832</v>
      </c>
      <c r="D192" s="94" t="s">
        <v>1514</v>
      </c>
      <c r="E192" s="20" t="s">
        <v>126</v>
      </c>
      <c r="F192" s="20" t="s">
        <v>1846</v>
      </c>
      <c r="G192" s="31" t="s">
        <v>40</v>
      </c>
      <c r="H192" s="32">
        <v>1</v>
      </c>
      <c r="J192" s="32">
        <v>1</v>
      </c>
      <c r="O192" s="20">
        <v>0</v>
      </c>
      <c r="P192" s="20">
        <v>1</v>
      </c>
      <c r="Q192" s="20">
        <v>0</v>
      </c>
      <c r="R192" s="20">
        <v>0</v>
      </c>
      <c r="X192" s="20">
        <v>1</v>
      </c>
      <c r="Z192" s="20" t="s">
        <v>1854</v>
      </c>
      <c r="AA192" s="20" t="s">
        <v>1860</v>
      </c>
      <c r="AB192" s="31">
        <f>VLOOKUP(AA192,Masters!$K$2:$L$183,2,FALSE)</f>
        <v>1002</v>
      </c>
      <c r="AC192" s="20" t="s">
        <v>2063</v>
      </c>
      <c r="AD192" s="20" t="s">
        <v>2060</v>
      </c>
      <c r="AE192" s="20">
        <v>25</v>
      </c>
      <c r="AF192" s="20">
        <v>12</v>
      </c>
      <c r="AG192" s="20">
        <v>2003</v>
      </c>
      <c r="AH192" s="21">
        <v>37980</v>
      </c>
    </row>
    <row r="193" spans="1:34" x14ac:dyDescent="0.25">
      <c r="A193" s="35">
        <v>1662</v>
      </c>
      <c r="B193" s="20" t="s">
        <v>1832</v>
      </c>
      <c r="C193" s="20" t="s">
        <v>1832</v>
      </c>
      <c r="D193" s="94" t="s">
        <v>1589</v>
      </c>
      <c r="E193" s="20" t="s">
        <v>2054</v>
      </c>
      <c r="F193" s="20" t="s">
        <v>1847</v>
      </c>
      <c r="G193" s="31" t="s">
        <v>40</v>
      </c>
      <c r="H193" s="32">
        <v>1</v>
      </c>
      <c r="J193" s="32">
        <v>1</v>
      </c>
      <c r="O193" s="20">
        <v>0</v>
      </c>
      <c r="P193" s="20">
        <v>1</v>
      </c>
      <c r="Q193" s="20">
        <v>0</v>
      </c>
      <c r="R193" s="20">
        <v>0</v>
      </c>
      <c r="S193" s="20" t="s">
        <v>183</v>
      </c>
      <c r="T193" s="20" t="s">
        <v>36</v>
      </c>
      <c r="X193" s="20">
        <v>1</v>
      </c>
      <c r="Z193" s="20" t="s">
        <v>1853</v>
      </c>
      <c r="AA193" s="20" t="s">
        <v>1863</v>
      </c>
      <c r="AB193" s="31">
        <f>VLOOKUP(AA193,Masters!$K$2:$L$183,2,FALSE)</f>
        <v>1005</v>
      </c>
      <c r="AC193" s="20" t="s">
        <v>2063</v>
      </c>
      <c r="AD193" s="20" t="s">
        <v>2060</v>
      </c>
      <c r="AE193" s="20">
        <v>20</v>
      </c>
      <c r="AF193" s="20">
        <v>12</v>
      </c>
      <c r="AG193" s="20">
        <v>2003</v>
      </c>
      <c r="AH193" s="21">
        <v>37975</v>
      </c>
    </row>
    <row r="194" spans="1:34" x14ac:dyDescent="0.25">
      <c r="A194" s="35">
        <v>1682</v>
      </c>
      <c r="B194" s="20" t="s">
        <v>1832</v>
      </c>
      <c r="C194" s="20" t="s">
        <v>1832</v>
      </c>
      <c r="D194" s="94" t="s">
        <v>1609</v>
      </c>
      <c r="E194" s="20" t="s">
        <v>2055</v>
      </c>
      <c r="F194" s="20" t="s">
        <v>1843</v>
      </c>
      <c r="G194" s="31" t="s">
        <v>40</v>
      </c>
      <c r="H194" s="32">
        <v>1</v>
      </c>
      <c r="J194" s="32">
        <v>1</v>
      </c>
      <c r="O194" s="20">
        <v>0</v>
      </c>
      <c r="P194" s="20">
        <v>1</v>
      </c>
      <c r="Q194" s="20">
        <v>0</v>
      </c>
      <c r="R194" s="20">
        <v>0</v>
      </c>
      <c r="X194" s="20">
        <v>1</v>
      </c>
      <c r="Z194" s="20" t="s">
        <v>1854</v>
      </c>
      <c r="AA194" s="20" t="s">
        <v>1860</v>
      </c>
      <c r="AB194" s="31">
        <f>VLOOKUP(AA194,Masters!$K$2:$L$183,2,FALSE)</f>
        <v>1002</v>
      </c>
      <c r="AC194" s="20" t="s">
        <v>2064</v>
      </c>
      <c r="AD194" s="20" t="s">
        <v>2061</v>
      </c>
      <c r="AE194" s="20">
        <v>25</v>
      </c>
      <c r="AF194" s="20">
        <v>6</v>
      </c>
      <c r="AG194" s="20">
        <v>2004</v>
      </c>
      <c r="AH194" s="21">
        <v>38163</v>
      </c>
    </row>
    <row r="195" spans="1:34" x14ac:dyDescent="0.25">
      <c r="A195" s="35">
        <v>1732</v>
      </c>
      <c r="B195" s="20" t="s">
        <v>1832</v>
      </c>
      <c r="C195" s="20" t="s">
        <v>1832</v>
      </c>
      <c r="D195" s="94" t="s">
        <v>1659</v>
      </c>
      <c r="E195" s="20" t="s">
        <v>126</v>
      </c>
      <c r="F195" s="20" t="s">
        <v>1847</v>
      </c>
      <c r="G195" s="31" t="s">
        <v>40</v>
      </c>
      <c r="H195" s="32">
        <v>1</v>
      </c>
      <c r="J195" s="32">
        <v>1</v>
      </c>
      <c r="O195" s="20">
        <v>0</v>
      </c>
      <c r="P195" s="20">
        <v>1</v>
      </c>
      <c r="Q195" s="20">
        <v>0</v>
      </c>
      <c r="R195" s="20">
        <v>0</v>
      </c>
      <c r="X195" s="20">
        <v>1</v>
      </c>
      <c r="Z195" s="20" t="s">
        <v>1856</v>
      </c>
      <c r="AA195" s="20" t="s">
        <v>1860</v>
      </c>
      <c r="AB195" s="31">
        <f>VLOOKUP(AA195,Masters!$K$2:$L$183,2,FALSE)</f>
        <v>1002</v>
      </c>
      <c r="AC195" s="20" t="s">
        <v>2063</v>
      </c>
      <c r="AD195" s="20" t="s">
        <v>2060</v>
      </c>
      <c r="AE195" s="20">
        <v>7</v>
      </c>
      <c r="AF195" s="20">
        <v>8</v>
      </c>
      <c r="AG195" s="20">
        <v>2000</v>
      </c>
      <c r="AH195" s="21">
        <v>36745</v>
      </c>
    </row>
    <row r="196" spans="1:34" x14ac:dyDescent="0.25">
      <c r="A196" s="35">
        <v>1772</v>
      </c>
      <c r="B196" s="20" t="s">
        <v>1832</v>
      </c>
      <c r="C196" s="20" t="s">
        <v>1832</v>
      </c>
      <c r="D196" s="94" t="s">
        <v>1699</v>
      </c>
      <c r="E196" s="20" t="s">
        <v>2054</v>
      </c>
      <c r="F196" s="20" t="s">
        <v>1847</v>
      </c>
      <c r="G196" s="31" t="s">
        <v>40</v>
      </c>
      <c r="H196" s="32">
        <v>1</v>
      </c>
      <c r="J196" s="32">
        <v>1</v>
      </c>
      <c r="O196" s="20">
        <v>0</v>
      </c>
      <c r="P196" s="20">
        <v>1</v>
      </c>
      <c r="Q196" s="20">
        <v>0</v>
      </c>
      <c r="R196" s="20">
        <v>0</v>
      </c>
      <c r="X196" s="20">
        <v>1</v>
      </c>
      <c r="Z196" s="20" t="s">
        <v>1853</v>
      </c>
      <c r="AA196" s="20" t="s">
        <v>1859</v>
      </c>
      <c r="AB196" s="31">
        <f>VLOOKUP(AA196,Masters!$K$2:$L$183,2,FALSE)</f>
        <v>1001</v>
      </c>
      <c r="AC196" s="20" t="s">
        <v>2063</v>
      </c>
      <c r="AD196" s="20" t="s">
        <v>2061</v>
      </c>
      <c r="AE196" s="20">
        <v>14</v>
      </c>
      <c r="AF196" s="20">
        <v>2</v>
      </c>
      <c r="AG196" s="20">
        <v>2000</v>
      </c>
      <c r="AH196" s="21">
        <v>36570</v>
      </c>
    </row>
    <row r="197" spans="1:34" x14ac:dyDescent="0.25">
      <c r="A197" s="35">
        <v>1838</v>
      </c>
      <c r="B197" s="20" t="s">
        <v>1832</v>
      </c>
      <c r="C197" s="20" t="s">
        <v>1832</v>
      </c>
      <c r="D197" s="94" t="s">
        <v>1765</v>
      </c>
      <c r="E197" s="20" t="s">
        <v>2054</v>
      </c>
      <c r="F197" s="20" t="s">
        <v>1847</v>
      </c>
      <c r="G197" s="31" t="s">
        <v>40</v>
      </c>
      <c r="H197" s="32">
        <v>1</v>
      </c>
      <c r="J197" s="32">
        <v>1</v>
      </c>
      <c r="O197" s="20">
        <v>0</v>
      </c>
      <c r="P197" s="20">
        <v>1</v>
      </c>
      <c r="Q197" s="20">
        <v>0</v>
      </c>
      <c r="R197" s="20">
        <v>0</v>
      </c>
      <c r="S197" s="20" t="s">
        <v>183</v>
      </c>
      <c r="T197" s="20" t="s">
        <v>36</v>
      </c>
      <c r="X197" s="20">
        <v>1</v>
      </c>
      <c r="Z197" s="20" t="s">
        <v>100</v>
      </c>
      <c r="AA197" s="20" t="s">
        <v>1859</v>
      </c>
      <c r="AB197" s="31">
        <f>VLOOKUP(AA197,Masters!$K$2:$L$183,2,FALSE)</f>
        <v>1001</v>
      </c>
      <c r="AC197" s="20" t="s">
        <v>2064</v>
      </c>
      <c r="AD197" s="20" t="s">
        <v>2061</v>
      </c>
      <c r="AE197" s="20">
        <v>25</v>
      </c>
      <c r="AF197" s="20">
        <v>10</v>
      </c>
      <c r="AG197" s="20">
        <v>2001</v>
      </c>
      <c r="AH197" s="21">
        <v>37189</v>
      </c>
    </row>
    <row r="198" spans="1:34" x14ac:dyDescent="0.25">
      <c r="A198" s="35">
        <v>1845</v>
      </c>
      <c r="B198" s="20" t="s">
        <v>1832</v>
      </c>
      <c r="C198" s="20" t="s">
        <v>1832</v>
      </c>
      <c r="D198" s="94" t="s">
        <v>1772</v>
      </c>
      <c r="E198" s="20" t="s">
        <v>126</v>
      </c>
      <c r="F198" s="20" t="s">
        <v>1843</v>
      </c>
      <c r="G198" s="31" t="s">
        <v>40</v>
      </c>
      <c r="H198" s="32">
        <v>1</v>
      </c>
      <c r="J198" s="32">
        <v>1</v>
      </c>
      <c r="O198" s="20">
        <v>0</v>
      </c>
      <c r="P198" s="20">
        <v>1</v>
      </c>
      <c r="Q198" s="20">
        <v>0</v>
      </c>
      <c r="R198" s="20">
        <v>0</v>
      </c>
      <c r="X198" s="20">
        <v>1</v>
      </c>
      <c r="Z198" s="20" t="s">
        <v>1853</v>
      </c>
      <c r="AA198" s="20" t="s">
        <v>1859</v>
      </c>
      <c r="AB198" s="31">
        <f>VLOOKUP(AA198,Masters!$K$2:$L$183,2,FALSE)</f>
        <v>1001</v>
      </c>
      <c r="AC198" s="20" t="s">
        <v>2064</v>
      </c>
      <c r="AD198" s="20" t="s">
        <v>2061</v>
      </c>
      <c r="AE198" s="20">
        <v>4</v>
      </c>
      <c r="AF198" s="20">
        <v>5</v>
      </c>
      <c r="AG198" s="20">
        <v>2005</v>
      </c>
      <c r="AH198" s="21">
        <v>38476</v>
      </c>
    </row>
    <row r="199" spans="1:34" x14ac:dyDescent="0.25">
      <c r="A199" s="35">
        <v>1910</v>
      </c>
      <c r="B199" s="20" t="s">
        <v>1832</v>
      </c>
      <c r="C199" s="20" t="s">
        <v>1832</v>
      </c>
      <c r="E199" s="20" t="s">
        <v>2053</v>
      </c>
      <c r="F199" s="20" t="s">
        <v>1846</v>
      </c>
      <c r="G199" s="31" t="s">
        <v>35</v>
      </c>
      <c r="I199" s="208">
        <v>1</v>
      </c>
      <c r="J199" s="208">
        <v>1</v>
      </c>
      <c r="K199" s="208"/>
      <c r="L199" s="209"/>
      <c r="M199" s="208"/>
      <c r="N199" s="208"/>
      <c r="O199" s="210">
        <v>0</v>
      </c>
      <c r="P199" s="210">
        <v>0</v>
      </c>
      <c r="Q199" s="210">
        <v>1</v>
      </c>
      <c r="R199" s="210">
        <v>0</v>
      </c>
      <c r="X199" s="20">
        <v>1</v>
      </c>
      <c r="Z199" s="20" t="s">
        <v>58</v>
      </c>
      <c r="AA199" s="20" t="s">
        <v>1860</v>
      </c>
      <c r="AB199" s="31">
        <f>VLOOKUP(AA199,Masters!$K$2:$L$183,2,FALSE)</f>
        <v>1002</v>
      </c>
      <c r="AC199" s="20" t="s">
        <v>2063</v>
      </c>
      <c r="AE199" s="20">
        <v>22</v>
      </c>
      <c r="AF199" s="20">
        <v>4</v>
      </c>
      <c r="AG199" s="20">
        <v>2002</v>
      </c>
      <c r="AH199" s="21">
        <v>37368</v>
      </c>
    </row>
    <row r="200" spans="1:34" x14ac:dyDescent="0.25">
      <c r="A200" s="35">
        <v>1911</v>
      </c>
      <c r="B200" s="20" t="s">
        <v>1832</v>
      </c>
      <c r="C200" s="20" t="s">
        <v>1832</v>
      </c>
      <c r="E200" s="20" t="s">
        <v>2057</v>
      </c>
      <c r="F200" s="20" t="s">
        <v>1845</v>
      </c>
      <c r="G200" s="31" t="s">
        <v>35</v>
      </c>
      <c r="I200" s="208">
        <v>1</v>
      </c>
      <c r="J200" s="208">
        <v>1</v>
      </c>
      <c r="K200" s="208"/>
      <c r="L200" s="209"/>
      <c r="M200" s="208"/>
      <c r="N200" s="208"/>
      <c r="O200" s="210">
        <v>0</v>
      </c>
      <c r="P200" s="210">
        <v>0</v>
      </c>
      <c r="Q200" s="210">
        <v>1</v>
      </c>
      <c r="R200" s="210">
        <v>0</v>
      </c>
      <c r="X200" s="20">
        <v>1</v>
      </c>
      <c r="Z200" s="20" t="s">
        <v>34</v>
      </c>
      <c r="AA200" s="20" t="s">
        <v>1863</v>
      </c>
      <c r="AB200" s="31">
        <f>VLOOKUP(AA200,Masters!$K$2:$L$183,2,FALSE)</f>
        <v>1005</v>
      </c>
      <c r="AE200" s="20">
        <v>4</v>
      </c>
      <c r="AF200" s="20">
        <v>4</v>
      </c>
      <c r="AG200" s="20">
        <v>2004</v>
      </c>
      <c r="AH200" s="21">
        <v>38081</v>
      </c>
    </row>
    <row r="201" spans="1:34" x14ac:dyDescent="0.25">
      <c r="A201" s="35">
        <v>1953</v>
      </c>
      <c r="B201" s="20" t="s">
        <v>1832</v>
      </c>
      <c r="C201" s="20" t="s">
        <v>1832</v>
      </c>
      <c r="E201" s="20" t="s">
        <v>2058</v>
      </c>
      <c r="F201" s="20" t="s">
        <v>1845</v>
      </c>
      <c r="G201" s="31" t="s">
        <v>35</v>
      </c>
      <c r="I201" s="208">
        <v>1</v>
      </c>
      <c r="J201" s="208">
        <v>1</v>
      </c>
      <c r="K201" s="208"/>
      <c r="L201" s="209"/>
      <c r="M201" s="208"/>
      <c r="N201" s="208"/>
      <c r="O201" s="210">
        <v>0</v>
      </c>
      <c r="P201" s="210">
        <v>0</v>
      </c>
      <c r="Q201" s="210">
        <v>1</v>
      </c>
      <c r="R201" s="210">
        <v>0</v>
      </c>
      <c r="X201" s="20">
        <v>1</v>
      </c>
      <c r="Z201" s="20" t="s">
        <v>1848</v>
      </c>
      <c r="AA201" s="20" t="s">
        <v>1863</v>
      </c>
      <c r="AB201" s="31">
        <f>VLOOKUP(AA201,Masters!$K$2:$L$183,2,FALSE)</f>
        <v>1005</v>
      </c>
      <c r="AC201" s="20" t="s">
        <v>2063</v>
      </c>
      <c r="AE201" s="20">
        <v>30</v>
      </c>
      <c r="AF201" s="20">
        <v>4</v>
      </c>
      <c r="AG201" s="20">
        <v>2005</v>
      </c>
      <c r="AH201" s="21">
        <v>38472</v>
      </c>
    </row>
    <row r="202" spans="1:34" x14ac:dyDescent="0.25">
      <c r="A202" s="35">
        <v>1563</v>
      </c>
      <c r="B202" s="20" t="s">
        <v>1833</v>
      </c>
      <c r="C202" s="20" t="s">
        <v>1833</v>
      </c>
      <c r="D202" s="94" t="s">
        <v>1490</v>
      </c>
      <c r="E202" s="20" t="s">
        <v>2050</v>
      </c>
      <c r="F202" s="20" t="s">
        <v>1843</v>
      </c>
      <c r="G202" s="31" t="s">
        <v>40</v>
      </c>
      <c r="H202" s="32">
        <v>1</v>
      </c>
      <c r="J202" s="32">
        <v>1</v>
      </c>
      <c r="O202" s="20">
        <v>0</v>
      </c>
      <c r="P202" s="20">
        <v>1</v>
      </c>
      <c r="Q202" s="20">
        <v>0</v>
      </c>
      <c r="R202" s="20">
        <v>0</v>
      </c>
      <c r="X202" s="20">
        <v>1</v>
      </c>
      <c r="Z202" s="20" t="s">
        <v>1851</v>
      </c>
      <c r="AA202" s="20" t="s">
        <v>1862</v>
      </c>
      <c r="AB202" s="31">
        <f>VLOOKUP(AA202,Masters!$K$2:$L$183,2,FALSE)</f>
        <v>1004</v>
      </c>
      <c r="AC202" s="20" t="s">
        <v>2064</v>
      </c>
      <c r="AD202" s="20" t="s">
        <v>2061</v>
      </c>
      <c r="AE202" s="20">
        <v>30</v>
      </c>
      <c r="AF202" s="20">
        <v>10</v>
      </c>
      <c r="AG202" s="20">
        <v>2001</v>
      </c>
      <c r="AH202" s="21">
        <v>37194</v>
      </c>
    </row>
    <row r="203" spans="1:34" x14ac:dyDescent="0.25">
      <c r="A203" s="35">
        <v>1626</v>
      </c>
      <c r="B203" s="20" t="s">
        <v>1833</v>
      </c>
      <c r="C203" s="20" t="s">
        <v>1833</v>
      </c>
      <c r="D203" s="94" t="s">
        <v>1553</v>
      </c>
      <c r="E203" s="20" t="s">
        <v>2053</v>
      </c>
      <c r="F203" s="20" t="s">
        <v>1843</v>
      </c>
      <c r="G203" s="31" t="s">
        <v>40</v>
      </c>
      <c r="H203" s="32">
        <v>1</v>
      </c>
      <c r="J203" s="32">
        <v>1</v>
      </c>
      <c r="O203" s="20">
        <v>0</v>
      </c>
      <c r="P203" s="20">
        <v>1</v>
      </c>
      <c r="Q203" s="20">
        <v>0</v>
      </c>
      <c r="R203" s="20">
        <v>0</v>
      </c>
      <c r="X203" s="20">
        <v>1</v>
      </c>
      <c r="Z203" s="20" t="s">
        <v>1852</v>
      </c>
      <c r="AA203" s="20" t="s">
        <v>1862</v>
      </c>
      <c r="AB203" s="31">
        <f>VLOOKUP(AA203,Masters!$K$2:$L$183,2,FALSE)</f>
        <v>1004</v>
      </c>
      <c r="AC203" s="20" t="s">
        <v>2063</v>
      </c>
      <c r="AD203" s="20" t="s">
        <v>2061</v>
      </c>
      <c r="AE203" s="20">
        <v>15</v>
      </c>
      <c r="AF203" s="20">
        <v>3</v>
      </c>
      <c r="AG203" s="20">
        <v>2005</v>
      </c>
      <c r="AH203" s="21">
        <v>38426</v>
      </c>
    </row>
    <row r="204" spans="1:34" x14ac:dyDescent="0.25">
      <c r="A204" s="35">
        <v>1800</v>
      </c>
      <c r="B204" s="20" t="s">
        <v>1833</v>
      </c>
      <c r="C204" s="20" t="s">
        <v>1833</v>
      </c>
      <c r="D204" s="94" t="s">
        <v>1727</v>
      </c>
      <c r="E204" s="20" t="s">
        <v>2059</v>
      </c>
      <c r="F204" s="20" t="s">
        <v>1843</v>
      </c>
      <c r="G204" s="31" t="s">
        <v>40</v>
      </c>
      <c r="H204" s="32">
        <v>1</v>
      </c>
      <c r="J204" s="32">
        <v>1</v>
      </c>
      <c r="O204" s="20">
        <v>0</v>
      </c>
      <c r="P204" s="20">
        <v>1</v>
      </c>
      <c r="Q204" s="20">
        <v>0</v>
      </c>
      <c r="R204" s="20">
        <v>0</v>
      </c>
      <c r="X204" s="20">
        <v>1</v>
      </c>
      <c r="Z204" s="20" t="s">
        <v>1832</v>
      </c>
      <c r="AA204" s="20" t="s">
        <v>1859</v>
      </c>
      <c r="AB204" s="31">
        <f>VLOOKUP(AA204,Masters!$K$2:$L$183,2,FALSE)</f>
        <v>1001</v>
      </c>
      <c r="AC204" s="20" t="s">
        <v>2063</v>
      </c>
      <c r="AD204" s="20" t="s">
        <v>2061</v>
      </c>
      <c r="AE204" s="20">
        <v>9</v>
      </c>
      <c r="AF204" s="20">
        <v>8</v>
      </c>
      <c r="AG204" s="20">
        <v>2001</v>
      </c>
      <c r="AH204" s="21">
        <v>37112</v>
      </c>
    </row>
    <row r="205" spans="1:34" x14ac:dyDescent="0.25">
      <c r="A205" s="35">
        <v>1851</v>
      </c>
      <c r="B205" s="20" t="s">
        <v>1833</v>
      </c>
      <c r="C205" s="20" t="s">
        <v>1833</v>
      </c>
      <c r="D205" s="94" t="s">
        <v>1778</v>
      </c>
      <c r="E205" s="20" t="s">
        <v>2058</v>
      </c>
      <c r="F205" s="20" t="s">
        <v>1843</v>
      </c>
      <c r="G205" s="31" t="s">
        <v>40</v>
      </c>
      <c r="H205" s="32">
        <v>1</v>
      </c>
      <c r="J205" s="32">
        <v>1</v>
      </c>
      <c r="O205" s="20">
        <v>0</v>
      </c>
      <c r="P205" s="20">
        <v>1</v>
      </c>
      <c r="Q205" s="20">
        <v>0</v>
      </c>
      <c r="R205" s="20">
        <v>0</v>
      </c>
      <c r="T205" s="20" t="s">
        <v>170</v>
      </c>
      <c r="X205" s="20">
        <v>1</v>
      </c>
      <c r="Z205" s="20" t="s">
        <v>1855</v>
      </c>
      <c r="AA205" s="20" t="s">
        <v>1861</v>
      </c>
      <c r="AB205" s="31">
        <f>VLOOKUP(AA205,Masters!$K$2:$L$183,2,FALSE)</f>
        <v>1003</v>
      </c>
      <c r="AC205" s="20" t="s">
        <v>2063</v>
      </c>
      <c r="AD205" s="20" t="s">
        <v>2061</v>
      </c>
      <c r="AE205" s="20">
        <v>24</v>
      </c>
      <c r="AF205" s="20">
        <v>4</v>
      </c>
      <c r="AG205" s="20">
        <v>2000</v>
      </c>
      <c r="AH205" s="21">
        <v>36640</v>
      </c>
    </row>
    <row r="206" spans="1:34" x14ac:dyDescent="0.25">
      <c r="A206" s="35">
        <v>1893</v>
      </c>
      <c r="B206" s="20" t="s">
        <v>1833</v>
      </c>
      <c r="C206" s="20" t="s">
        <v>1833</v>
      </c>
      <c r="D206" s="94" t="s">
        <v>1820</v>
      </c>
      <c r="E206" s="20" t="s">
        <v>2053</v>
      </c>
      <c r="F206" s="20" t="s">
        <v>1847</v>
      </c>
      <c r="G206" s="31" t="s">
        <v>40</v>
      </c>
      <c r="H206" s="32">
        <v>1</v>
      </c>
      <c r="J206" s="32">
        <v>1</v>
      </c>
      <c r="O206" s="20">
        <v>0</v>
      </c>
      <c r="P206" s="20">
        <v>1</v>
      </c>
      <c r="Q206" s="20">
        <v>0</v>
      </c>
      <c r="R206" s="20">
        <v>0</v>
      </c>
      <c r="X206" s="20">
        <v>1</v>
      </c>
      <c r="Z206" s="20" t="s">
        <v>1835</v>
      </c>
      <c r="AA206" s="20" t="s">
        <v>1862</v>
      </c>
      <c r="AB206" s="31">
        <f>VLOOKUP(AA206,Masters!$K$2:$L$183,2,FALSE)</f>
        <v>1004</v>
      </c>
      <c r="AC206" s="20" t="s">
        <v>2064</v>
      </c>
      <c r="AD206" s="20" t="s">
        <v>2061</v>
      </c>
      <c r="AE206" s="20">
        <v>25</v>
      </c>
      <c r="AF206" s="20">
        <v>10</v>
      </c>
      <c r="AG206" s="20">
        <v>2001</v>
      </c>
      <c r="AH206" s="21">
        <v>37189</v>
      </c>
    </row>
    <row r="207" spans="1:34" x14ac:dyDescent="0.25">
      <c r="A207" s="35">
        <v>1905</v>
      </c>
      <c r="B207" s="20" t="s">
        <v>1833</v>
      </c>
      <c r="C207" s="20" t="s">
        <v>1833</v>
      </c>
      <c r="E207" s="20" t="s">
        <v>2058</v>
      </c>
      <c r="F207" s="20" t="s">
        <v>1845</v>
      </c>
      <c r="G207" s="31" t="s">
        <v>35</v>
      </c>
      <c r="I207" s="208">
        <v>1</v>
      </c>
      <c r="J207" s="208">
        <v>1</v>
      </c>
      <c r="K207" s="208"/>
      <c r="L207" s="209"/>
      <c r="M207" s="208"/>
      <c r="N207" s="208"/>
      <c r="O207" s="210">
        <v>0</v>
      </c>
      <c r="P207" s="210">
        <v>0</v>
      </c>
      <c r="Q207" s="210">
        <v>1</v>
      </c>
      <c r="R207" s="210">
        <v>0</v>
      </c>
      <c r="S207" s="20" t="s">
        <v>184</v>
      </c>
      <c r="T207" s="20" t="s">
        <v>170</v>
      </c>
      <c r="V207" s="20" t="s">
        <v>192</v>
      </c>
      <c r="W207" s="21">
        <v>42887</v>
      </c>
      <c r="X207" s="20">
        <v>1</v>
      </c>
      <c r="Z207" s="20" t="s">
        <v>1851</v>
      </c>
      <c r="AA207" s="20" t="s">
        <v>1862</v>
      </c>
      <c r="AB207" s="31">
        <f>VLOOKUP(AA207,Masters!$K$2:$L$183,2,FALSE)</f>
        <v>1004</v>
      </c>
      <c r="AC207" s="20" t="s">
        <v>2063</v>
      </c>
      <c r="AE207" s="20">
        <v>24</v>
      </c>
      <c r="AF207" s="20">
        <v>11</v>
      </c>
      <c r="AG207" s="20">
        <v>2003</v>
      </c>
      <c r="AH207" s="21">
        <v>37949</v>
      </c>
    </row>
    <row r="208" spans="1:34" x14ac:dyDescent="0.25">
      <c r="A208" s="35">
        <v>1954</v>
      </c>
      <c r="B208" s="20" t="s">
        <v>1833</v>
      </c>
      <c r="C208" s="20" t="s">
        <v>1833</v>
      </c>
      <c r="E208" s="20" t="s">
        <v>2050</v>
      </c>
      <c r="F208" s="20" t="s">
        <v>1846</v>
      </c>
      <c r="G208" s="31" t="s">
        <v>35</v>
      </c>
      <c r="I208" s="208">
        <v>1</v>
      </c>
      <c r="J208" s="208">
        <v>1</v>
      </c>
      <c r="K208" s="208"/>
      <c r="L208" s="209"/>
      <c r="M208" s="208"/>
      <c r="N208" s="208"/>
      <c r="O208" s="210">
        <v>0</v>
      </c>
      <c r="P208" s="210">
        <v>0</v>
      </c>
      <c r="Q208" s="210">
        <v>1</v>
      </c>
      <c r="R208" s="210">
        <v>0</v>
      </c>
      <c r="X208" s="20">
        <v>1</v>
      </c>
      <c r="Z208" s="20" t="s">
        <v>1856</v>
      </c>
      <c r="AA208" s="20" t="s">
        <v>1863</v>
      </c>
      <c r="AB208" s="31">
        <f>VLOOKUP(AA208,Masters!$K$2:$L$183,2,FALSE)</f>
        <v>1005</v>
      </c>
      <c r="AC208" s="20" t="s">
        <v>2063</v>
      </c>
      <c r="AE208" s="20">
        <v>14</v>
      </c>
      <c r="AF208" s="20">
        <v>12</v>
      </c>
      <c r="AG208" s="20">
        <v>2002</v>
      </c>
      <c r="AH208" s="21">
        <v>37604</v>
      </c>
    </row>
    <row r="209" spans="1:34" x14ac:dyDescent="0.25">
      <c r="A209" s="35">
        <v>1955</v>
      </c>
      <c r="B209" s="20" t="s">
        <v>1833</v>
      </c>
      <c r="C209" s="20" t="s">
        <v>1833</v>
      </c>
      <c r="E209" s="20" t="s">
        <v>2055</v>
      </c>
      <c r="F209" s="20" t="s">
        <v>1845</v>
      </c>
      <c r="G209" s="31" t="s">
        <v>35</v>
      </c>
      <c r="I209" s="208">
        <v>1</v>
      </c>
      <c r="J209" s="208">
        <v>1</v>
      </c>
      <c r="K209" s="208"/>
      <c r="L209" s="209"/>
      <c r="M209" s="208"/>
      <c r="N209" s="208"/>
      <c r="O209" s="210">
        <v>0</v>
      </c>
      <c r="P209" s="210">
        <v>0</v>
      </c>
      <c r="Q209" s="210">
        <v>1</v>
      </c>
      <c r="R209" s="210">
        <v>0</v>
      </c>
      <c r="X209" s="20">
        <v>1</v>
      </c>
      <c r="Z209" s="20" t="s">
        <v>1848</v>
      </c>
      <c r="AA209" s="20" t="s">
        <v>1860</v>
      </c>
      <c r="AB209" s="31">
        <f>VLOOKUP(AA209,Masters!$K$2:$L$183,2,FALSE)</f>
        <v>1002</v>
      </c>
      <c r="AC209" s="20" t="s">
        <v>2063</v>
      </c>
      <c r="AE209" s="20">
        <v>6</v>
      </c>
      <c r="AF209" s="20">
        <v>6</v>
      </c>
      <c r="AG209" s="20">
        <v>2004</v>
      </c>
      <c r="AH209" s="21">
        <v>38144</v>
      </c>
    </row>
    <row r="210" spans="1:34" x14ac:dyDescent="0.25">
      <c r="A210" s="35">
        <v>1009</v>
      </c>
      <c r="B210" s="22" t="s">
        <v>1834</v>
      </c>
      <c r="C210" s="22" t="s">
        <v>1834</v>
      </c>
      <c r="D210" s="94" t="s">
        <v>936</v>
      </c>
      <c r="E210" s="20" t="s">
        <v>2059</v>
      </c>
      <c r="F210" s="20" t="s">
        <v>1846</v>
      </c>
      <c r="G210" s="35" t="s">
        <v>40</v>
      </c>
      <c r="H210" s="36">
        <v>1</v>
      </c>
      <c r="I210" s="36"/>
      <c r="J210" s="36">
        <v>1</v>
      </c>
      <c r="K210" s="37"/>
      <c r="L210" s="38"/>
      <c r="M210" s="36"/>
      <c r="N210" s="36"/>
      <c r="O210" s="22">
        <v>0</v>
      </c>
      <c r="P210" s="22">
        <v>1</v>
      </c>
      <c r="Q210" s="22">
        <v>0</v>
      </c>
      <c r="R210" s="22">
        <v>0</v>
      </c>
      <c r="S210" s="22"/>
      <c r="T210" s="22"/>
      <c r="U210" s="22"/>
      <c r="V210" s="22"/>
      <c r="X210" s="22">
        <v>1</v>
      </c>
      <c r="Y210" s="22"/>
      <c r="Z210" s="20" t="s">
        <v>58</v>
      </c>
      <c r="AA210" s="20" t="s">
        <v>1859</v>
      </c>
      <c r="AB210" s="31">
        <f>VLOOKUP(AA210,Masters!$K$2:$L$183,2,FALSE)</f>
        <v>1001</v>
      </c>
      <c r="AC210" s="22" t="s">
        <v>2064</v>
      </c>
      <c r="AD210" s="22" t="s">
        <v>2061</v>
      </c>
      <c r="AE210" s="20">
        <v>16</v>
      </c>
      <c r="AF210" s="20">
        <v>6</v>
      </c>
      <c r="AG210" s="20">
        <v>2000</v>
      </c>
      <c r="AH210" s="21">
        <v>36693</v>
      </c>
    </row>
    <row r="211" spans="1:34" x14ac:dyDescent="0.25">
      <c r="A211" s="35">
        <v>1027</v>
      </c>
      <c r="B211" s="22" t="s">
        <v>1834</v>
      </c>
      <c r="C211" s="22" t="s">
        <v>1834</v>
      </c>
      <c r="D211" s="94" t="s">
        <v>954</v>
      </c>
      <c r="E211" s="20" t="s">
        <v>2054</v>
      </c>
      <c r="F211" s="20" t="s">
        <v>1847</v>
      </c>
      <c r="G211" s="31" t="s">
        <v>40</v>
      </c>
      <c r="H211" s="32">
        <v>1</v>
      </c>
      <c r="J211" s="32">
        <v>1</v>
      </c>
      <c r="O211" s="20">
        <v>0</v>
      </c>
      <c r="P211" s="20">
        <v>1</v>
      </c>
      <c r="Q211" s="20">
        <v>0</v>
      </c>
      <c r="R211" s="20">
        <v>0</v>
      </c>
      <c r="X211" s="20">
        <v>1</v>
      </c>
      <c r="Z211" s="20" t="s">
        <v>1858</v>
      </c>
      <c r="AA211" s="20" t="s">
        <v>1859</v>
      </c>
      <c r="AB211" s="31">
        <f>VLOOKUP(AA211,Masters!$K$2:$L$183,2,FALSE)</f>
        <v>1001</v>
      </c>
      <c r="AC211" s="20" t="s">
        <v>2063</v>
      </c>
      <c r="AD211" s="20" t="s">
        <v>2060</v>
      </c>
      <c r="AE211" s="20">
        <v>12</v>
      </c>
      <c r="AF211" s="20">
        <v>5</v>
      </c>
      <c r="AG211" s="20">
        <v>2004</v>
      </c>
      <c r="AH211" s="21">
        <v>38119</v>
      </c>
    </row>
    <row r="212" spans="1:34" x14ac:dyDescent="0.25">
      <c r="A212" s="35">
        <v>1133</v>
      </c>
      <c r="B212" s="22" t="s">
        <v>1834</v>
      </c>
      <c r="C212" s="22" t="s">
        <v>1834</v>
      </c>
      <c r="D212" s="94" t="s">
        <v>1060</v>
      </c>
      <c r="E212" s="20" t="s">
        <v>2051</v>
      </c>
      <c r="F212" s="20" t="s">
        <v>1843</v>
      </c>
      <c r="G212" s="31" t="s">
        <v>40</v>
      </c>
      <c r="H212" s="32">
        <v>1</v>
      </c>
      <c r="J212" s="32">
        <v>1</v>
      </c>
      <c r="O212" s="20">
        <v>0</v>
      </c>
      <c r="P212" s="20">
        <v>1</v>
      </c>
      <c r="Q212" s="20">
        <v>0</v>
      </c>
      <c r="R212" s="20">
        <v>0</v>
      </c>
      <c r="X212" s="20">
        <v>1</v>
      </c>
      <c r="Z212" s="20" t="s">
        <v>1853</v>
      </c>
      <c r="AA212" s="20" t="s">
        <v>1863</v>
      </c>
      <c r="AB212" s="31">
        <f>VLOOKUP(AA212,Masters!$K$2:$L$183,2,FALSE)</f>
        <v>1005</v>
      </c>
      <c r="AC212" s="20" t="s">
        <v>2063</v>
      </c>
      <c r="AD212" s="20" t="s">
        <v>2061</v>
      </c>
      <c r="AE212" s="20">
        <v>21</v>
      </c>
      <c r="AF212" s="20">
        <v>1</v>
      </c>
      <c r="AG212" s="20">
        <v>2005</v>
      </c>
      <c r="AH212" s="21">
        <v>38373</v>
      </c>
    </row>
    <row r="213" spans="1:34" x14ac:dyDescent="0.25">
      <c r="A213" s="35">
        <v>1159</v>
      </c>
      <c r="B213" s="22" t="s">
        <v>1834</v>
      </c>
      <c r="C213" s="22" t="s">
        <v>1834</v>
      </c>
      <c r="D213" s="94" t="s">
        <v>1086</v>
      </c>
      <c r="E213" s="20" t="s">
        <v>133</v>
      </c>
      <c r="F213" s="20" t="s">
        <v>1843</v>
      </c>
      <c r="G213" s="31" t="s">
        <v>40</v>
      </c>
      <c r="H213" s="32">
        <v>1</v>
      </c>
      <c r="J213" s="32">
        <v>1</v>
      </c>
      <c r="O213" s="20">
        <v>0</v>
      </c>
      <c r="P213" s="20">
        <v>1</v>
      </c>
      <c r="Q213" s="20">
        <v>0</v>
      </c>
      <c r="R213" s="20">
        <v>0</v>
      </c>
      <c r="X213" s="20">
        <v>1</v>
      </c>
      <c r="Z213" s="20" t="s">
        <v>34</v>
      </c>
      <c r="AA213" s="20" t="s">
        <v>1860</v>
      </c>
      <c r="AB213" s="31">
        <f>VLOOKUP(AA213,Masters!$K$2:$L$183,2,FALSE)</f>
        <v>1002</v>
      </c>
      <c r="AC213" s="20" t="s">
        <v>2063</v>
      </c>
      <c r="AD213" s="20" t="s">
        <v>2061</v>
      </c>
      <c r="AE213" s="20">
        <v>30</v>
      </c>
      <c r="AF213" s="20">
        <v>9</v>
      </c>
      <c r="AG213" s="20">
        <v>2002</v>
      </c>
      <c r="AH213" s="21">
        <v>37529</v>
      </c>
    </row>
    <row r="214" spans="1:34" x14ac:dyDescent="0.25">
      <c r="A214" s="35">
        <v>1186</v>
      </c>
      <c r="B214" s="22" t="s">
        <v>1834</v>
      </c>
      <c r="C214" s="22" t="s">
        <v>1834</v>
      </c>
      <c r="D214" s="94" t="s">
        <v>1113</v>
      </c>
      <c r="E214" s="20" t="s">
        <v>135</v>
      </c>
      <c r="F214" s="20" t="s">
        <v>1844</v>
      </c>
      <c r="G214" s="31" t="s">
        <v>40</v>
      </c>
      <c r="H214" s="32">
        <v>1</v>
      </c>
      <c r="J214" s="32">
        <v>1</v>
      </c>
      <c r="O214" s="20">
        <v>0</v>
      </c>
      <c r="P214" s="20">
        <v>1</v>
      </c>
      <c r="Q214" s="20">
        <v>0</v>
      </c>
      <c r="R214" s="20">
        <v>0</v>
      </c>
      <c r="X214" s="20">
        <v>1</v>
      </c>
      <c r="Z214" s="20" t="s">
        <v>1856</v>
      </c>
      <c r="AA214" s="20" t="s">
        <v>1862</v>
      </c>
      <c r="AB214" s="31">
        <f>VLOOKUP(AA214,Masters!$K$2:$L$183,2,FALSE)</f>
        <v>1004</v>
      </c>
      <c r="AC214" s="20" t="s">
        <v>2063</v>
      </c>
      <c r="AD214" s="20" t="s">
        <v>2060</v>
      </c>
      <c r="AE214" s="20">
        <v>27</v>
      </c>
      <c r="AF214" s="20">
        <v>8</v>
      </c>
      <c r="AG214" s="20">
        <v>2005</v>
      </c>
      <c r="AH214" s="21">
        <v>38591</v>
      </c>
    </row>
    <row r="215" spans="1:34" x14ac:dyDescent="0.25">
      <c r="A215" s="35">
        <v>1213</v>
      </c>
      <c r="B215" s="22" t="s">
        <v>1834</v>
      </c>
      <c r="C215" s="22" t="s">
        <v>1834</v>
      </c>
      <c r="D215" s="94" t="s">
        <v>1140</v>
      </c>
      <c r="E215" s="20" t="s">
        <v>2053</v>
      </c>
      <c r="F215" s="20" t="s">
        <v>1843</v>
      </c>
      <c r="G215" s="31" t="s">
        <v>40</v>
      </c>
      <c r="H215" s="32">
        <v>1</v>
      </c>
      <c r="J215" s="32">
        <v>1</v>
      </c>
      <c r="O215" s="20">
        <v>0</v>
      </c>
      <c r="P215" s="20">
        <v>1</v>
      </c>
      <c r="Q215" s="20">
        <v>0</v>
      </c>
      <c r="R215" s="20">
        <v>0</v>
      </c>
      <c r="X215" s="20">
        <v>1</v>
      </c>
      <c r="Z215" s="20" t="s">
        <v>1858</v>
      </c>
      <c r="AA215" s="20" t="s">
        <v>1861</v>
      </c>
      <c r="AB215" s="31">
        <f>VLOOKUP(AA215,Masters!$K$2:$L$183,2,FALSE)</f>
        <v>1003</v>
      </c>
      <c r="AC215" s="20" t="s">
        <v>2063</v>
      </c>
      <c r="AD215" s="20" t="s">
        <v>2060</v>
      </c>
      <c r="AE215" s="20">
        <v>22</v>
      </c>
      <c r="AF215" s="20">
        <v>11</v>
      </c>
      <c r="AG215" s="20">
        <v>2000</v>
      </c>
      <c r="AH215" s="21">
        <v>36852</v>
      </c>
    </row>
    <row r="216" spans="1:34" x14ac:dyDescent="0.25">
      <c r="A216" s="35">
        <v>1293</v>
      </c>
      <c r="B216" s="22" t="s">
        <v>1834</v>
      </c>
      <c r="C216" s="22" t="s">
        <v>1834</v>
      </c>
      <c r="D216" s="94" t="s">
        <v>1220</v>
      </c>
      <c r="E216" s="20" t="s">
        <v>2052</v>
      </c>
      <c r="F216" s="20" t="s">
        <v>1844</v>
      </c>
      <c r="G216" s="31" t="s">
        <v>40</v>
      </c>
      <c r="H216" s="32">
        <v>1</v>
      </c>
      <c r="J216" s="32">
        <v>1</v>
      </c>
      <c r="O216" s="20">
        <v>0</v>
      </c>
      <c r="P216" s="20">
        <v>1</v>
      </c>
      <c r="Q216" s="20">
        <v>0</v>
      </c>
      <c r="R216" s="20">
        <v>0</v>
      </c>
      <c r="X216" s="20">
        <v>1</v>
      </c>
      <c r="Z216" s="20" t="s">
        <v>1857</v>
      </c>
      <c r="AA216" s="20" t="s">
        <v>1862</v>
      </c>
      <c r="AB216" s="31">
        <f>VLOOKUP(AA216,Masters!$K$2:$L$183,2,FALSE)</f>
        <v>1004</v>
      </c>
      <c r="AC216" s="20" t="s">
        <v>2063</v>
      </c>
      <c r="AD216" s="20" t="s">
        <v>2061</v>
      </c>
      <c r="AE216" s="20">
        <v>18</v>
      </c>
      <c r="AF216" s="20">
        <v>9</v>
      </c>
      <c r="AG216" s="20">
        <v>2000</v>
      </c>
      <c r="AH216" s="21">
        <v>36787</v>
      </c>
    </row>
    <row r="217" spans="1:34" x14ac:dyDescent="0.25">
      <c r="A217" s="35">
        <v>1378</v>
      </c>
      <c r="B217" s="22" t="s">
        <v>1834</v>
      </c>
      <c r="C217" s="22" t="s">
        <v>1834</v>
      </c>
      <c r="D217" s="94" t="s">
        <v>1305</v>
      </c>
      <c r="E217" s="20" t="s">
        <v>2052</v>
      </c>
      <c r="F217" s="20" t="s">
        <v>1845</v>
      </c>
      <c r="G217" s="31" t="s">
        <v>40</v>
      </c>
      <c r="H217" s="32">
        <v>1</v>
      </c>
      <c r="J217" s="32">
        <v>1</v>
      </c>
      <c r="O217" s="20">
        <v>0</v>
      </c>
      <c r="P217" s="20">
        <v>1</v>
      </c>
      <c r="Q217" s="20">
        <v>0</v>
      </c>
      <c r="R217" s="20">
        <v>0</v>
      </c>
      <c r="X217" s="20">
        <v>1</v>
      </c>
      <c r="Z217" s="20" t="s">
        <v>1832</v>
      </c>
      <c r="AA217" s="20" t="s">
        <v>1862</v>
      </c>
      <c r="AB217" s="31">
        <f>VLOOKUP(AA217,Masters!$K$2:$L$183,2,FALSE)</f>
        <v>1004</v>
      </c>
      <c r="AC217" s="20" t="s">
        <v>2063</v>
      </c>
      <c r="AD217" s="20" t="s">
        <v>2060</v>
      </c>
      <c r="AE217" s="20">
        <v>23</v>
      </c>
      <c r="AF217" s="20">
        <v>4</v>
      </c>
      <c r="AG217" s="20">
        <v>2000</v>
      </c>
      <c r="AH217" s="21">
        <v>36639</v>
      </c>
    </row>
    <row r="218" spans="1:34" x14ac:dyDescent="0.25">
      <c r="A218" s="35">
        <v>1444</v>
      </c>
      <c r="B218" s="22" t="s">
        <v>1834</v>
      </c>
      <c r="C218" s="22" t="s">
        <v>1834</v>
      </c>
      <c r="D218" s="94" t="s">
        <v>1371</v>
      </c>
      <c r="E218" s="20" t="s">
        <v>126</v>
      </c>
      <c r="F218" s="20" t="s">
        <v>1846</v>
      </c>
      <c r="G218" s="31" t="s">
        <v>40</v>
      </c>
      <c r="H218" s="32">
        <v>1</v>
      </c>
      <c r="J218" s="32">
        <v>1</v>
      </c>
      <c r="O218" s="20">
        <v>0</v>
      </c>
      <c r="P218" s="20">
        <v>1</v>
      </c>
      <c r="Q218" s="20">
        <v>0</v>
      </c>
      <c r="R218" s="20">
        <v>0</v>
      </c>
      <c r="X218" s="20">
        <v>1</v>
      </c>
      <c r="Z218" s="20" t="s">
        <v>1848</v>
      </c>
      <c r="AA218" s="20" t="s">
        <v>1860</v>
      </c>
      <c r="AB218" s="31">
        <f>VLOOKUP(AA218,Masters!$K$2:$L$183,2,FALSE)</f>
        <v>1002</v>
      </c>
      <c r="AC218" s="20" t="s">
        <v>2063</v>
      </c>
      <c r="AD218" s="20" t="s">
        <v>2061</v>
      </c>
      <c r="AE218" s="20">
        <v>9</v>
      </c>
      <c r="AF218" s="20">
        <v>5</v>
      </c>
      <c r="AG218" s="20">
        <v>2004</v>
      </c>
      <c r="AH218" s="21">
        <v>38116</v>
      </c>
    </row>
    <row r="219" spans="1:34" x14ac:dyDescent="0.25">
      <c r="A219" s="35">
        <v>1459</v>
      </c>
      <c r="B219" s="22" t="s">
        <v>1834</v>
      </c>
      <c r="C219" s="22" t="s">
        <v>1834</v>
      </c>
      <c r="D219" s="94" t="s">
        <v>1386</v>
      </c>
      <c r="E219" s="20" t="s">
        <v>133</v>
      </c>
      <c r="F219" s="20" t="s">
        <v>1843</v>
      </c>
      <c r="G219" s="31" t="s">
        <v>40</v>
      </c>
      <c r="H219" s="32">
        <v>1</v>
      </c>
      <c r="J219" s="32">
        <v>1</v>
      </c>
      <c r="O219" s="20">
        <v>0</v>
      </c>
      <c r="P219" s="20">
        <v>1</v>
      </c>
      <c r="Q219" s="20">
        <v>0</v>
      </c>
      <c r="R219" s="20">
        <v>0</v>
      </c>
      <c r="X219" s="20">
        <v>1</v>
      </c>
      <c r="Z219" s="20" t="s">
        <v>1855</v>
      </c>
      <c r="AA219" s="20" t="s">
        <v>1860</v>
      </c>
      <c r="AB219" s="31">
        <f>VLOOKUP(AA219,Masters!$K$2:$L$183,2,FALSE)</f>
        <v>1002</v>
      </c>
      <c r="AC219" s="20" t="s">
        <v>2064</v>
      </c>
      <c r="AD219" s="20" t="s">
        <v>2061</v>
      </c>
      <c r="AE219" s="20">
        <v>4</v>
      </c>
      <c r="AF219" s="20">
        <v>6</v>
      </c>
      <c r="AG219" s="20">
        <v>2004</v>
      </c>
      <c r="AH219" s="21">
        <v>38142</v>
      </c>
    </row>
    <row r="220" spans="1:34" x14ac:dyDescent="0.25">
      <c r="A220" s="35">
        <v>1462</v>
      </c>
      <c r="B220" s="22" t="s">
        <v>1834</v>
      </c>
      <c r="C220" s="22" t="s">
        <v>1834</v>
      </c>
      <c r="D220" s="94" t="s">
        <v>1389</v>
      </c>
      <c r="E220" s="20" t="s">
        <v>2058</v>
      </c>
      <c r="F220" s="20" t="s">
        <v>1845</v>
      </c>
      <c r="G220" s="31" t="s">
        <v>40</v>
      </c>
      <c r="H220" s="32">
        <v>1</v>
      </c>
      <c r="J220" s="32">
        <v>1</v>
      </c>
      <c r="O220" s="20">
        <v>0</v>
      </c>
      <c r="P220" s="20">
        <v>1</v>
      </c>
      <c r="Q220" s="20">
        <v>0</v>
      </c>
      <c r="R220" s="20">
        <v>0</v>
      </c>
      <c r="X220" s="20">
        <v>1</v>
      </c>
      <c r="Z220" s="20" t="s">
        <v>1835</v>
      </c>
      <c r="AA220" s="20" t="s">
        <v>1862</v>
      </c>
      <c r="AB220" s="31">
        <f>VLOOKUP(AA220,Masters!$K$2:$L$183,2,FALSE)</f>
        <v>1004</v>
      </c>
      <c r="AC220" s="20" t="s">
        <v>2063</v>
      </c>
      <c r="AD220" s="20" t="s">
        <v>2061</v>
      </c>
      <c r="AE220" s="20">
        <v>15</v>
      </c>
      <c r="AF220" s="20">
        <v>11</v>
      </c>
      <c r="AG220" s="20">
        <v>2004</v>
      </c>
      <c r="AH220" s="21">
        <v>38306</v>
      </c>
    </row>
    <row r="221" spans="1:34" x14ac:dyDescent="0.25">
      <c r="A221" s="35">
        <v>1507</v>
      </c>
      <c r="B221" s="22" t="s">
        <v>1834</v>
      </c>
      <c r="C221" s="22" t="s">
        <v>1834</v>
      </c>
      <c r="D221" s="94" t="s">
        <v>1434</v>
      </c>
      <c r="E221" s="20" t="s">
        <v>2054</v>
      </c>
      <c r="F221" s="20" t="s">
        <v>1843</v>
      </c>
      <c r="G221" s="31" t="s">
        <v>40</v>
      </c>
      <c r="H221" s="32">
        <v>1</v>
      </c>
      <c r="J221" s="32">
        <v>1</v>
      </c>
      <c r="O221" s="20">
        <v>0</v>
      </c>
      <c r="P221" s="20">
        <v>1</v>
      </c>
      <c r="Q221" s="20">
        <v>0</v>
      </c>
      <c r="R221" s="20">
        <v>0</v>
      </c>
      <c r="X221" s="20">
        <v>1</v>
      </c>
      <c r="Z221" s="20" t="s">
        <v>1856</v>
      </c>
      <c r="AA221" s="20" t="s">
        <v>1862</v>
      </c>
      <c r="AB221" s="31">
        <f>VLOOKUP(AA221,Masters!$K$2:$L$183,2,FALSE)</f>
        <v>1004</v>
      </c>
      <c r="AC221" s="20" t="s">
        <v>2063</v>
      </c>
      <c r="AD221" s="20" t="s">
        <v>2061</v>
      </c>
      <c r="AE221" s="20">
        <v>25</v>
      </c>
      <c r="AF221" s="20">
        <v>6</v>
      </c>
      <c r="AG221" s="20">
        <v>2003</v>
      </c>
      <c r="AH221" s="21">
        <v>37797</v>
      </c>
    </row>
    <row r="222" spans="1:34" x14ac:dyDescent="0.25">
      <c r="A222" s="35">
        <v>1510</v>
      </c>
      <c r="B222" s="22" t="s">
        <v>1834</v>
      </c>
      <c r="C222" s="22" t="s">
        <v>1834</v>
      </c>
      <c r="D222" s="94" t="s">
        <v>1437</v>
      </c>
      <c r="E222" s="20" t="s">
        <v>2054</v>
      </c>
      <c r="F222" s="20" t="s">
        <v>1844</v>
      </c>
      <c r="G222" s="31" t="s">
        <v>40</v>
      </c>
      <c r="H222" s="32">
        <v>1</v>
      </c>
      <c r="J222" s="32">
        <v>1</v>
      </c>
      <c r="O222" s="20">
        <v>0</v>
      </c>
      <c r="P222" s="20">
        <v>1</v>
      </c>
      <c r="Q222" s="20">
        <v>0</v>
      </c>
      <c r="R222" s="20">
        <v>0</v>
      </c>
      <c r="X222" s="20">
        <v>1</v>
      </c>
      <c r="Z222" s="20" t="s">
        <v>1855</v>
      </c>
      <c r="AA222" s="20" t="s">
        <v>1860</v>
      </c>
      <c r="AB222" s="31">
        <f>VLOOKUP(AA222,Masters!$K$2:$L$183,2,FALSE)</f>
        <v>1002</v>
      </c>
      <c r="AC222" s="20" t="s">
        <v>2063</v>
      </c>
      <c r="AD222" s="20" t="s">
        <v>2060</v>
      </c>
      <c r="AE222" s="20">
        <v>22</v>
      </c>
      <c r="AF222" s="20">
        <v>3</v>
      </c>
      <c r="AG222" s="20">
        <v>2000</v>
      </c>
      <c r="AH222" s="21">
        <v>36607</v>
      </c>
    </row>
    <row r="223" spans="1:34" x14ac:dyDescent="0.25">
      <c r="A223" s="35">
        <v>1526</v>
      </c>
      <c r="B223" s="22" t="s">
        <v>1834</v>
      </c>
      <c r="C223" s="22" t="s">
        <v>1834</v>
      </c>
      <c r="D223" s="94" t="s">
        <v>1453</v>
      </c>
      <c r="E223" s="20" t="s">
        <v>2054</v>
      </c>
      <c r="F223" s="20" t="s">
        <v>1845</v>
      </c>
      <c r="G223" s="31" t="s">
        <v>40</v>
      </c>
      <c r="H223" s="32">
        <v>1</v>
      </c>
      <c r="J223" s="32">
        <v>1</v>
      </c>
      <c r="O223" s="20">
        <v>0</v>
      </c>
      <c r="P223" s="20">
        <v>1</v>
      </c>
      <c r="Q223" s="20">
        <v>0</v>
      </c>
      <c r="R223" s="20">
        <v>0</v>
      </c>
      <c r="X223" s="20">
        <v>1</v>
      </c>
      <c r="Z223" s="20" t="s">
        <v>1850</v>
      </c>
      <c r="AA223" s="20" t="s">
        <v>1862</v>
      </c>
      <c r="AB223" s="31">
        <f>VLOOKUP(AA223,Masters!$K$2:$L$183,2,FALSE)</f>
        <v>1004</v>
      </c>
      <c r="AC223" s="20" t="s">
        <v>2063</v>
      </c>
      <c r="AD223" s="20" t="s">
        <v>2061</v>
      </c>
      <c r="AE223" s="20">
        <v>27</v>
      </c>
      <c r="AF223" s="20">
        <v>10</v>
      </c>
      <c r="AG223" s="20">
        <v>2005</v>
      </c>
      <c r="AH223" s="21">
        <v>38652</v>
      </c>
    </row>
    <row r="224" spans="1:34" x14ac:dyDescent="0.25">
      <c r="A224" s="35">
        <v>1533</v>
      </c>
      <c r="B224" s="22" t="s">
        <v>1834</v>
      </c>
      <c r="C224" s="22" t="s">
        <v>1834</v>
      </c>
      <c r="D224" s="94" t="s">
        <v>1460</v>
      </c>
      <c r="E224" s="20" t="s">
        <v>2058</v>
      </c>
      <c r="F224" s="20" t="s">
        <v>1847</v>
      </c>
      <c r="G224" s="31" t="s">
        <v>40</v>
      </c>
      <c r="H224" s="32">
        <v>1</v>
      </c>
      <c r="J224" s="32">
        <v>1</v>
      </c>
      <c r="O224" s="20">
        <v>0</v>
      </c>
      <c r="P224" s="20">
        <v>1</v>
      </c>
      <c r="Q224" s="20">
        <v>0</v>
      </c>
      <c r="R224" s="20">
        <v>0</v>
      </c>
      <c r="X224" s="20">
        <v>1</v>
      </c>
      <c r="Z224" s="20" t="s">
        <v>1857</v>
      </c>
      <c r="AA224" s="20" t="s">
        <v>1861</v>
      </c>
      <c r="AB224" s="31">
        <f>VLOOKUP(AA224,Masters!$K$2:$L$183,2,FALSE)</f>
        <v>1003</v>
      </c>
      <c r="AC224" s="20" t="s">
        <v>2064</v>
      </c>
      <c r="AD224" s="20" t="s">
        <v>2061</v>
      </c>
      <c r="AE224" s="20">
        <v>21</v>
      </c>
      <c r="AF224" s="20">
        <v>2</v>
      </c>
      <c r="AG224" s="20">
        <v>2001</v>
      </c>
      <c r="AH224" s="21">
        <v>36943</v>
      </c>
    </row>
    <row r="225" spans="1:34" x14ac:dyDescent="0.25">
      <c r="A225" s="35">
        <v>1549</v>
      </c>
      <c r="B225" s="22" t="s">
        <v>1834</v>
      </c>
      <c r="C225" s="22" t="s">
        <v>1834</v>
      </c>
      <c r="D225" s="94" t="s">
        <v>1476</v>
      </c>
      <c r="E225" s="20" t="s">
        <v>2050</v>
      </c>
      <c r="F225" s="20" t="s">
        <v>1846</v>
      </c>
      <c r="G225" s="31" t="s">
        <v>40</v>
      </c>
      <c r="H225" s="32">
        <v>1</v>
      </c>
      <c r="J225" s="32">
        <v>1</v>
      </c>
      <c r="O225" s="20">
        <v>0</v>
      </c>
      <c r="P225" s="20">
        <v>1</v>
      </c>
      <c r="Q225" s="20">
        <v>0</v>
      </c>
      <c r="R225" s="20">
        <v>0</v>
      </c>
      <c r="X225" s="20">
        <v>1</v>
      </c>
      <c r="Z225" s="20" t="s">
        <v>1848</v>
      </c>
      <c r="AA225" s="20" t="s">
        <v>1860</v>
      </c>
      <c r="AB225" s="31">
        <f>VLOOKUP(AA225,Masters!$K$2:$L$183,2,FALSE)</f>
        <v>1002</v>
      </c>
      <c r="AC225" s="20" t="s">
        <v>2063</v>
      </c>
      <c r="AD225" s="20" t="s">
        <v>2060</v>
      </c>
      <c r="AE225" s="20">
        <v>26</v>
      </c>
      <c r="AF225" s="20">
        <v>6</v>
      </c>
      <c r="AG225" s="20">
        <v>2003</v>
      </c>
      <c r="AH225" s="21">
        <v>37798</v>
      </c>
    </row>
    <row r="226" spans="1:34" x14ac:dyDescent="0.25">
      <c r="A226" s="35">
        <v>1562</v>
      </c>
      <c r="B226" s="22" t="s">
        <v>1834</v>
      </c>
      <c r="C226" s="22" t="s">
        <v>1834</v>
      </c>
      <c r="D226" s="94" t="s">
        <v>1489</v>
      </c>
      <c r="E226" s="20" t="s">
        <v>135</v>
      </c>
      <c r="F226" s="20" t="s">
        <v>1845</v>
      </c>
      <c r="G226" s="31" t="s">
        <v>40</v>
      </c>
      <c r="H226" s="32">
        <v>1</v>
      </c>
      <c r="J226" s="32">
        <v>1</v>
      </c>
      <c r="O226" s="20">
        <v>0</v>
      </c>
      <c r="P226" s="20">
        <v>1</v>
      </c>
      <c r="Q226" s="20">
        <v>0</v>
      </c>
      <c r="R226" s="20">
        <v>0</v>
      </c>
      <c r="X226" s="20">
        <v>1</v>
      </c>
      <c r="Z226" s="20" t="s">
        <v>1855</v>
      </c>
      <c r="AA226" s="20" t="s">
        <v>1862</v>
      </c>
      <c r="AB226" s="31">
        <f>VLOOKUP(AA226,Masters!$K$2:$L$183,2,FALSE)</f>
        <v>1004</v>
      </c>
      <c r="AC226" s="20" t="s">
        <v>2063</v>
      </c>
      <c r="AD226" s="20" t="s">
        <v>2060</v>
      </c>
      <c r="AE226" s="20">
        <v>6</v>
      </c>
      <c r="AF226" s="20">
        <v>11</v>
      </c>
      <c r="AG226" s="20">
        <v>2002</v>
      </c>
      <c r="AH226" s="21">
        <v>37566</v>
      </c>
    </row>
    <row r="227" spans="1:34" x14ac:dyDescent="0.25">
      <c r="A227" s="35">
        <v>1565</v>
      </c>
      <c r="B227" s="22" t="s">
        <v>1834</v>
      </c>
      <c r="C227" s="22" t="s">
        <v>1834</v>
      </c>
      <c r="D227" s="94" t="s">
        <v>1492</v>
      </c>
      <c r="E227" s="20" t="s">
        <v>2058</v>
      </c>
      <c r="F227" s="20" t="s">
        <v>1844</v>
      </c>
      <c r="G227" s="31" t="s">
        <v>40</v>
      </c>
      <c r="H227" s="32">
        <v>1</v>
      </c>
      <c r="J227" s="32">
        <v>1</v>
      </c>
      <c r="O227" s="20">
        <v>0</v>
      </c>
      <c r="P227" s="20">
        <v>1</v>
      </c>
      <c r="Q227" s="20">
        <v>0</v>
      </c>
      <c r="R227" s="20">
        <v>0</v>
      </c>
      <c r="X227" s="20">
        <v>1</v>
      </c>
      <c r="Z227" s="20" t="s">
        <v>1857</v>
      </c>
      <c r="AA227" s="20" t="s">
        <v>1860</v>
      </c>
      <c r="AB227" s="31">
        <f>VLOOKUP(AA227,Masters!$K$2:$L$183,2,FALSE)</f>
        <v>1002</v>
      </c>
      <c r="AC227" s="20" t="s">
        <v>2063</v>
      </c>
      <c r="AD227" s="20" t="s">
        <v>2060</v>
      </c>
      <c r="AE227" s="20">
        <v>27</v>
      </c>
      <c r="AF227" s="20">
        <v>11</v>
      </c>
      <c r="AG227" s="20">
        <v>2002</v>
      </c>
      <c r="AH227" s="21">
        <v>37587</v>
      </c>
    </row>
    <row r="228" spans="1:34" x14ac:dyDescent="0.25">
      <c r="A228" s="35">
        <v>1574</v>
      </c>
      <c r="B228" s="22" t="s">
        <v>1834</v>
      </c>
      <c r="C228" s="22" t="s">
        <v>1834</v>
      </c>
      <c r="D228" s="94" t="s">
        <v>1501</v>
      </c>
      <c r="E228" s="20" t="s">
        <v>2054</v>
      </c>
      <c r="F228" s="20" t="s">
        <v>1845</v>
      </c>
      <c r="G228" s="31" t="s">
        <v>40</v>
      </c>
      <c r="H228" s="32">
        <v>1</v>
      </c>
      <c r="J228" s="32">
        <v>1</v>
      </c>
      <c r="O228" s="20">
        <v>0</v>
      </c>
      <c r="P228" s="20">
        <v>1</v>
      </c>
      <c r="Q228" s="20">
        <v>0</v>
      </c>
      <c r="R228" s="20">
        <v>0</v>
      </c>
      <c r="X228" s="20">
        <v>1</v>
      </c>
      <c r="Z228" s="20" t="s">
        <v>201</v>
      </c>
      <c r="AA228" s="20" t="s">
        <v>1862</v>
      </c>
      <c r="AB228" s="31">
        <f>VLOOKUP(AA228,Masters!$K$2:$L$183,2,FALSE)</f>
        <v>1004</v>
      </c>
      <c r="AC228" s="20" t="s">
        <v>2063</v>
      </c>
      <c r="AD228" s="20" t="s">
        <v>2060</v>
      </c>
      <c r="AE228" s="20">
        <v>23</v>
      </c>
      <c r="AF228" s="20">
        <v>4</v>
      </c>
      <c r="AG228" s="20">
        <v>2004</v>
      </c>
      <c r="AH228" s="21">
        <v>38100</v>
      </c>
    </row>
    <row r="229" spans="1:34" x14ac:dyDescent="0.25">
      <c r="A229" s="35">
        <v>1617</v>
      </c>
      <c r="B229" s="22" t="s">
        <v>1834</v>
      </c>
      <c r="C229" s="22" t="s">
        <v>1834</v>
      </c>
      <c r="D229" s="94" t="s">
        <v>1544</v>
      </c>
      <c r="E229" s="20" t="s">
        <v>2054</v>
      </c>
      <c r="F229" s="20" t="s">
        <v>1845</v>
      </c>
      <c r="G229" s="31" t="s">
        <v>40</v>
      </c>
      <c r="H229" s="32">
        <v>1</v>
      </c>
      <c r="J229" s="32">
        <v>1</v>
      </c>
      <c r="O229" s="20">
        <v>0</v>
      </c>
      <c r="P229" s="20">
        <v>1</v>
      </c>
      <c r="Q229" s="20">
        <v>0</v>
      </c>
      <c r="R229" s="20">
        <v>0</v>
      </c>
      <c r="X229" s="20">
        <v>1</v>
      </c>
      <c r="Z229" s="20" t="s">
        <v>753</v>
      </c>
      <c r="AA229" s="20" t="s">
        <v>1860</v>
      </c>
      <c r="AB229" s="31">
        <f>VLOOKUP(AA229,Masters!$K$2:$L$183,2,FALSE)</f>
        <v>1002</v>
      </c>
      <c r="AC229" s="20" t="s">
        <v>2063</v>
      </c>
      <c r="AD229" s="20" t="s">
        <v>2060</v>
      </c>
      <c r="AE229" s="20">
        <v>29</v>
      </c>
      <c r="AF229" s="20">
        <v>7</v>
      </c>
      <c r="AG229" s="20">
        <v>2002</v>
      </c>
      <c r="AH229" s="21">
        <v>37466</v>
      </c>
    </row>
    <row r="230" spans="1:34" x14ac:dyDescent="0.25">
      <c r="A230" s="35">
        <v>1620</v>
      </c>
      <c r="B230" s="22" t="s">
        <v>1834</v>
      </c>
      <c r="C230" s="22" t="s">
        <v>1834</v>
      </c>
      <c r="D230" s="94" t="s">
        <v>1547</v>
      </c>
      <c r="E230" s="20" t="s">
        <v>126</v>
      </c>
      <c r="F230" s="20" t="s">
        <v>1846</v>
      </c>
      <c r="G230" s="31" t="s">
        <v>40</v>
      </c>
      <c r="H230" s="32">
        <v>1</v>
      </c>
      <c r="J230" s="32">
        <v>1</v>
      </c>
      <c r="O230" s="20">
        <v>0</v>
      </c>
      <c r="P230" s="20">
        <v>1</v>
      </c>
      <c r="Q230" s="20">
        <v>0</v>
      </c>
      <c r="R230" s="20">
        <v>0</v>
      </c>
      <c r="X230" s="20">
        <v>1</v>
      </c>
      <c r="Z230" s="20" t="s">
        <v>1851</v>
      </c>
      <c r="AA230" s="20" t="s">
        <v>1862</v>
      </c>
      <c r="AB230" s="31">
        <f>VLOOKUP(AA230,Masters!$K$2:$L$183,2,FALSE)</f>
        <v>1004</v>
      </c>
      <c r="AC230" s="20" t="s">
        <v>2063</v>
      </c>
      <c r="AD230" s="20" t="s">
        <v>2061</v>
      </c>
      <c r="AE230" s="20">
        <v>2</v>
      </c>
      <c r="AF230" s="20">
        <v>8</v>
      </c>
      <c r="AG230" s="20">
        <v>2000</v>
      </c>
      <c r="AH230" s="21">
        <v>36740</v>
      </c>
    </row>
    <row r="231" spans="1:34" x14ac:dyDescent="0.25">
      <c r="A231" s="35">
        <v>1714</v>
      </c>
      <c r="B231" s="22" t="s">
        <v>1834</v>
      </c>
      <c r="C231" s="22" t="s">
        <v>1834</v>
      </c>
      <c r="D231" s="94" t="s">
        <v>1641</v>
      </c>
      <c r="E231" s="20" t="s">
        <v>2052</v>
      </c>
      <c r="F231" s="20" t="s">
        <v>1844</v>
      </c>
      <c r="G231" s="31" t="s">
        <v>40</v>
      </c>
      <c r="H231" s="32">
        <v>1</v>
      </c>
      <c r="J231" s="32">
        <v>1</v>
      </c>
      <c r="O231" s="20">
        <v>0</v>
      </c>
      <c r="P231" s="20">
        <v>1</v>
      </c>
      <c r="Q231" s="20">
        <v>0</v>
      </c>
      <c r="R231" s="20">
        <v>0</v>
      </c>
      <c r="X231" s="20">
        <v>1</v>
      </c>
      <c r="Z231" s="20" t="s">
        <v>1851</v>
      </c>
      <c r="AA231" s="20" t="s">
        <v>1859</v>
      </c>
      <c r="AB231" s="31">
        <f>VLOOKUP(AA231,Masters!$K$2:$L$183,2,FALSE)</f>
        <v>1001</v>
      </c>
      <c r="AC231" s="20" t="s">
        <v>2063</v>
      </c>
      <c r="AD231" s="20" t="s">
        <v>2060</v>
      </c>
      <c r="AE231" s="20">
        <v>4</v>
      </c>
      <c r="AF231" s="20">
        <v>10</v>
      </c>
      <c r="AG231" s="20">
        <v>2004</v>
      </c>
      <c r="AH231" s="21">
        <v>38264</v>
      </c>
    </row>
    <row r="232" spans="1:34" x14ac:dyDescent="0.25">
      <c r="A232" s="35">
        <v>1721</v>
      </c>
      <c r="B232" s="22" t="s">
        <v>1834</v>
      </c>
      <c r="C232" s="22" t="s">
        <v>1834</v>
      </c>
      <c r="D232" s="94" t="s">
        <v>1648</v>
      </c>
      <c r="E232" s="20" t="s">
        <v>133</v>
      </c>
      <c r="F232" s="20" t="s">
        <v>1847</v>
      </c>
      <c r="G232" s="31" t="s">
        <v>40</v>
      </c>
      <c r="H232" s="32">
        <v>1</v>
      </c>
      <c r="J232" s="32">
        <v>1</v>
      </c>
      <c r="O232" s="20">
        <v>0</v>
      </c>
      <c r="P232" s="20">
        <v>1</v>
      </c>
      <c r="Q232" s="20">
        <v>0</v>
      </c>
      <c r="R232" s="20">
        <v>0</v>
      </c>
      <c r="X232" s="20">
        <v>1</v>
      </c>
      <c r="Z232" s="20" t="s">
        <v>1849</v>
      </c>
      <c r="AA232" s="20" t="s">
        <v>1860</v>
      </c>
      <c r="AB232" s="31">
        <f>VLOOKUP(AA232,Masters!$K$2:$L$183,2,FALSE)</f>
        <v>1002</v>
      </c>
      <c r="AC232" s="20" t="s">
        <v>2063</v>
      </c>
      <c r="AD232" s="20" t="s">
        <v>2060</v>
      </c>
      <c r="AE232" s="20">
        <v>1</v>
      </c>
      <c r="AF232" s="20">
        <v>5</v>
      </c>
      <c r="AG232" s="20">
        <v>2004</v>
      </c>
      <c r="AH232" s="21">
        <v>38108</v>
      </c>
    </row>
    <row r="233" spans="1:34" x14ac:dyDescent="0.25">
      <c r="A233" s="35">
        <v>1733</v>
      </c>
      <c r="B233" s="22" t="s">
        <v>1834</v>
      </c>
      <c r="C233" s="22" t="s">
        <v>1834</v>
      </c>
      <c r="D233" s="94" t="s">
        <v>1660</v>
      </c>
      <c r="E233" s="20" t="s">
        <v>2057</v>
      </c>
      <c r="F233" s="20" t="s">
        <v>1843</v>
      </c>
      <c r="G233" s="31" t="s">
        <v>40</v>
      </c>
      <c r="H233" s="32">
        <v>1</v>
      </c>
      <c r="J233" s="32">
        <v>1</v>
      </c>
      <c r="O233" s="20">
        <v>0</v>
      </c>
      <c r="P233" s="20">
        <v>1</v>
      </c>
      <c r="Q233" s="20">
        <v>0</v>
      </c>
      <c r="R233" s="20">
        <v>0</v>
      </c>
      <c r="X233" s="20">
        <v>1</v>
      </c>
      <c r="Z233" s="20" t="s">
        <v>753</v>
      </c>
      <c r="AA233" s="20" t="s">
        <v>1863</v>
      </c>
      <c r="AB233" s="31">
        <f>VLOOKUP(AA233,Masters!$K$2:$L$183,2,FALSE)</f>
        <v>1005</v>
      </c>
      <c r="AC233" s="20" t="s">
        <v>2063</v>
      </c>
      <c r="AD233" s="20" t="s">
        <v>2060</v>
      </c>
      <c r="AE233" s="20">
        <v>25</v>
      </c>
      <c r="AF233" s="20">
        <v>9</v>
      </c>
      <c r="AG233" s="20">
        <v>2005</v>
      </c>
      <c r="AH233" s="21">
        <v>38620</v>
      </c>
    </row>
    <row r="234" spans="1:34" x14ac:dyDescent="0.25">
      <c r="A234" s="35">
        <v>1743</v>
      </c>
      <c r="B234" s="22" t="s">
        <v>1834</v>
      </c>
      <c r="C234" s="22" t="s">
        <v>1834</v>
      </c>
      <c r="D234" s="94" t="s">
        <v>1670</v>
      </c>
      <c r="E234" s="20" t="s">
        <v>133</v>
      </c>
      <c r="F234" s="20" t="s">
        <v>1843</v>
      </c>
      <c r="G234" s="31" t="s">
        <v>40</v>
      </c>
      <c r="H234" s="32">
        <v>1</v>
      </c>
      <c r="J234" s="32">
        <v>1</v>
      </c>
      <c r="O234" s="20">
        <v>0</v>
      </c>
      <c r="P234" s="20">
        <v>1</v>
      </c>
      <c r="Q234" s="20">
        <v>0</v>
      </c>
      <c r="R234" s="20">
        <v>0</v>
      </c>
      <c r="X234" s="20">
        <v>1</v>
      </c>
      <c r="Z234" s="20" t="s">
        <v>34</v>
      </c>
      <c r="AA234" s="20" t="s">
        <v>1859</v>
      </c>
      <c r="AB234" s="31">
        <f>VLOOKUP(AA234,Masters!$K$2:$L$183,2,FALSE)</f>
        <v>1001</v>
      </c>
      <c r="AC234" s="20" t="s">
        <v>2063</v>
      </c>
      <c r="AD234" s="20" t="s">
        <v>2061</v>
      </c>
      <c r="AE234" s="20">
        <v>1</v>
      </c>
      <c r="AF234" s="20">
        <v>7</v>
      </c>
      <c r="AG234" s="20">
        <v>2000</v>
      </c>
      <c r="AH234" s="21">
        <v>36708</v>
      </c>
    </row>
    <row r="235" spans="1:34" x14ac:dyDescent="0.25">
      <c r="A235" s="35">
        <v>1775</v>
      </c>
      <c r="B235" s="22" t="s">
        <v>1834</v>
      </c>
      <c r="C235" s="22" t="s">
        <v>1834</v>
      </c>
      <c r="D235" s="94" t="s">
        <v>1702</v>
      </c>
      <c r="E235" s="20" t="s">
        <v>2052</v>
      </c>
      <c r="F235" s="20" t="s">
        <v>1846</v>
      </c>
      <c r="G235" s="31" t="s">
        <v>40</v>
      </c>
      <c r="H235" s="32">
        <v>1</v>
      </c>
      <c r="J235" s="32">
        <v>1</v>
      </c>
      <c r="O235" s="20">
        <v>0</v>
      </c>
      <c r="P235" s="20">
        <v>1</v>
      </c>
      <c r="Q235" s="20">
        <v>0</v>
      </c>
      <c r="R235" s="20">
        <v>0</v>
      </c>
      <c r="X235" s="20">
        <v>1</v>
      </c>
      <c r="Z235" s="20" t="s">
        <v>1849</v>
      </c>
      <c r="AA235" s="20" t="s">
        <v>1863</v>
      </c>
      <c r="AB235" s="31">
        <f>VLOOKUP(AA235,Masters!$K$2:$L$183,2,FALSE)</f>
        <v>1005</v>
      </c>
      <c r="AC235" s="20" t="s">
        <v>2063</v>
      </c>
      <c r="AD235" s="20" t="s">
        <v>2060</v>
      </c>
      <c r="AE235" s="20">
        <v>15</v>
      </c>
      <c r="AF235" s="20">
        <v>7</v>
      </c>
      <c r="AG235" s="20">
        <v>2003</v>
      </c>
      <c r="AH235" s="21">
        <v>37817</v>
      </c>
    </row>
    <row r="236" spans="1:34" x14ac:dyDescent="0.25">
      <c r="A236" s="35">
        <v>1780</v>
      </c>
      <c r="B236" s="22" t="s">
        <v>1834</v>
      </c>
      <c r="C236" s="22" t="s">
        <v>1834</v>
      </c>
      <c r="D236" s="94" t="s">
        <v>1707</v>
      </c>
      <c r="E236" s="20" t="s">
        <v>126</v>
      </c>
      <c r="F236" s="20" t="s">
        <v>1844</v>
      </c>
      <c r="G236" s="31" t="s">
        <v>40</v>
      </c>
      <c r="H236" s="32">
        <v>1</v>
      </c>
      <c r="J236" s="32">
        <v>1</v>
      </c>
      <c r="O236" s="20">
        <v>0</v>
      </c>
      <c r="P236" s="20">
        <v>1</v>
      </c>
      <c r="Q236" s="20">
        <v>0</v>
      </c>
      <c r="R236" s="20">
        <v>0</v>
      </c>
      <c r="X236" s="20">
        <v>1</v>
      </c>
      <c r="Z236" s="20" t="s">
        <v>1858</v>
      </c>
      <c r="AA236" s="20" t="s">
        <v>1859</v>
      </c>
      <c r="AB236" s="31">
        <f>VLOOKUP(AA236,Masters!$K$2:$L$183,2,FALSE)</f>
        <v>1001</v>
      </c>
      <c r="AC236" s="20" t="s">
        <v>2063</v>
      </c>
      <c r="AD236" s="20" t="s">
        <v>2060</v>
      </c>
      <c r="AE236" s="20">
        <v>5</v>
      </c>
      <c r="AF236" s="20">
        <v>1</v>
      </c>
      <c r="AG236" s="20">
        <v>2003</v>
      </c>
      <c r="AH236" s="21">
        <v>37626</v>
      </c>
    </row>
    <row r="237" spans="1:34" x14ac:dyDescent="0.25">
      <c r="A237" s="35">
        <v>1912</v>
      </c>
      <c r="B237" s="22" t="s">
        <v>1834</v>
      </c>
      <c r="C237" s="22" t="s">
        <v>1834</v>
      </c>
      <c r="E237" s="20" t="s">
        <v>2053</v>
      </c>
      <c r="F237" s="20" t="s">
        <v>1844</v>
      </c>
      <c r="G237" s="31" t="s">
        <v>35</v>
      </c>
      <c r="I237" s="208">
        <v>1</v>
      </c>
      <c r="J237" s="208">
        <v>1</v>
      </c>
      <c r="K237" s="208"/>
      <c r="L237" s="209"/>
      <c r="M237" s="208"/>
      <c r="N237" s="208"/>
      <c r="O237" s="210">
        <v>0</v>
      </c>
      <c r="P237" s="210">
        <v>0</v>
      </c>
      <c r="Q237" s="210">
        <v>1</v>
      </c>
      <c r="R237" s="210">
        <v>0</v>
      </c>
      <c r="X237" s="20">
        <v>1</v>
      </c>
      <c r="Z237" s="20" t="s">
        <v>1835</v>
      </c>
      <c r="AA237" s="20" t="s">
        <v>1862</v>
      </c>
      <c r="AB237" s="31">
        <f>VLOOKUP(AA237,Masters!$K$2:$L$183,2,FALSE)</f>
        <v>1004</v>
      </c>
      <c r="AC237" s="20" t="s">
        <v>2063</v>
      </c>
      <c r="AE237" s="20">
        <v>11</v>
      </c>
      <c r="AF237" s="20">
        <v>2</v>
      </c>
      <c r="AG237" s="20">
        <v>2005</v>
      </c>
      <c r="AH237" s="21">
        <v>38394</v>
      </c>
    </row>
    <row r="238" spans="1:34" x14ac:dyDescent="0.25">
      <c r="A238" s="35">
        <v>1913</v>
      </c>
      <c r="B238" s="22" t="s">
        <v>1834</v>
      </c>
      <c r="C238" s="22" t="s">
        <v>1834</v>
      </c>
      <c r="E238" s="20" t="s">
        <v>133</v>
      </c>
      <c r="F238" s="20" t="s">
        <v>1844</v>
      </c>
      <c r="G238" s="31" t="s">
        <v>35</v>
      </c>
      <c r="I238" s="208">
        <v>1</v>
      </c>
      <c r="J238" s="208">
        <v>1</v>
      </c>
      <c r="K238" s="208"/>
      <c r="L238" s="209"/>
      <c r="M238" s="208"/>
      <c r="N238" s="208"/>
      <c r="O238" s="210">
        <v>0</v>
      </c>
      <c r="P238" s="210">
        <v>0</v>
      </c>
      <c r="Q238" s="210">
        <v>1</v>
      </c>
      <c r="R238" s="210">
        <v>0</v>
      </c>
      <c r="X238" s="20">
        <v>1</v>
      </c>
      <c r="Z238" s="20" t="s">
        <v>1850</v>
      </c>
      <c r="AA238" s="20" t="s">
        <v>1860</v>
      </c>
      <c r="AB238" s="31">
        <f>VLOOKUP(AA238,Masters!$K$2:$L$183,2,FALSE)</f>
        <v>1002</v>
      </c>
      <c r="AC238" s="20" t="s">
        <v>2063</v>
      </c>
      <c r="AE238" s="20">
        <v>12</v>
      </c>
      <c r="AF238" s="20">
        <v>6</v>
      </c>
      <c r="AG238" s="20">
        <v>2002</v>
      </c>
      <c r="AH238" s="21">
        <v>37419</v>
      </c>
    </row>
    <row r="239" spans="1:34" x14ac:dyDescent="0.25">
      <c r="A239" s="35">
        <v>1914</v>
      </c>
      <c r="B239" s="22" t="s">
        <v>1834</v>
      </c>
      <c r="C239" s="22" t="s">
        <v>1834</v>
      </c>
      <c r="E239" s="20" t="s">
        <v>2055</v>
      </c>
      <c r="F239" s="20" t="s">
        <v>1847</v>
      </c>
      <c r="G239" s="31" t="s">
        <v>35</v>
      </c>
      <c r="I239" s="208">
        <v>1</v>
      </c>
      <c r="J239" s="208">
        <v>1</v>
      </c>
      <c r="K239" s="208"/>
      <c r="L239" s="209"/>
      <c r="M239" s="208"/>
      <c r="N239" s="208"/>
      <c r="O239" s="210">
        <v>0</v>
      </c>
      <c r="P239" s="210">
        <v>0</v>
      </c>
      <c r="Q239" s="210">
        <v>1</v>
      </c>
      <c r="R239" s="210">
        <v>0</v>
      </c>
      <c r="X239" s="20">
        <v>1</v>
      </c>
      <c r="Z239" s="20" t="s">
        <v>1849</v>
      </c>
      <c r="AA239" s="20" t="s">
        <v>1859</v>
      </c>
      <c r="AB239" s="31">
        <f>VLOOKUP(AA239,Masters!$K$2:$L$183,2,FALSE)</f>
        <v>1001</v>
      </c>
      <c r="AC239" s="20" t="s">
        <v>2063</v>
      </c>
      <c r="AE239" s="20">
        <v>31</v>
      </c>
      <c r="AF239" s="20">
        <v>5</v>
      </c>
      <c r="AG239" s="20">
        <v>2003</v>
      </c>
      <c r="AH239" s="21">
        <v>37772</v>
      </c>
    </row>
    <row r="240" spans="1:34" x14ac:dyDescent="0.25">
      <c r="A240" s="35">
        <v>1915</v>
      </c>
      <c r="B240" s="22" t="s">
        <v>1834</v>
      </c>
      <c r="C240" s="22" t="s">
        <v>1834</v>
      </c>
      <c r="E240" s="20" t="s">
        <v>2050</v>
      </c>
      <c r="F240" s="20" t="s">
        <v>1847</v>
      </c>
      <c r="G240" s="31" t="s">
        <v>35</v>
      </c>
      <c r="I240" s="208">
        <v>1</v>
      </c>
      <c r="J240" s="208">
        <v>1</v>
      </c>
      <c r="K240" s="208"/>
      <c r="L240" s="209"/>
      <c r="M240" s="208"/>
      <c r="N240" s="208"/>
      <c r="O240" s="210">
        <v>0</v>
      </c>
      <c r="P240" s="210">
        <v>0</v>
      </c>
      <c r="Q240" s="210">
        <v>1</v>
      </c>
      <c r="R240" s="210">
        <v>0</v>
      </c>
      <c r="X240" s="20">
        <v>1</v>
      </c>
      <c r="Z240" s="20" t="s">
        <v>1854</v>
      </c>
      <c r="AA240" s="20" t="s">
        <v>1861</v>
      </c>
      <c r="AB240" s="31">
        <f>VLOOKUP(AA240,Masters!$K$2:$L$183,2,FALSE)</f>
        <v>1003</v>
      </c>
      <c r="AC240" s="20" t="s">
        <v>2063</v>
      </c>
      <c r="AE240" s="20">
        <v>13</v>
      </c>
      <c r="AF240" s="20">
        <v>3</v>
      </c>
      <c r="AG240" s="20">
        <v>2003</v>
      </c>
      <c r="AH240" s="21">
        <v>37693</v>
      </c>
    </row>
    <row r="241" spans="1:34" x14ac:dyDescent="0.25">
      <c r="A241" s="35">
        <v>1072</v>
      </c>
      <c r="B241" s="20" t="s">
        <v>1835</v>
      </c>
      <c r="C241" s="20" t="s">
        <v>1835</v>
      </c>
      <c r="D241" s="94" t="s">
        <v>999</v>
      </c>
      <c r="E241" s="20" t="s">
        <v>2054</v>
      </c>
      <c r="F241" s="20" t="s">
        <v>1844</v>
      </c>
      <c r="G241" s="31" t="s">
        <v>40</v>
      </c>
      <c r="H241" s="32">
        <v>1</v>
      </c>
      <c r="J241" s="32">
        <v>1</v>
      </c>
      <c r="O241" s="20">
        <v>0</v>
      </c>
      <c r="P241" s="20">
        <v>1</v>
      </c>
      <c r="Q241" s="20">
        <v>0</v>
      </c>
      <c r="R241" s="20">
        <v>0</v>
      </c>
      <c r="X241" s="20">
        <v>1</v>
      </c>
      <c r="Z241" s="20" t="s">
        <v>1832</v>
      </c>
      <c r="AA241" s="20" t="s">
        <v>1862</v>
      </c>
      <c r="AB241" s="31">
        <f>VLOOKUP(AA241,Masters!$K$2:$L$183,2,FALSE)</f>
        <v>1004</v>
      </c>
      <c r="AC241" s="20" t="s">
        <v>2063</v>
      </c>
      <c r="AD241" s="20" t="s">
        <v>2061</v>
      </c>
      <c r="AE241" s="20">
        <v>11</v>
      </c>
      <c r="AF241" s="20">
        <v>12</v>
      </c>
      <c r="AG241" s="20">
        <v>2005</v>
      </c>
      <c r="AH241" s="21">
        <v>38697</v>
      </c>
    </row>
    <row r="242" spans="1:34" x14ac:dyDescent="0.25">
      <c r="A242" s="35">
        <v>1125</v>
      </c>
      <c r="B242" s="20" t="s">
        <v>1835</v>
      </c>
      <c r="C242" s="20" t="s">
        <v>1835</v>
      </c>
      <c r="D242" s="94" t="s">
        <v>1052</v>
      </c>
      <c r="E242" s="20" t="s">
        <v>2053</v>
      </c>
      <c r="F242" s="20" t="s">
        <v>1843</v>
      </c>
      <c r="G242" s="31" t="s">
        <v>40</v>
      </c>
      <c r="H242" s="32">
        <v>1</v>
      </c>
      <c r="J242" s="32">
        <v>1</v>
      </c>
      <c r="O242" s="20">
        <v>0</v>
      </c>
      <c r="P242" s="20">
        <v>1</v>
      </c>
      <c r="Q242" s="20">
        <v>0</v>
      </c>
      <c r="R242" s="20">
        <v>0</v>
      </c>
      <c r="X242" s="20">
        <v>1</v>
      </c>
      <c r="Z242" s="20" t="s">
        <v>1835</v>
      </c>
      <c r="AA242" s="20" t="s">
        <v>1859</v>
      </c>
      <c r="AB242" s="31">
        <f>VLOOKUP(AA242,Masters!$K$2:$L$183,2,FALSE)</f>
        <v>1001</v>
      </c>
      <c r="AC242" s="20" t="s">
        <v>2063</v>
      </c>
      <c r="AD242" s="20" t="s">
        <v>2060</v>
      </c>
      <c r="AE242" s="20">
        <v>7</v>
      </c>
      <c r="AF242" s="20">
        <v>4</v>
      </c>
      <c r="AG242" s="20">
        <v>2003</v>
      </c>
      <c r="AH242" s="21">
        <v>37718</v>
      </c>
    </row>
    <row r="243" spans="1:34" x14ac:dyDescent="0.25">
      <c r="A243" s="35">
        <v>1130</v>
      </c>
      <c r="B243" s="20" t="s">
        <v>1835</v>
      </c>
      <c r="C243" s="20" t="s">
        <v>1835</v>
      </c>
      <c r="D243" s="94" t="s">
        <v>1057</v>
      </c>
      <c r="E243" s="20" t="s">
        <v>2054</v>
      </c>
      <c r="F243" s="20" t="s">
        <v>1843</v>
      </c>
      <c r="G243" s="31" t="s">
        <v>40</v>
      </c>
      <c r="H243" s="32">
        <v>1</v>
      </c>
      <c r="J243" s="32">
        <v>1</v>
      </c>
      <c r="O243" s="20">
        <v>0</v>
      </c>
      <c r="P243" s="20">
        <v>1</v>
      </c>
      <c r="Q243" s="20">
        <v>0</v>
      </c>
      <c r="R243" s="20">
        <v>0</v>
      </c>
      <c r="X243" s="20">
        <v>1</v>
      </c>
      <c r="Z243" s="20" t="s">
        <v>1856</v>
      </c>
      <c r="AA243" s="20" t="s">
        <v>1860</v>
      </c>
      <c r="AB243" s="31">
        <f>VLOOKUP(AA243,Masters!$K$2:$L$183,2,FALSE)</f>
        <v>1002</v>
      </c>
      <c r="AC243" s="20" t="s">
        <v>2063</v>
      </c>
      <c r="AD243" s="20" t="s">
        <v>2061</v>
      </c>
      <c r="AE243" s="20">
        <v>13</v>
      </c>
      <c r="AF243" s="20">
        <v>1</v>
      </c>
      <c r="AG243" s="20">
        <v>2003</v>
      </c>
      <c r="AH243" s="21">
        <v>37634</v>
      </c>
    </row>
    <row r="244" spans="1:34" x14ac:dyDescent="0.25">
      <c r="A244" s="35">
        <v>1163</v>
      </c>
      <c r="B244" s="20" t="s">
        <v>1835</v>
      </c>
      <c r="C244" s="20" t="s">
        <v>1835</v>
      </c>
      <c r="D244" s="94" t="s">
        <v>1090</v>
      </c>
      <c r="E244" s="20" t="s">
        <v>2056</v>
      </c>
      <c r="F244" s="20" t="s">
        <v>1843</v>
      </c>
      <c r="G244" s="31" t="s">
        <v>40</v>
      </c>
      <c r="H244" s="32">
        <v>1</v>
      </c>
      <c r="J244" s="32">
        <v>1</v>
      </c>
      <c r="O244" s="20">
        <v>0</v>
      </c>
      <c r="P244" s="20">
        <v>1</v>
      </c>
      <c r="Q244" s="20">
        <v>0</v>
      </c>
      <c r="R244" s="20">
        <v>0</v>
      </c>
      <c r="X244" s="20">
        <v>1</v>
      </c>
      <c r="Z244" s="20" t="s">
        <v>201</v>
      </c>
      <c r="AA244" s="20" t="s">
        <v>1859</v>
      </c>
      <c r="AB244" s="31">
        <f>VLOOKUP(AA244,Masters!$K$2:$L$183,2,FALSE)</f>
        <v>1001</v>
      </c>
      <c r="AC244" s="20" t="s">
        <v>2063</v>
      </c>
      <c r="AD244" s="20" t="s">
        <v>2061</v>
      </c>
      <c r="AE244" s="20">
        <v>11</v>
      </c>
      <c r="AF244" s="20">
        <v>7</v>
      </c>
      <c r="AG244" s="20">
        <v>2001</v>
      </c>
      <c r="AH244" s="21">
        <v>37083</v>
      </c>
    </row>
    <row r="245" spans="1:34" x14ac:dyDescent="0.25">
      <c r="A245" s="35">
        <v>1233</v>
      </c>
      <c r="B245" s="20" t="s">
        <v>1835</v>
      </c>
      <c r="C245" s="20" t="s">
        <v>1835</v>
      </c>
      <c r="D245" s="94" t="s">
        <v>1160</v>
      </c>
      <c r="E245" s="20" t="s">
        <v>126</v>
      </c>
      <c r="F245" s="20" t="s">
        <v>1843</v>
      </c>
      <c r="G245" s="31" t="s">
        <v>40</v>
      </c>
      <c r="H245" s="32">
        <v>1</v>
      </c>
      <c r="J245" s="32">
        <v>1</v>
      </c>
      <c r="O245" s="20">
        <v>0</v>
      </c>
      <c r="P245" s="20">
        <v>1</v>
      </c>
      <c r="Q245" s="20">
        <v>0</v>
      </c>
      <c r="R245" s="20">
        <v>0</v>
      </c>
      <c r="X245" s="20">
        <v>1</v>
      </c>
      <c r="Z245" s="20" t="s">
        <v>1854</v>
      </c>
      <c r="AA245" s="20" t="s">
        <v>1862</v>
      </c>
      <c r="AB245" s="31">
        <f>VLOOKUP(AA245,Masters!$K$2:$L$183,2,FALSE)</f>
        <v>1004</v>
      </c>
      <c r="AC245" s="20" t="s">
        <v>2063</v>
      </c>
      <c r="AD245" s="20" t="s">
        <v>2061</v>
      </c>
      <c r="AE245" s="20">
        <v>14</v>
      </c>
      <c r="AF245" s="20">
        <v>8</v>
      </c>
      <c r="AG245" s="20">
        <v>2003</v>
      </c>
      <c r="AH245" s="21">
        <v>37847</v>
      </c>
    </row>
    <row r="246" spans="1:34" x14ac:dyDescent="0.25">
      <c r="A246" s="35">
        <v>1295</v>
      </c>
      <c r="B246" s="20" t="s">
        <v>1835</v>
      </c>
      <c r="C246" s="20" t="s">
        <v>1835</v>
      </c>
      <c r="D246" s="94" t="s">
        <v>1222</v>
      </c>
      <c r="E246" s="20" t="s">
        <v>2054</v>
      </c>
      <c r="F246" s="20" t="s">
        <v>1845</v>
      </c>
      <c r="G246" s="31" t="s">
        <v>40</v>
      </c>
      <c r="H246" s="32">
        <v>1</v>
      </c>
      <c r="J246" s="32">
        <v>1</v>
      </c>
      <c r="O246" s="20">
        <v>0</v>
      </c>
      <c r="P246" s="20">
        <v>1</v>
      </c>
      <c r="Q246" s="20">
        <v>0</v>
      </c>
      <c r="R246" s="20">
        <v>0</v>
      </c>
      <c r="X246" s="20">
        <v>1</v>
      </c>
      <c r="Z246" s="20" t="s">
        <v>1858</v>
      </c>
      <c r="AA246" s="20" t="s">
        <v>1860</v>
      </c>
      <c r="AB246" s="31">
        <f>VLOOKUP(AA246,Masters!$K$2:$L$183,2,FALSE)</f>
        <v>1002</v>
      </c>
      <c r="AC246" s="20" t="s">
        <v>2063</v>
      </c>
      <c r="AD246" s="20" t="s">
        <v>2061</v>
      </c>
      <c r="AE246" s="20">
        <v>8</v>
      </c>
      <c r="AF246" s="20">
        <v>7</v>
      </c>
      <c r="AG246" s="20">
        <v>2002</v>
      </c>
      <c r="AH246" s="21">
        <v>37445</v>
      </c>
    </row>
    <row r="247" spans="1:34" x14ac:dyDescent="0.25">
      <c r="A247" s="35">
        <v>1383</v>
      </c>
      <c r="B247" s="20" t="s">
        <v>1835</v>
      </c>
      <c r="C247" s="20" t="s">
        <v>1835</v>
      </c>
      <c r="D247" s="94" t="s">
        <v>1310</v>
      </c>
      <c r="E247" s="20" t="s">
        <v>135</v>
      </c>
      <c r="F247" s="20" t="s">
        <v>1846</v>
      </c>
      <c r="G247" s="31" t="s">
        <v>40</v>
      </c>
      <c r="H247" s="32">
        <v>1</v>
      </c>
      <c r="J247" s="32">
        <v>1</v>
      </c>
      <c r="O247" s="20">
        <v>0</v>
      </c>
      <c r="P247" s="20">
        <v>1</v>
      </c>
      <c r="Q247" s="20">
        <v>0</v>
      </c>
      <c r="R247" s="20">
        <v>0</v>
      </c>
      <c r="X247" s="20">
        <v>1</v>
      </c>
      <c r="Z247" s="20" t="s">
        <v>34</v>
      </c>
      <c r="AA247" s="20" t="s">
        <v>1863</v>
      </c>
      <c r="AB247" s="31">
        <f>VLOOKUP(AA247,Masters!$K$2:$L$183,2,FALSE)</f>
        <v>1005</v>
      </c>
      <c r="AC247" s="20" t="s">
        <v>2064</v>
      </c>
      <c r="AD247" s="20" t="s">
        <v>2061</v>
      </c>
      <c r="AE247" s="20">
        <v>17</v>
      </c>
      <c r="AF247" s="20">
        <v>1</v>
      </c>
      <c r="AG247" s="20">
        <v>2000</v>
      </c>
      <c r="AH247" s="21">
        <v>36542</v>
      </c>
    </row>
    <row r="248" spans="1:34" x14ac:dyDescent="0.25">
      <c r="A248" s="35">
        <v>1445</v>
      </c>
      <c r="B248" s="20" t="s">
        <v>1835</v>
      </c>
      <c r="C248" s="20" t="s">
        <v>1835</v>
      </c>
      <c r="D248" s="94" t="s">
        <v>1372</v>
      </c>
      <c r="E248" s="20" t="s">
        <v>2050</v>
      </c>
      <c r="F248" s="20" t="s">
        <v>1847</v>
      </c>
      <c r="G248" s="31" t="s">
        <v>40</v>
      </c>
      <c r="H248" s="32">
        <v>1</v>
      </c>
      <c r="J248" s="32">
        <v>1</v>
      </c>
      <c r="O248" s="20">
        <v>0</v>
      </c>
      <c r="P248" s="20">
        <v>1</v>
      </c>
      <c r="Q248" s="20">
        <v>0</v>
      </c>
      <c r="R248" s="20">
        <v>0</v>
      </c>
      <c r="X248" s="20">
        <v>1</v>
      </c>
      <c r="Z248" s="20" t="s">
        <v>1855</v>
      </c>
      <c r="AA248" s="20" t="s">
        <v>1861</v>
      </c>
      <c r="AB248" s="31">
        <f>VLOOKUP(AA248,Masters!$K$2:$L$183,2,FALSE)</f>
        <v>1003</v>
      </c>
      <c r="AC248" s="20" t="s">
        <v>2064</v>
      </c>
      <c r="AD248" s="20" t="s">
        <v>2061</v>
      </c>
      <c r="AE248" s="20">
        <v>11</v>
      </c>
      <c r="AF248" s="20">
        <v>9</v>
      </c>
      <c r="AG248" s="20">
        <v>2002</v>
      </c>
      <c r="AH248" s="21">
        <v>37510</v>
      </c>
    </row>
    <row r="249" spans="1:34" x14ac:dyDescent="0.25">
      <c r="A249" s="35">
        <v>1448</v>
      </c>
      <c r="B249" s="20" t="s">
        <v>1835</v>
      </c>
      <c r="C249" s="20" t="s">
        <v>1835</v>
      </c>
      <c r="D249" s="94" t="s">
        <v>1375</v>
      </c>
      <c r="E249" s="20" t="s">
        <v>2055</v>
      </c>
      <c r="F249" s="20" t="s">
        <v>1844</v>
      </c>
      <c r="G249" s="31" t="s">
        <v>40</v>
      </c>
      <c r="H249" s="32">
        <v>1</v>
      </c>
      <c r="J249" s="32">
        <v>1</v>
      </c>
      <c r="O249" s="20">
        <v>0</v>
      </c>
      <c r="P249" s="20">
        <v>1</v>
      </c>
      <c r="Q249" s="20">
        <v>0</v>
      </c>
      <c r="R249" s="20">
        <v>0</v>
      </c>
      <c r="X249" s="20">
        <v>1</v>
      </c>
      <c r="Z249" s="20" t="s">
        <v>78</v>
      </c>
      <c r="AA249" s="20" t="s">
        <v>1862</v>
      </c>
      <c r="AB249" s="31">
        <f>VLOOKUP(AA249,Masters!$K$2:$L$183,2,FALSE)</f>
        <v>1004</v>
      </c>
      <c r="AC249" s="20" t="s">
        <v>2063</v>
      </c>
      <c r="AD249" s="20" t="s">
        <v>2061</v>
      </c>
      <c r="AE249" s="20">
        <v>24</v>
      </c>
      <c r="AF249" s="20">
        <v>10</v>
      </c>
      <c r="AG249" s="20">
        <v>2000</v>
      </c>
      <c r="AH249" s="21">
        <v>36823</v>
      </c>
    </row>
    <row r="250" spans="1:34" x14ac:dyDescent="0.25">
      <c r="A250" s="35">
        <v>1476</v>
      </c>
      <c r="B250" s="20" t="s">
        <v>1835</v>
      </c>
      <c r="C250" s="20" t="s">
        <v>1835</v>
      </c>
      <c r="D250" s="94" t="s">
        <v>1403</v>
      </c>
      <c r="E250" s="20" t="s">
        <v>135</v>
      </c>
      <c r="F250" s="20" t="s">
        <v>1843</v>
      </c>
      <c r="G250" s="31" t="s">
        <v>40</v>
      </c>
      <c r="H250" s="32">
        <v>1</v>
      </c>
      <c r="J250" s="32">
        <v>1</v>
      </c>
      <c r="O250" s="20">
        <v>0</v>
      </c>
      <c r="P250" s="20">
        <v>1</v>
      </c>
      <c r="Q250" s="20">
        <v>0</v>
      </c>
      <c r="R250" s="20">
        <v>0</v>
      </c>
      <c r="X250" s="20">
        <v>1</v>
      </c>
      <c r="Z250" s="20" t="s">
        <v>1858</v>
      </c>
      <c r="AA250" s="20" t="s">
        <v>1860</v>
      </c>
      <c r="AB250" s="31">
        <f>VLOOKUP(AA250,Masters!$K$2:$L$183,2,FALSE)</f>
        <v>1002</v>
      </c>
      <c r="AC250" s="20" t="s">
        <v>2063</v>
      </c>
      <c r="AD250" s="20" t="s">
        <v>2061</v>
      </c>
      <c r="AE250" s="20">
        <v>11</v>
      </c>
      <c r="AF250" s="20">
        <v>4</v>
      </c>
      <c r="AG250" s="20">
        <v>2005</v>
      </c>
      <c r="AH250" s="21">
        <v>38453</v>
      </c>
    </row>
    <row r="251" spans="1:34" x14ac:dyDescent="0.25">
      <c r="A251" s="35">
        <v>1492</v>
      </c>
      <c r="B251" s="20" t="s">
        <v>1835</v>
      </c>
      <c r="C251" s="20" t="s">
        <v>1835</v>
      </c>
      <c r="D251" s="94" t="s">
        <v>1419</v>
      </c>
      <c r="E251" s="20" t="s">
        <v>133</v>
      </c>
      <c r="F251" s="20" t="s">
        <v>1846</v>
      </c>
      <c r="G251" s="31" t="s">
        <v>40</v>
      </c>
      <c r="H251" s="32">
        <v>1</v>
      </c>
      <c r="J251" s="32">
        <v>1</v>
      </c>
      <c r="O251" s="20">
        <v>0</v>
      </c>
      <c r="P251" s="20">
        <v>1</v>
      </c>
      <c r="Q251" s="20">
        <v>0</v>
      </c>
      <c r="R251" s="20">
        <v>0</v>
      </c>
      <c r="X251" s="20">
        <v>1</v>
      </c>
      <c r="Z251" s="20" t="s">
        <v>1849</v>
      </c>
      <c r="AA251" s="20" t="s">
        <v>1861</v>
      </c>
      <c r="AB251" s="31">
        <f>VLOOKUP(AA251,Masters!$K$2:$L$183,2,FALSE)</f>
        <v>1003</v>
      </c>
      <c r="AC251" s="20" t="s">
        <v>2064</v>
      </c>
      <c r="AD251" s="20" t="s">
        <v>2061</v>
      </c>
      <c r="AE251" s="20">
        <v>15</v>
      </c>
      <c r="AF251" s="20">
        <v>9</v>
      </c>
      <c r="AG251" s="20">
        <v>2005</v>
      </c>
      <c r="AH251" s="21">
        <v>38610</v>
      </c>
    </row>
    <row r="252" spans="1:34" x14ac:dyDescent="0.25">
      <c r="A252" s="35">
        <v>1576</v>
      </c>
      <c r="B252" s="20" t="s">
        <v>1835</v>
      </c>
      <c r="C252" s="20" t="s">
        <v>1835</v>
      </c>
      <c r="D252" s="94" t="s">
        <v>1503</v>
      </c>
      <c r="E252" s="20" t="s">
        <v>2050</v>
      </c>
      <c r="F252" s="20" t="s">
        <v>1846</v>
      </c>
      <c r="G252" s="31" t="s">
        <v>40</v>
      </c>
      <c r="H252" s="32">
        <v>1</v>
      </c>
      <c r="J252" s="32">
        <v>1</v>
      </c>
      <c r="O252" s="20">
        <v>0</v>
      </c>
      <c r="P252" s="20">
        <v>1</v>
      </c>
      <c r="Q252" s="20">
        <v>0</v>
      </c>
      <c r="R252" s="20">
        <v>0</v>
      </c>
      <c r="X252" s="20">
        <v>1</v>
      </c>
      <c r="Z252" s="20" t="s">
        <v>1852</v>
      </c>
      <c r="AA252" s="20" t="s">
        <v>1863</v>
      </c>
      <c r="AB252" s="31">
        <f>VLOOKUP(AA252,Masters!$K$2:$L$183,2,FALSE)</f>
        <v>1005</v>
      </c>
      <c r="AC252" s="20" t="s">
        <v>2063</v>
      </c>
      <c r="AD252" s="20" t="s">
        <v>2060</v>
      </c>
      <c r="AE252" s="20">
        <v>1</v>
      </c>
      <c r="AF252" s="20">
        <v>2</v>
      </c>
      <c r="AG252" s="20">
        <v>2002</v>
      </c>
      <c r="AH252" s="21">
        <v>37288</v>
      </c>
    </row>
    <row r="253" spans="1:34" x14ac:dyDescent="0.25">
      <c r="A253" s="35">
        <v>1630</v>
      </c>
      <c r="B253" s="20" t="s">
        <v>1835</v>
      </c>
      <c r="C253" s="20" t="s">
        <v>1835</v>
      </c>
      <c r="D253" s="94" t="s">
        <v>1557</v>
      </c>
      <c r="E253" s="20" t="s">
        <v>2052</v>
      </c>
      <c r="F253" s="20" t="s">
        <v>1844</v>
      </c>
      <c r="G253" s="31" t="s">
        <v>40</v>
      </c>
      <c r="H253" s="32">
        <v>1</v>
      </c>
      <c r="J253" s="32">
        <v>1</v>
      </c>
      <c r="O253" s="20">
        <v>0</v>
      </c>
      <c r="P253" s="20">
        <v>1</v>
      </c>
      <c r="Q253" s="20">
        <v>0</v>
      </c>
      <c r="R253" s="20">
        <v>0</v>
      </c>
      <c r="X253" s="20">
        <v>1</v>
      </c>
      <c r="Z253" s="20" t="s">
        <v>1835</v>
      </c>
      <c r="AA253" s="20" t="s">
        <v>1861</v>
      </c>
      <c r="AB253" s="31">
        <f>VLOOKUP(AA253,Masters!$K$2:$L$183,2,FALSE)</f>
        <v>1003</v>
      </c>
      <c r="AC253" s="20" t="s">
        <v>2063</v>
      </c>
      <c r="AD253" s="20" t="s">
        <v>2060</v>
      </c>
      <c r="AE253" s="20">
        <v>30</v>
      </c>
      <c r="AF253" s="20">
        <v>9</v>
      </c>
      <c r="AG253" s="20">
        <v>2002</v>
      </c>
      <c r="AH253" s="21">
        <v>37529</v>
      </c>
    </row>
    <row r="254" spans="1:34" x14ac:dyDescent="0.25">
      <c r="A254" s="35">
        <v>1742</v>
      </c>
      <c r="B254" s="20" t="s">
        <v>1835</v>
      </c>
      <c r="C254" s="20" t="s">
        <v>1835</v>
      </c>
      <c r="D254" s="94" t="s">
        <v>1669</v>
      </c>
      <c r="E254" s="20" t="s">
        <v>133</v>
      </c>
      <c r="F254" s="20" t="s">
        <v>1847</v>
      </c>
      <c r="G254" s="31" t="s">
        <v>40</v>
      </c>
      <c r="H254" s="32">
        <v>1</v>
      </c>
      <c r="J254" s="32">
        <v>1</v>
      </c>
      <c r="O254" s="20">
        <v>0</v>
      </c>
      <c r="P254" s="20">
        <v>1</v>
      </c>
      <c r="Q254" s="20">
        <v>0</v>
      </c>
      <c r="R254" s="20">
        <v>0</v>
      </c>
      <c r="X254" s="20">
        <v>1</v>
      </c>
      <c r="Z254" s="20" t="s">
        <v>1850</v>
      </c>
      <c r="AA254" s="20" t="s">
        <v>1861</v>
      </c>
      <c r="AB254" s="31">
        <f>VLOOKUP(AA254,Masters!$K$2:$L$183,2,FALSE)</f>
        <v>1003</v>
      </c>
      <c r="AC254" s="20" t="s">
        <v>2063</v>
      </c>
      <c r="AD254" s="20" t="s">
        <v>2060</v>
      </c>
      <c r="AE254" s="20">
        <v>1</v>
      </c>
      <c r="AF254" s="20">
        <v>4</v>
      </c>
      <c r="AG254" s="20">
        <v>2003</v>
      </c>
      <c r="AH254" s="21">
        <v>37712</v>
      </c>
    </row>
    <row r="255" spans="1:34" x14ac:dyDescent="0.25">
      <c r="A255" s="35">
        <v>1747</v>
      </c>
      <c r="B255" s="20" t="s">
        <v>1835</v>
      </c>
      <c r="C255" s="20" t="s">
        <v>1835</v>
      </c>
      <c r="D255" s="94" t="s">
        <v>1674</v>
      </c>
      <c r="E255" s="20" t="s">
        <v>2059</v>
      </c>
      <c r="F255" s="20" t="s">
        <v>1843</v>
      </c>
      <c r="G255" s="31" t="s">
        <v>40</v>
      </c>
      <c r="H255" s="32">
        <v>1</v>
      </c>
      <c r="J255" s="32">
        <v>1</v>
      </c>
      <c r="O255" s="20">
        <v>0</v>
      </c>
      <c r="P255" s="20">
        <v>1</v>
      </c>
      <c r="Q255" s="20">
        <v>0</v>
      </c>
      <c r="R255" s="20">
        <v>0</v>
      </c>
      <c r="X255" s="20">
        <v>1</v>
      </c>
      <c r="Z255" s="20" t="s">
        <v>78</v>
      </c>
      <c r="AA255" s="20" t="s">
        <v>1863</v>
      </c>
      <c r="AB255" s="31">
        <f>VLOOKUP(AA255,Masters!$K$2:$L$183,2,FALSE)</f>
        <v>1005</v>
      </c>
      <c r="AC255" s="20" t="s">
        <v>2063</v>
      </c>
      <c r="AD255" s="20" t="s">
        <v>2060</v>
      </c>
      <c r="AE255" s="20">
        <v>27</v>
      </c>
      <c r="AF255" s="20">
        <v>2</v>
      </c>
      <c r="AG255" s="20">
        <v>2005</v>
      </c>
      <c r="AH255" s="21">
        <v>38410</v>
      </c>
    </row>
    <row r="256" spans="1:34" x14ac:dyDescent="0.25">
      <c r="A256" s="35">
        <v>1756</v>
      </c>
      <c r="B256" s="20" t="s">
        <v>1835</v>
      </c>
      <c r="C256" s="20" t="s">
        <v>1835</v>
      </c>
      <c r="D256" s="94" t="s">
        <v>1683</v>
      </c>
      <c r="E256" s="20" t="s">
        <v>2055</v>
      </c>
      <c r="F256" s="20" t="s">
        <v>1845</v>
      </c>
      <c r="G256" s="31" t="s">
        <v>40</v>
      </c>
      <c r="H256" s="32">
        <v>1</v>
      </c>
      <c r="J256" s="32">
        <v>1</v>
      </c>
      <c r="O256" s="20">
        <v>0</v>
      </c>
      <c r="P256" s="20">
        <v>1</v>
      </c>
      <c r="Q256" s="20">
        <v>0</v>
      </c>
      <c r="R256" s="20">
        <v>0</v>
      </c>
      <c r="X256" s="20">
        <v>1</v>
      </c>
      <c r="Z256" s="20" t="s">
        <v>1851</v>
      </c>
      <c r="AA256" s="20" t="s">
        <v>1861</v>
      </c>
      <c r="AB256" s="31">
        <f>VLOOKUP(AA256,Masters!$K$2:$L$183,2,FALSE)</f>
        <v>1003</v>
      </c>
      <c r="AC256" s="20" t="s">
        <v>2063</v>
      </c>
      <c r="AD256" s="20" t="s">
        <v>2060</v>
      </c>
      <c r="AE256" s="20">
        <v>15</v>
      </c>
      <c r="AF256" s="20">
        <v>9</v>
      </c>
      <c r="AG256" s="20">
        <v>2001</v>
      </c>
      <c r="AH256" s="21">
        <v>37149</v>
      </c>
    </row>
    <row r="257" spans="1:34" x14ac:dyDescent="0.25">
      <c r="A257" s="35">
        <v>1779</v>
      </c>
      <c r="B257" s="20" t="s">
        <v>1835</v>
      </c>
      <c r="C257" s="20" t="s">
        <v>1835</v>
      </c>
      <c r="D257" s="94" t="s">
        <v>1706</v>
      </c>
      <c r="E257" s="20" t="s">
        <v>2057</v>
      </c>
      <c r="F257" s="20" t="s">
        <v>1844</v>
      </c>
      <c r="G257" s="31" t="s">
        <v>40</v>
      </c>
      <c r="H257" s="32">
        <v>1</v>
      </c>
      <c r="J257" s="32">
        <v>1</v>
      </c>
      <c r="O257" s="20">
        <v>0</v>
      </c>
      <c r="P257" s="20">
        <v>1</v>
      </c>
      <c r="Q257" s="20">
        <v>0</v>
      </c>
      <c r="R257" s="20">
        <v>0</v>
      </c>
      <c r="X257" s="20">
        <v>1</v>
      </c>
      <c r="Z257" s="20" t="s">
        <v>78</v>
      </c>
      <c r="AA257" s="20" t="s">
        <v>1860</v>
      </c>
      <c r="AB257" s="31">
        <f>VLOOKUP(AA257,Masters!$K$2:$L$183,2,FALSE)</f>
        <v>1002</v>
      </c>
      <c r="AC257" s="20" t="s">
        <v>2063</v>
      </c>
      <c r="AD257" s="20" t="s">
        <v>2060</v>
      </c>
      <c r="AE257" s="20">
        <v>16</v>
      </c>
      <c r="AF257" s="20">
        <v>12</v>
      </c>
      <c r="AG257" s="20">
        <v>2001</v>
      </c>
      <c r="AH257" s="21">
        <v>37241</v>
      </c>
    </row>
    <row r="258" spans="1:34" x14ac:dyDescent="0.25">
      <c r="A258" s="35">
        <v>1891</v>
      </c>
      <c r="B258" s="20" t="s">
        <v>1835</v>
      </c>
      <c r="C258" s="20" t="s">
        <v>1835</v>
      </c>
      <c r="D258" s="94" t="s">
        <v>1818</v>
      </c>
      <c r="E258" s="20" t="s">
        <v>126</v>
      </c>
      <c r="F258" s="20" t="s">
        <v>1843</v>
      </c>
      <c r="G258" s="31" t="s">
        <v>40</v>
      </c>
      <c r="H258" s="32">
        <v>1</v>
      </c>
      <c r="J258" s="32">
        <v>1</v>
      </c>
      <c r="O258" s="20">
        <v>0</v>
      </c>
      <c r="P258" s="20">
        <v>1</v>
      </c>
      <c r="Q258" s="20">
        <v>0</v>
      </c>
      <c r="R258" s="20">
        <v>0</v>
      </c>
      <c r="X258" s="20">
        <v>1</v>
      </c>
      <c r="Z258" s="20" t="s">
        <v>1854</v>
      </c>
      <c r="AA258" s="20" t="s">
        <v>1859</v>
      </c>
      <c r="AB258" s="31">
        <f>VLOOKUP(AA258,Masters!$K$2:$L$183,2,FALSE)</f>
        <v>1001</v>
      </c>
      <c r="AC258" s="20" t="s">
        <v>2064</v>
      </c>
      <c r="AD258" s="20" t="s">
        <v>2061</v>
      </c>
      <c r="AE258" s="20">
        <v>3</v>
      </c>
      <c r="AF258" s="20">
        <v>6</v>
      </c>
      <c r="AG258" s="20">
        <v>2000</v>
      </c>
      <c r="AH258" s="21">
        <v>36680</v>
      </c>
    </row>
    <row r="259" spans="1:34" x14ac:dyDescent="0.25">
      <c r="A259" s="35">
        <v>1922</v>
      </c>
      <c r="B259" s="20" t="s">
        <v>1835</v>
      </c>
      <c r="C259" s="20" t="s">
        <v>1835</v>
      </c>
      <c r="E259" s="20" t="s">
        <v>2055</v>
      </c>
      <c r="F259" s="20" t="s">
        <v>1845</v>
      </c>
      <c r="G259" s="31" t="s">
        <v>35</v>
      </c>
      <c r="I259" s="208">
        <v>1</v>
      </c>
      <c r="J259" s="208">
        <v>1</v>
      </c>
      <c r="K259" s="208"/>
      <c r="L259" s="209"/>
      <c r="M259" s="208"/>
      <c r="N259" s="208"/>
      <c r="O259" s="210">
        <v>0</v>
      </c>
      <c r="P259" s="210">
        <v>0</v>
      </c>
      <c r="Q259" s="210">
        <v>1</v>
      </c>
      <c r="R259" s="210">
        <v>0</v>
      </c>
      <c r="X259" s="20">
        <v>1</v>
      </c>
      <c r="Z259" s="20" t="s">
        <v>78</v>
      </c>
      <c r="AA259" s="20" t="s">
        <v>1860</v>
      </c>
      <c r="AB259" s="31">
        <f>VLOOKUP(AA259,Masters!$K$2:$L$183,2,FALSE)</f>
        <v>1002</v>
      </c>
      <c r="AC259" s="20" t="s">
        <v>2063</v>
      </c>
      <c r="AE259" s="20">
        <v>9</v>
      </c>
      <c r="AF259" s="20">
        <v>2</v>
      </c>
      <c r="AG259" s="20">
        <v>2002</v>
      </c>
      <c r="AH259" s="21">
        <v>37296</v>
      </c>
    </row>
    <row r="260" spans="1:34" x14ac:dyDescent="0.25">
      <c r="A260" s="35">
        <v>1956</v>
      </c>
      <c r="B260" s="20" t="s">
        <v>1835</v>
      </c>
      <c r="C260" s="20" t="s">
        <v>1835</v>
      </c>
      <c r="E260" s="20" t="s">
        <v>133</v>
      </c>
      <c r="F260" s="20" t="s">
        <v>1847</v>
      </c>
      <c r="G260" s="31" t="s">
        <v>35</v>
      </c>
      <c r="I260" s="208">
        <v>1</v>
      </c>
      <c r="J260" s="208">
        <v>1</v>
      </c>
      <c r="K260" s="208"/>
      <c r="L260" s="209"/>
      <c r="M260" s="208"/>
      <c r="N260" s="208"/>
      <c r="O260" s="210">
        <v>0</v>
      </c>
      <c r="P260" s="210">
        <v>0</v>
      </c>
      <c r="Q260" s="210">
        <v>1</v>
      </c>
      <c r="R260" s="210">
        <v>0</v>
      </c>
      <c r="X260" s="20">
        <v>1</v>
      </c>
      <c r="Z260" s="20" t="s">
        <v>1848</v>
      </c>
      <c r="AA260" s="20" t="s">
        <v>1860</v>
      </c>
      <c r="AB260" s="31">
        <f>VLOOKUP(AA260,Masters!$K$2:$L$183,2,FALSE)</f>
        <v>1002</v>
      </c>
      <c r="AC260" s="20" t="s">
        <v>2063</v>
      </c>
      <c r="AE260" s="20">
        <v>13</v>
      </c>
      <c r="AF260" s="20">
        <v>6</v>
      </c>
      <c r="AG260" s="20">
        <v>2005</v>
      </c>
      <c r="AH260" s="21">
        <v>38516</v>
      </c>
    </row>
    <row r="261" spans="1:34" x14ac:dyDescent="0.25">
      <c r="A261" s="35">
        <v>1070</v>
      </c>
      <c r="B261" s="20" t="s">
        <v>58</v>
      </c>
      <c r="C261" s="20" t="s">
        <v>58</v>
      </c>
      <c r="D261" s="94" t="s">
        <v>997</v>
      </c>
      <c r="E261" s="20" t="s">
        <v>2057</v>
      </c>
      <c r="F261" s="20" t="s">
        <v>1843</v>
      </c>
      <c r="G261" s="31" t="s">
        <v>40</v>
      </c>
      <c r="H261" s="32">
        <v>1</v>
      </c>
      <c r="J261" s="32">
        <v>1</v>
      </c>
      <c r="O261" s="20">
        <v>0</v>
      </c>
      <c r="P261" s="20">
        <v>1</v>
      </c>
      <c r="Q261" s="20">
        <v>0</v>
      </c>
      <c r="R261" s="20">
        <v>0</v>
      </c>
      <c r="X261" s="20">
        <v>1</v>
      </c>
      <c r="Z261" s="20" t="s">
        <v>58</v>
      </c>
      <c r="AA261" s="20" t="s">
        <v>1861</v>
      </c>
      <c r="AB261" s="31">
        <f>VLOOKUP(AA261,Masters!$K$2:$L$183,2,FALSE)</f>
        <v>1003</v>
      </c>
      <c r="AC261" s="20" t="s">
        <v>2063</v>
      </c>
      <c r="AD261" s="20" t="s">
        <v>2061</v>
      </c>
      <c r="AE261" s="20">
        <v>2</v>
      </c>
      <c r="AF261" s="20">
        <v>9</v>
      </c>
      <c r="AG261" s="20">
        <v>2000</v>
      </c>
      <c r="AH261" s="21">
        <v>36771</v>
      </c>
    </row>
    <row r="262" spans="1:34" x14ac:dyDescent="0.25">
      <c r="A262" s="35">
        <v>1196</v>
      </c>
      <c r="B262" s="20" t="s">
        <v>58</v>
      </c>
      <c r="C262" s="20" t="s">
        <v>58</v>
      </c>
      <c r="D262" s="94" t="s">
        <v>1123</v>
      </c>
      <c r="E262" s="20" t="s">
        <v>2053</v>
      </c>
      <c r="F262" s="20" t="s">
        <v>1847</v>
      </c>
      <c r="G262" s="31" t="s">
        <v>40</v>
      </c>
      <c r="H262" s="32">
        <v>1</v>
      </c>
      <c r="J262" s="32">
        <v>1</v>
      </c>
      <c r="O262" s="20">
        <v>0</v>
      </c>
      <c r="P262" s="20">
        <v>1</v>
      </c>
      <c r="Q262" s="20">
        <v>0</v>
      </c>
      <c r="R262" s="20">
        <v>0</v>
      </c>
      <c r="X262" s="20">
        <v>1</v>
      </c>
      <c r="Z262" s="20" t="s">
        <v>78</v>
      </c>
      <c r="AA262" s="20" t="s">
        <v>1861</v>
      </c>
      <c r="AB262" s="31">
        <f>VLOOKUP(AA262,Masters!$K$2:$L$183,2,FALSE)</f>
        <v>1003</v>
      </c>
      <c r="AC262" s="20" t="s">
        <v>2063</v>
      </c>
      <c r="AD262" s="20" t="s">
        <v>2061</v>
      </c>
      <c r="AE262" s="20">
        <v>4</v>
      </c>
      <c r="AF262" s="20">
        <v>6</v>
      </c>
      <c r="AG262" s="20">
        <v>2003</v>
      </c>
      <c r="AH262" s="21">
        <v>37776</v>
      </c>
    </row>
    <row r="263" spans="1:34" x14ac:dyDescent="0.25">
      <c r="A263" s="35">
        <v>1301</v>
      </c>
      <c r="B263" s="20" t="s">
        <v>58</v>
      </c>
      <c r="C263" s="20" t="s">
        <v>58</v>
      </c>
      <c r="D263" s="94" t="s">
        <v>1228</v>
      </c>
      <c r="E263" s="20" t="s">
        <v>2056</v>
      </c>
      <c r="F263" s="20" t="s">
        <v>1846</v>
      </c>
      <c r="G263" s="31" t="s">
        <v>40</v>
      </c>
      <c r="H263" s="32">
        <v>1</v>
      </c>
      <c r="J263" s="32">
        <v>1</v>
      </c>
      <c r="O263" s="20">
        <v>0</v>
      </c>
      <c r="P263" s="20">
        <v>1</v>
      </c>
      <c r="Q263" s="20">
        <v>0</v>
      </c>
      <c r="R263" s="20">
        <v>0</v>
      </c>
      <c r="X263" s="20">
        <v>1</v>
      </c>
      <c r="Z263" s="20" t="s">
        <v>1848</v>
      </c>
      <c r="AA263" s="20" t="s">
        <v>1860</v>
      </c>
      <c r="AB263" s="31">
        <f>VLOOKUP(AA263,Masters!$K$2:$L$183,2,FALSE)</f>
        <v>1002</v>
      </c>
      <c r="AC263" s="20" t="s">
        <v>2063</v>
      </c>
      <c r="AD263" s="20" t="s">
        <v>2060</v>
      </c>
      <c r="AE263" s="20">
        <v>4</v>
      </c>
      <c r="AF263" s="20">
        <v>8</v>
      </c>
      <c r="AG263" s="20">
        <v>2001</v>
      </c>
      <c r="AH263" s="21">
        <v>37107</v>
      </c>
    </row>
    <row r="264" spans="1:34" x14ac:dyDescent="0.25">
      <c r="A264" s="35">
        <v>1318</v>
      </c>
      <c r="B264" s="20" t="s">
        <v>58</v>
      </c>
      <c r="C264" s="20" t="s">
        <v>58</v>
      </c>
      <c r="D264" s="94" t="s">
        <v>1245</v>
      </c>
      <c r="E264" s="20" t="s">
        <v>2057</v>
      </c>
      <c r="F264" s="20" t="s">
        <v>1845</v>
      </c>
      <c r="G264" s="31" t="s">
        <v>40</v>
      </c>
      <c r="H264" s="32">
        <v>1</v>
      </c>
      <c r="J264" s="32">
        <v>1</v>
      </c>
      <c r="O264" s="20">
        <v>0</v>
      </c>
      <c r="P264" s="20">
        <v>1</v>
      </c>
      <c r="Q264" s="20">
        <v>0</v>
      </c>
      <c r="R264" s="20">
        <v>0</v>
      </c>
      <c r="X264" s="20">
        <v>1</v>
      </c>
      <c r="Z264" s="20" t="s">
        <v>1835</v>
      </c>
      <c r="AA264" s="20" t="s">
        <v>1863</v>
      </c>
      <c r="AB264" s="31">
        <f>VLOOKUP(AA264,Masters!$K$2:$L$183,2,FALSE)</f>
        <v>1005</v>
      </c>
      <c r="AC264" s="20" t="s">
        <v>2064</v>
      </c>
      <c r="AD264" s="20" t="s">
        <v>2061</v>
      </c>
      <c r="AE264" s="20">
        <v>7</v>
      </c>
      <c r="AF264" s="20">
        <v>1</v>
      </c>
      <c r="AG264" s="20">
        <v>2005</v>
      </c>
      <c r="AH264" s="21">
        <v>38359</v>
      </c>
    </row>
    <row r="265" spans="1:34" x14ac:dyDescent="0.25">
      <c r="A265" s="35">
        <v>1382</v>
      </c>
      <c r="B265" s="20" t="s">
        <v>58</v>
      </c>
      <c r="C265" s="20" t="s">
        <v>58</v>
      </c>
      <c r="D265" s="94" t="s">
        <v>1309</v>
      </c>
      <c r="E265" s="20" t="s">
        <v>2054</v>
      </c>
      <c r="F265" s="20" t="s">
        <v>1844</v>
      </c>
      <c r="G265" s="31" t="s">
        <v>40</v>
      </c>
      <c r="H265" s="32">
        <v>1</v>
      </c>
      <c r="J265" s="32">
        <v>1</v>
      </c>
      <c r="O265" s="20">
        <v>0</v>
      </c>
      <c r="P265" s="20">
        <v>1</v>
      </c>
      <c r="Q265" s="20">
        <v>0</v>
      </c>
      <c r="R265" s="20">
        <v>0</v>
      </c>
      <c r="X265" s="20">
        <v>1</v>
      </c>
      <c r="Z265" s="20" t="s">
        <v>1853</v>
      </c>
      <c r="AA265" s="20" t="s">
        <v>1859</v>
      </c>
      <c r="AB265" s="31">
        <f>VLOOKUP(AA265,Masters!$K$2:$L$183,2,FALSE)</f>
        <v>1001</v>
      </c>
      <c r="AC265" s="20" t="s">
        <v>2063</v>
      </c>
      <c r="AD265" s="20" t="s">
        <v>2060</v>
      </c>
      <c r="AE265" s="20">
        <v>21</v>
      </c>
      <c r="AF265" s="20">
        <v>10</v>
      </c>
      <c r="AG265" s="20">
        <v>2003</v>
      </c>
      <c r="AH265" s="21">
        <v>37915</v>
      </c>
    </row>
    <row r="266" spans="1:34" x14ac:dyDescent="0.25">
      <c r="A266" s="35">
        <v>1390</v>
      </c>
      <c r="B266" s="20" t="s">
        <v>58</v>
      </c>
      <c r="C266" s="20" t="s">
        <v>58</v>
      </c>
      <c r="D266" s="94" t="s">
        <v>1317</v>
      </c>
      <c r="E266" s="20" t="s">
        <v>2051</v>
      </c>
      <c r="F266" s="20" t="s">
        <v>1845</v>
      </c>
      <c r="G266" s="31" t="s">
        <v>40</v>
      </c>
      <c r="H266" s="32">
        <v>1</v>
      </c>
      <c r="J266" s="32">
        <v>1</v>
      </c>
      <c r="O266" s="20">
        <v>0</v>
      </c>
      <c r="P266" s="20">
        <v>1</v>
      </c>
      <c r="Q266" s="20">
        <v>0</v>
      </c>
      <c r="R266" s="20">
        <v>0</v>
      </c>
      <c r="X266" s="20">
        <v>1</v>
      </c>
      <c r="Z266" s="20" t="s">
        <v>1854</v>
      </c>
      <c r="AA266" s="20" t="s">
        <v>1861</v>
      </c>
      <c r="AB266" s="31">
        <f>VLOOKUP(AA266,Masters!$K$2:$L$183,2,FALSE)</f>
        <v>1003</v>
      </c>
      <c r="AC266" s="20" t="s">
        <v>2063</v>
      </c>
      <c r="AD266" s="20" t="s">
        <v>2061</v>
      </c>
      <c r="AE266" s="20">
        <v>13</v>
      </c>
      <c r="AF266" s="20">
        <v>2</v>
      </c>
      <c r="AG266" s="20">
        <v>2004</v>
      </c>
      <c r="AH266" s="21">
        <v>38030</v>
      </c>
    </row>
    <row r="267" spans="1:34" x14ac:dyDescent="0.25">
      <c r="A267" s="35">
        <v>1463</v>
      </c>
      <c r="B267" s="20" t="s">
        <v>58</v>
      </c>
      <c r="C267" s="20" t="s">
        <v>58</v>
      </c>
      <c r="D267" s="94" t="s">
        <v>1390</v>
      </c>
      <c r="E267" s="20" t="s">
        <v>2057</v>
      </c>
      <c r="F267" s="20" t="s">
        <v>1845</v>
      </c>
      <c r="G267" s="31" t="s">
        <v>40</v>
      </c>
      <c r="H267" s="32">
        <v>1</v>
      </c>
      <c r="J267" s="32">
        <v>1</v>
      </c>
      <c r="O267" s="20">
        <v>0</v>
      </c>
      <c r="P267" s="20">
        <v>1</v>
      </c>
      <c r="Q267" s="20">
        <v>0</v>
      </c>
      <c r="R267" s="20">
        <v>0</v>
      </c>
      <c r="X267" s="20">
        <v>1</v>
      </c>
      <c r="Z267" s="20" t="s">
        <v>201</v>
      </c>
      <c r="AA267" s="20" t="s">
        <v>1859</v>
      </c>
      <c r="AB267" s="31">
        <f>VLOOKUP(AA267,Masters!$K$2:$L$183,2,FALSE)</f>
        <v>1001</v>
      </c>
      <c r="AC267" s="20" t="s">
        <v>2063</v>
      </c>
      <c r="AD267" s="20" t="s">
        <v>2061</v>
      </c>
      <c r="AE267" s="20">
        <v>11</v>
      </c>
      <c r="AF267" s="20">
        <v>8</v>
      </c>
      <c r="AG267" s="20">
        <v>2004</v>
      </c>
      <c r="AH267" s="21">
        <v>38210</v>
      </c>
    </row>
    <row r="268" spans="1:34" x14ac:dyDescent="0.25">
      <c r="A268" s="35">
        <v>1503</v>
      </c>
      <c r="B268" s="20" t="s">
        <v>58</v>
      </c>
      <c r="C268" s="20" t="s">
        <v>58</v>
      </c>
      <c r="D268" s="94" t="s">
        <v>1430</v>
      </c>
      <c r="E268" s="20" t="s">
        <v>135</v>
      </c>
      <c r="F268" s="20" t="s">
        <v>1844</v>
      </c>
      <c r="G268" s="31" t="s">
        <v>40</v>
      </c>
      <c r="H268" s="32">
        <v>1</v>
      </c>
      <c r="J268" s="32">
        <v>1</v>
      </c>
      <c r="O268" s="20">
        <v>0</v>
      </c>
      <c r="P268" s="20">
        <v>1</v>
      </c>
      <c r="Q268" s="20">
        <v>0</v>
      </c>
      <c r="R268" s="20">
        <v>0</v>
      </c>
      <c r="X268" s="20">
        <v>1</v>
      </c>
      <c r="Z268" s="20" t="s">
        <v>1853</v>
      </c>
      <c r="AA268" s="20" t="s">
        <v>1862</v>
      </c>
      <c r="AB268" s="31">
        <f>VLOOKUP(AA268,Masters!$K$2:$L$183,2,FALSE)</f>
        <v>1004</v>
      </c>
      <c r="AC268" s="20" t="s">
        <v>2063</v>
      </c>
      <c r="AD268" s="20" t="s">
        <v>2061</v>
      </c>
      <c r="AE268" s="20">
        <v>30</v>
      </c>
      <c r="AF268" s="20">
        <v>1</v>
      </c>
      <c r="AG268" s="20">
        <v>2005</v>
      </c>
      <c r="AH268" s="21">
        <v>38382</v>
      </c>
    </row>
    <row r="269" spans="1:34" x14ac:dyDescent="0.25">
      <c r="A269" s="35">
        <v>1514</v>
      </c>
      <c r="B269" s="20" t="s">
        <v>58</v>
      </c>
      <c r="C269" s="20" t="s">
        <v>58</v>
      </c>
      <c r="D269" s="94" t="s">
        <v>1441</v>
      </c>
      <c r="E269" s="20" t="s">
        <v>2051</v>
      </c>
      <c r="F269" s="20" t="s">
        <v>1844</v>
      </c>
      <c r="G269" s="31" t="s">
        <v>40</v>
      </c>
      <c r="H269" s="32">
        <v>1</v>
      </c>
      <c r="J269" s="32">
        <v>1</v>
      </c>
      <c r="O269" s="20">
        <v>0</v>
      </c>
      <c r="P269" s="20">
        <v>1</v>
      </c>
      <c r="Q269" s="20">
        <v>0</v>
      </c>
      <c r="R269" s="20">
        <v>0</v>
      </c>
      <c r="X269" s="20">
        <v>1</v>
      </c>
      <c r="Z269" s="20" t="s">
        <v>1853</v>
      </c>
      <c r="AA269" s="20" t="s">
        <v>1863</v>
      </c>
      <c r="AB269" s="31">
        <f>VLOOKUP(AA269,Masters!$K$2:$L$183,2,FALSE)</f>
        <v>1005</v>
      </c>
      <c r="AC269" s="20" t="s">
        <v>2063</v>
      </c>
      <c r="AD269" s="20" t="s">
        <v>2061</v>
      </c>
      <c r="AE269" s="20">
        <v>13</v>
      </c>
      <c r="AF269" s="20">
        <v>7</v>
      </c>
      <c r="AG269" s="20">
        <v>2003</v>
      </c>
      <c r="AH269" s="21">
        <v>37815</v>
      </c>
    </row>
    <row r="270" spans="1:34" x14ac:dyDescent="0.25">
      <c r="A270" s="35">
        <v>1527</v>
      </c>
      <c r="B270" s="20" t="s">
        <v>58</v>
      </c>
      <c r="C270" s="20" t="s">
        <v>58</v>
      </c>
      <c r="D270" s="94" t="s">
        <v>1454</v>
      </c>
      <c r="E270" s="20" t="s">
        <v>2052</v>
      </c>
      <c r="F270" s="20" t="s">
        <v>1843</v>
      </c>
      <c r="G270" s="31" t="s">
        <v>40</v>
      </c>
      <c r="H270" s="32">
        <v>1</v>
      </c>
      <c r="J270" s="32">
        <v>1</v>
      </c>
      <c r="O270" s="20">
        <v>0</v>
      </c>
      <c r="P270" s="20">
        <v>1</v>
      </c>
      <c r="Q270" s="20">
        <v>0</v>
      </c>
      <c r="R270" s="20">
        <v>0</v>
      </c>
      <c r="X270" s="20">
        <v>1</v>
      </c>
      <c r="Z270" s="20" t="s">
        <v>1851</v>
      </c>
      <c r="AA270" s="20" t="s">
        <v>1861</v>
      </c>
      <c r="AB270" s="31">
        <f>VLOOKUP(AA270,Masters!$K$2:$L$183,2,FALSE)</f>
        <v>1003</v>
      </c>
      <c r="AC270" s="20" t="s">
        <v>2063</v>
      </c>
      <c r="AD270" s="20" t="s">
        <v>2060</v>
      </c>
      <c r="AE270" s="20">
        <v>28</v>
      </c>
      <c r="AF270" s="20">
        <v>10</v>
      </c>
      <c r="AG270" s="20">
        <v>2001</v>
      </c>
      <c r="AH270" s="21">
        <v>37192</v>
      </c>
    </row>
    <row r="271" spans="1:34" x14ac:dyDescent="0.25">
      <c r="A271" s="35">
        <v>1531</v>
      </c>
      <c r="B271" s="20" t="s">
        <v>58</v>
      </c>
      <c r="C271" s="20" t="s">
        <v>58</v>
      </c>
      <c r="D271" s="94" t="s">
        <v>1458</v>
      </c>
      <c r="E271" s="20" t="s">
        <v>2052</v>
      </c>
      <c r="F271" s="20" t="s">
        <v>1844</v>
      </c>
      <c r="G271" s="31" t="s">
        <v>40</v>
      </c>
      <c r="H271" s="32">
        <v>1</v>
      </c>
      <c r="J271" s="32">
        <v>1</v>
      </c>
      <c r="O271" s="20">
        <v>0</v>
      </c>
      <c r="P271" s="20">
        <v>1</v>
      </c>
      <c r="Q271" s="20">
        <v>0</v>
      </c>
      <c r="R271" s="20">
        <v>0</v>
      </c>
      <c r="X271" s="20">
        <v>1</v>
      </c>
      <c r="Z271" s="20" t="s">
        <v>1851</v>
      </c>
      <c r="AA271" s="20" t="s">
        <v>1859</v>
      </c>
      <c r="AB271" s="31">
        <f>VLOOKUP(AA271,Masters!$K$2:$L$183,2,FALSE)</f>
        <v>1001</v>
      </c>
      <c r="AC271" s="20" t="s">
        <v>2063</v>
      </c>
      <c r="AD271" s="20" t="s">
        <v>2061</v>
      </c>
      <c r="AE271" s="20">
        <v>4</v>
      </c>
      <c r="AF271" s="20">
        <v>3</v>
      </c>
      <c r="AG271" s="20">
        <v>2000</v>
      </c>
      <c r="AH271" s="21">
        <v>36589</v>
      </c>
    </row>
    <row r="272" spans="1:34" x14ac:dyDescent="0.25">
      <c r="A272" s="35">
        <v>1546</v>
      </c>
      <c r="B272" s="20" t="s">
        <v>58</v>
      </c>
      <c r="C272" s="20" t="s">
        <v>58</v>
      </c>
      <c r="D272" s="94" t="s">
        <v>1473</v>
      </c>
      <c r="E272" s="20" t="s">
        <v>2058</v>
      </c>
      <c r="F272" s="20" t="s">
        <v>1845</v>
      </c>
      <c r="G272" s="31" t="s">
        <v>40</v>
      </c>
      <c r="H272" s="32">
        <v>1</v>
      </c>
      <c r="J272" s="32">
        <v>1</v>
      </c>
      <c r="O272" s="20">
        <v>0</v>
      </c>
      <c r="P272" s="20">
        <v>1</v>
      </c>
      <c r="Q272" s="20">
        <v>0</v>
      </c>
      <c r="R272" s="20">
        <v>0</v>
      </c>
      <c r="X272" s="20">
        <v>1</v>
      </c>
      <c r="Z272" s="20" t="s">
        <v>34</v>
      </c>
      <c r="AA272" s="20" t="s">
        <v>1861</v>
      </c>
      <c r="AB272" s="31">
        <f>VLOOKUP(AA272,Masters!$K$2:$L$183,2,FALSE)</f>
        <v>1003</v>
      </c>
      <c r="AC272" s="20" t="s">
        <v>2063</v>
      </c>
      <c r="AD272" s="20" t="s">
        <v>2061</v>
      </c>
      <c r="AE272" s="20">
        <v>28</v>
      </c>
      <c r="AF272" s="20">
        <v>8</v>
      </c>
      <c r="AG272" s="20">
        <v>2000</v>
      </c>
      <c r="AH272" s="21">
        <v>36766</v>
      </c>
    </row>
    <row r="273" spans="1:34" x14ac:dyDescent="0.25">
      <c r="A273" s="35">
        <v>1567</v>
      </c>
      <c r="B273" s="20" t="s">
        <v>58</v>
      </c>
      <c r="C273" s="20" t="s">
        <v>58</v>
      </c>
      <c r="D273" s="94" t="s">
        <v>1494</v>
      </c>
      <c r="E273" s="20" t="s">
        <v>133</v>
      </c>
      <c r="F273" s="20" t="s">
        <v>1846</v>
      </c>
      <c r="G273" s="31" t="s">
        <v>40</v>
      </c>
      <c r="H273" s="32">
        <v>1</v>
      </c>
      <c r="J273" s="32">
        <v>1</v>
      </c>
      <c r="O273" s="20">
        <v>0</v>
      </c>
      <c r="P273" s="20">
        <v>1</v>
      </c>
      <c r="Q273" s="20">
        <v>0</v>
      </c>
      <c r="R273" s="20">
        <v>0</v>
      </c>
      <c r="X273" s="20">
        <v>1</v>
      </c>
      <c r="Z273" s="20" t="s">
        <v>34</v>
      </c>
      <c r="AA273" s="20" t="s">
        <v>1859</v>
      </c>
      <c r="AB273" s="31">
        <f>VLOOKUP(AA273,Masters!$K$2:$L$183,2,FALSE)</f>
        <v>1001</v>
      </c>
      <c r="AC273" s="20" t="s">
        <v>2064</v>
      </c>
      <c r="AD273" s="20" t="s">
        <v>2061</v>
      </c>
      <c r="AE273" s="20">
        <v>2</v>
      </c>
      <c r="AF273" s="20">
        <v>3</v>
      </c>
      <c r="AG273" s="20">
        <v>2005</v>
      </c>
      <c r="AH273" s="21">
        <v>38413</v>
      </c>
    </row>
    <row r="274" spans="1:34" x14ac:dyDescent="0.25">
      <c r="A274" s="35">
        <v>1580</v>
      </c>
      <c r="B274" s="20" t="s">
        <v>58</v>
      </c>
      <c r="C274" s="20" t="s">
        <v>58</v>
      </c>
      <c r="D274" s="94" t="s">
        <v>1507</v>
      </c>
      <c r="E274" s="20" t="s">
        <v>2057</v>
      </c>
      <c r="F274" s="20" t="s">
        <v>1845</v>
      </c>
      <c r="G274" s="31" t="s">
        <v>40</v>
      </c>
      <c r="H274" s="32">
        <v>1</v>
      </c>
      <c r="J274" s="32">
        <v>1</v>
      </c>
      <c r="O274" s="20">
        <v>0</v>
      </c>
      <c r="P274" s="20">
        <v>1</v>
      </c>
      <c r="Q274" s="20">
        <v>0</v>
      </c>
      <c r="R274" s="20">
        <v>0</v>
      </c>
      <c r="X274" s="20">
        <v>1</v>
      </c>
      <c r="Z274" s="20" t="s">
        <v>100</v>
      </c>
      <c r="AA274" s="20" t="s">
        <v>1861</v>
      </c>
      <c r="AB274" s="31">
        <f>VLOOKUP(AA274,Masters!$K$2:$L$183,2,FALSE)</f>
        <v>1003</v>
      </c>
      <c r="AC274" s="20" t="s">
        <v>2063</v>
      </c>
      <c r="AD274" s="20" t="s">
        <v>2060</v>
      </c>
      <c r="AE274" s="20">
        <v>18</v>
      </c>
      <c r="AF274" s="20">
        <v>12</v>
      </c>
      <c r="AG274" s="20">
        <v>2001</v>
      </c>
      <c r="AH274" s="21">
        <v>37243</v>
      </c>
    </row>
    <row r="275" spans="1:34" x14ac:dyDescent="0.25">
      <c r="A275" s="35">
        <v>1594</v>
      </c>
      <c r="B275" s="20" t="s">
        <v>58</v>
      </c>
      <c r="C275" s="20" t="s">
        <v>58</v>
      </c>
      <c r="D275" s="94" t="s">
        <v>1521</v>
      </c>
      <c r="E275" s="20" t="s">
        <v>2053</v>
      </c>
      <c r="F275" s="20" t="s">
        <v>1845</v>
      </c>
      <c r="G275" s="31" t="s">
        <v>40</v>
      </c>
      <c r="H275" s="32">
        <v>1</v>
      </c>
      <c r="J275" s="32">
        <v>1</v>
      </c>
      <c r="O275" s="20">
        <v>0</v>
      </c>
      <c r="P275" s="20">
        <v>1</v>
      </c>
      <c r="Q275" s="20">
        <v>0</v>
      </c>
      <c r="R275" s="20">
        <v>0</v>
      </c>
      <c r="X275" s="20">
        <v>1</v>
      </c>
      <c r="Z275" s="20" t="s">
        <v>1858</v>
      </c>
      <c r="AA275" s="20" t="s">
        <v>1860</v>
      </c>
      <c r="AB275" s="31">
        <f>VLOOKUP(AA275,Masters!$K$2:$L$183,2,FALSE)</f>
        <v>1002</v>
      </c>
      <c r="AC275" s="20" t="s">
        <v>2063</v>
      </c>
      <c r="AD275" s="20" t="s">
        <v>2061</v>
      </c>
      <c r="AE275" s="20">
        <v>2</v>
      </c>
      <c r="AF275" s="20">
        <v>11</v>
      </c>
      <c r="AG275" s="20">
        <v>2005</v>
      </c>
      <c r="AH275" s="21">
        <v>38658</v>
      </c>
    </row>
    <row r="276" spans="1:34" x14ac:dyDescent="0.25">
      <c r="A276" s="35">
        <v>1624</v>
      </c>
      <c r="B276" s="20" t="s">
        <v>58</v>
      </c>
      <c r="C276" s="20" t="s">
        <v>58</v>
      </c>
      <c r="D276" s="94" t="s">
        <v>1551</v>
      </c>
      <c r="E276" s="20" t="s">
        <v>2050</v>
      </c>
      <c r="F276" s="20" t="s">
        <v>1845</v>
      </c>
      <c r="G276" s="31" t="s">
        <v>40</v>
      </c>
      <c r="H276" s="32">
        <v>1</v>
      </c>
      <c r="J276" s="32">
        <v>1</v>
      </c>
      <c r="O276" s="20">
        <v>0</v>
      </c>
      <c r="P276" s="20">
        <v>1</v>
      </c>
      <c r="Q276" s="20">
        <v>0</v>
      </c>
      <c r="R276" s="20">
        <v>0</v>
      </c>
      <c r="X276" s="20">
        <v>1</v>
      </c>
      <c r="Z276" s="20" t="s">
        <v>1851</v>
      </c>
      <c r="AA276" s="20" t="s">
        <v>1863</v>
      </c>
      <c r="AB276" s="31">
        <f>VLOOKUP(AA276,Masters!$K$2:$L$183,2,FALSE)</f>
        <v>1005</v>
      </c>
      <c r="AC276" s="20" t="s">
        <v>2064</v>
      </c>
      <c r="AD276" s="20" t="s">
        <v>2061</v>
      </c>
      <c r="AE276" s="20">
        <v>11</v>
      </c>
      <c r="AF276" s="20">
        <v>5</v>
      </c>
      <c r="AG276" s="20">
        <v>2002</v>
      </c>
      <c r="AH276" s="21">
        <v>37387</v>
      </c>
    </row>
    <row r="277" spans="1:34" x14ac:dyDescent="0.25">
      <c r="A277" s="35">
        <v>1633</v>
      </c>
      <c r="B277" s="20" t="s">
        <v>58</v>
      </c>
      <c r="C277" s="20" t="s">
        <v>58</v>
      </c>
      <c r="D277" s="94" t="s">
        <v>1560</v>
      </c>
      <c r="E277" s="20" t="s">
        <v>135</v>
      </c>
      <c r="F277" s="20" t="s">
        <v>1846</v>
      </c>
      <c r="G277" s="31" t="s">
        <v>40</v>
      </c>
      <c r="H277" s="32">
        <v>1</v>
      </c>
      <c r="J277" s="32">
        <v>1</v>
      </c>
      <c r="O277" s="20">
        <v>0</v>
      </c>
      <c r="P277" s="20">
        <v>1</v>
      </c>
      <c r="Q277" s="20">
        <v>0</v>
      </c>
      <c r="R277" s="20">
        <v>0</v>
      </c>
      <c r="X277" s="20">
        <v>1</v>
      </c>
      <c r="Z277" s="20" t="s">
        <v>1855</v>
      </c>
      <c r="AA277" s="20" t="s">
        <v>1861</v>
      </c>
      <c r="AB277" s="31">
        <f>VLOOKUP(AA277,Masters!$K$2:$L$183,2,FALSE)</f>
        <v>1003</v>
      </c>
      <c r="AC277" s="20" t="s">
        <v>2063</v>
      </c>
      <c r="AD277" s="20" t="s">
        <v>2061</v>
      </c>
      <c r="AE277" s="20">
        <v>28</v>
      </c>
      <c r="AF277" s="20">
        <v>6</v>
      </c>
      <c r="AG277" s="20">
        <v>2000</v>
      </c>
      <c r="AH277" s="21">
        <v>36705</v>
      </c>
    </row>
    <row r="278" spans="1:34" x14ac:dyDescent="0.25">
      <c r="A278" s="35">
        <v>1649</v>
      </c>
      <c r="B278" s="20" t="s">
        <v>58</v>
      </c>
      <c r="C278" s="20" t="s">
        <v>58</v>
      </c>
      <c r="D278" s="94" t="s">
        <v>1576</v>
      </c>
      <c r="E278" s="20" t="s">
        <v>126</v>
      </c>
      <c r="F278" s="20" t="s">
        <v>1846</v>
      </c>
      <c r="G278" s="31" t="s">
        <v>40</v>
      </c>
      <c r="H278" s="32">
        <v>1</v>
      </c>
      <c r="J278" s="32">
        <v>1</v>
      </c>
      <c r="O278" s="20">
        <v>0</v>
      </c>
      <c r="P278" s="20">
        <v>1</v>
      </c>
      <c r="Q278" s="20">
        <v>0</v>
      </c>
      <c r="R278" s="20">
        <v>0</v>
      </c>
      <c r="X278" s="20">
        <v>1</v>
      </c>
      <c r="Z278" s="20" t="s">
        <v>1853</v>
      </c>
      <c r="AA278" s="20" t="s">
        <v>1862</v>
      </c>
      <c r="AB278" s="31">
        <f>VLOOKUP(AA278,Masters!$K$2:$L$183,2,FALSE)</f>
        <v>1004</v>
      </c>
      <c r="AC278" s="20" t="s">
        <v>2063</v>
      </c>
      <c r="AD278" s="20" t="s">
        <v>2061</v>
      </c>
      <c r="AE278" s="20">
        <v>11</v>
      </c>
      <c r="AF278" s="20">
        <v>10</v>
      </c>
      <c r="AG278" s="20">
        <v>2001</v>
      </c>
      <c r="AH278" s="21">
        <v>37175</v>
      </c>
    </row>
    <row r="279" spans="1:34" x14ac:dyDescent="0.25">
      <c r="A279" s="35">
        <v>1656</v>
      </c>
      <c r="B279" s="20" t="s">
        <v>58</v>
      </c>
      <c r="C279" s="20" t="s">
        <v>58</v>
      </c>
      <c r="D279" s="94" t="s">
        <v>1583</v>
      </c>
      <c r="E279" s="20" t="s">
        <v>2050</v>
      </c>
      <c r="F279" s="20" t="s">
        <v>1844</v>
      </c>
      <c r="G279" s="31" t="s">
        <v>40</v>
      </c>
      <c r="H279" s="32">
        <v>1</v>
      </c>
      <c r="J279" s="32">
        <v>1</v>
      </c>
      <c r="O279" s="20">
        <v>0</v>
      </c>
      <c r="P279" s="20">
        <v>1</v>
      </c>
      <c r="Q279" s="20">
        <v>0</v>
      </c>
      <c r="R279" s="20">
        <v>0</v>
      </c>
      <c r="X279" s="20">
        <v>1</v>
      </c>
      <c r="Z279" s="20" t="s">
        <v>201</v>
      </c>
      <c r="AA279" s="20" t="s">
        <v>1862</v>
      </c>
      <c r="AB279" s="31">
        <f>VLOOKUP(AA279,Masters!$K$2:$L$183,2,FALSE)</f>
        <v>1004</v>
      </c>
      <c r="AC279" s="20" t="s">
        <v>2064</v>
      </c>
      <c r="AD279" s="20" t="s">
        <v>2061</v>
      </c>
      <c r="AE279" s="20">
        <v>18</v>
      </c>
      <c r="AF279" s="20">
        <v>7</v>
      </c>
      <c r="AG279" s="20">
        <v>2002</v>
      </c>
      <c r="AH279" s="21">
        <v>37455</v>
      </c>
    </row>
    <row r="280" spans="1:34" x14ac:dyDescent="0.25">
      <c r="A280" s="35">
        <v>1675</v>
      </c>
      <c r="B280" s="20" t="s">
        <v>58</v>
      </c>
      <c r="C280" s="20" t="s">
        <v>58</v>
      </c>
      <c r="D280" s="94" t="s">
        <v>1602</v>
      </c>
      <c r="E280" s="20" t="s">
        <v>2058</v>
      </c>
      <c r="F280" s="20" t="s">
        <v>1844</v>
      </c>
      <c r="G280" s="31" t="s">
        <v>40</v>
      </c>
      <c r="H280" s="32">
        <v>1</v>
      </c>
      <c r="J280" s="32">
        <v>1</v>
      </c>
      <c r="O280" s="20">
        <v>0</v>
      </c>
      <c r="P280" s="20">
        <v>1</v>
      </c>
      <c r="Q280" s="20">
        <v>0</v>
      </c>
      <c r="R280" s="20">
        <v>0</v>
      </c>
      <c r="X280" s="20">
        <v>1</v>
      </c>
      <c r="Z280" s="20" t="s">
        <v>1832</v>
      </c>
      <c r="AA280" s="20" t="s">
        <v>1859</v>
      </c>
      <c r="AB280" s="31">
        <f>VLOOKUP(AA280,Masters!$K$2:$L$183,2,FALSE)</f>
        <v>1001</v>
      </c>
      <c r="AC280" s="20" t="s">
        <v>2064</v>
      </c>
      <c r="AD280" s="20" t="s">
        <v>2061</v>
      </c>
      <c r="AE280" s="20">
        <v>4</v>
      </c>
      <c r="AF280" s="20">
        <v>11</v>
      </c>
      <c r="AG280" s="20">
        <v>2005</v>
      </c>
      <c r="AH280" s="21">
        <v>38660</v>
      </c>
    </row>
    <row r="281" spans="1:34" x14ac:dyDescent="0.25">
      <c r="A281" s="35">
        <v>1707</v>
      </c>
      <c r="B281" s="20" t="s">
        <v>58</v>
      </c>
      <c r="C281" s="20" t="s">
        <v>58</v>
      </c>
      <c r="D281" s="94" t="s">
        <v>1634</v>
      </c>
      <c r="E281" s="20" t="s">
        <v>2057</v>
      </c>
      <c r="F281" s="20" t="s">
        <v>1844</v>
      </c>
      <c r="G281" s="31" t="s">
        <v>40</v>
      </c>
      <c r="H281" s="32">
        <v>1</v>
      </c>
      <c r="J281" s="32">
        <v>1</v>
      </c>
      <c r="O281" s="20">
        <v>0</v>
      </c>
      <c r="P281" s="20">
        <v>1</v>
      </c>
      <c r="Q281" s="20">
        <v>0</v>
      </c>
      <c r="R281" s="20">
        <v>0</v>
      </c>
      <c r="X281" s="20">
        <v>1</v>
      </c>
      <c r="Z281" s="20" t="s">
        <v>1850</v>
      </c>
      <c r="AA281" s="20" t="s">
        <v>1863</v>
      </c>
      <c r="AB281" s="31">
        <f>VLOOKUP(AA281,Masters!$K$2:$L$183,2,FALSE)</f>
        <v>1005</v>
      </c>
      <c r="AC281" s="20" t="s">
        <v>2063</v>
      </c>
      <c r="AD281" s="20" t="s">
        <v>2060</v>
      </c>
      <c r="AE281" s="20">
        <v>3</v>
      </c>
      <c r="AF281" s="20">
        <v>8</v>
      </c>
      <c r="AG281" s="20">
        <v>2003</v>
      </c>
      <c r="AH281" s="21">
        <v>37836</v>
      </c>
    </row>
    <row r="282" spans="1:34" x14ac:dyDescent="0.25">
      <c r="A282" s="35">
        <v>1716</v>
      </c>
      <c r="B282" s="20" t="s">
        <v>58</v>
      </c>
      <c r="C282" s="20" t="s">
        <v>58</v>
      </c>
      <c r="D282" s="94" t="s">
        <v>1643</v>
      </c>
      <c r="E282" s="20" t="s">
        <v>2052</v>
      </c>
      <c r="F282" s="20" t="s">
        <v>1847</v>
      </c>
      <c r="G282" s="31" t="s">
        <v>40</v>
      </c>
      <c r="H282" s="32">
        <v>1</v>
      </c>
      <c r="J282" s="32">
        <v>1</v>
      </c>
      <c r="O282" s="20">
        <v>0</v>
      </c>
      <c r="P282" s="20">
        <v>1</v>
      </c>
      <c r="Q282" s="20">
        <v>0</v>
      </c>
      <c r="R282" s="20">
        <v>0</v>
      </c>
      <c r="X282" s="20">
        <v>1</v>
      </c>
      <c r="Z282" s="20" t="s">
        <v>100</v>
      </c>
      <c r="AA282" s="20" t="s">
        <v>1863</v>
      </c>
      <c r="AB282" s="31">
        <f>VLOOKUP(AA282,Masters!$K$2:$L$183,2,FALSE)</f>
        <v>1005</v>
      </c>
      <c r="AC282" s="20" t="s">
        <v>2064</v>
      </c>
      <c r="AD282" s="20" t="s">
        <v>2061</v>
      </c>
      <c r="AE282" s="20">
        <v>24</v>
      </c>
      <c r="AF282" s="20">
        <v>12</v>
      </c>
      <c r="AG282" s="20">
        <v>2002</v>
      </c>
      <c r="AH282" s="21">
        <v>37614</v>
      </c>
    </row>
    <row r="283" spans="1:34" x14ac:dyDescent="0.25">
      <c r="A283" s="35">
        <v>1720</v>
      </c>
      <c r="B283" s="20" t="s">
        <v>58</v>
      </c>
      <c r="C283" s="20" t="s">
        <v>58</v>
      </c>
      <c r="D283" s="94" t="s">
        <v>1647</v>
      </c>
      <c r="E283" s="20" t="s">
        <v>2059</v>
      </c>
      <c r="F283" s="20" t="s">
        <v>1843</v>
      </c>
      <c r="G283" s="31" t="s">
        <v>40</v>
      </c>
      <c r="H283" s="32">
        <v>1</v>
      </c>
      <c r="J283" s="32">
        <v>1</v>
      </c>
      <c r="O283" s="20">
        <v>0</v>
      </c>
      <c r="P283" s="20">
        <v>1</v>
      </c>
      <c r="Q283" s="20">
        <v>0</v>
      </c>
      <c r="R283" s="20">
        <v>0</v>
      </c>
      <c r="X283" s="20">
        <v>1</v>
      </c>
      <c r="Z283" s="20" t="s">
        <v>201</v>
      </c>
      <c r="AA283" s="20" t="s">
        <v>1861</v>
      </c>
      <c r="AB283" s="31">
        <f>VLOOKUP(AA283,Masters!$K$2:$L$183,2,FALSE)</f>
        <v>1003</v>
      </c>
      <c r="AC283" s="20" t="s">
        <v>2063</v>
      </c>
      <c r="AD283" s="20" t="s">
        <v>2061</v>
      </c>
      <c r="AE283" s="20">
        <v>8</v>
      </c>
      <c r="AF283" s="20">
        <v>4</v>
      </c>
      <c r="AG283" s="20">
        <v>2002</v>
      </c>
      <c r="AH283" s="21">
        <v>37354</v>
      </c>
    </row>
    <row r="284" spans="1:34" x14ac:dyDescent="0.25">
      <c r="A284" s="35">
        <v>1724</v>
      </c>
      <c r="B284" s="20" t="s">
        <v>58</v>
      </c>
      <c r="C284" s="20" t="s">
        <v>58</v>
      </c>
      <c r="D284" s="94" t="s">
        <v>1651</v>
      </c>
      <c r="E284" s="20" t="s">
        <v>2051</v>
      </c>
      <c r="F284" s="20" t="s">
        <v>1844</v>
      </c>
      <c r="G284" s="31" t="s">
        <v>40</v>
      </c>
      <c r="H284" s="32">
        <v>1</v>
      </c>
      <c r="J284" s="32">
        <v>1</v>
      </c>
      <c r="O284" s="20">
        <v>0</v>
      </c>
      <c r="P284" s="20">
        <v>1</v>
      </c>
      <c r="Q284" s="20">
        <v>0</v>
      </c>
      <c r="R284" s="20">
        <v>0</v>
      </c>
      <c r="X284" s="20">
        <v>1</v>
      </c>
      <c r="Z284" s="20" t="s">
        <v>34</v>
      </c>
      <c r="AA284" s="20" t="s">
        <v>1862</v>
      </c>
      <c r="AB284" s="31">
        <f>VLOOKUP(AA284,Masters!$K$2:$L$183,2,FALSE)</f>
        <v>1004</v>
      </c>
      <c r="AC284" s="20" t="s">
        <v>2064</v>
      </c>
      <c r="AD284" s="20" t="s">
        <v>2061</v>
      </c>
      <c r="AE284" s="20">
        <v>18</v>
      </c>
      <c r="AF284" s="20">
        <v>2</v>
      </c>
      <c r="AG284" s="20">
        <v>2004</v>
      </c>
      <c r="AH284" s="21">
        <v>38035</v>
      </c>
    </row>
    <row r="285" spans="1:34" x14ac:dyDescent="0.25">
      <c r="A285" s="35">
        <v>1725</v>
      </c>
      <c r="B285" s="20" t="s">
        <v>58</v>
      </c>
      <c r="C285" s="20" t="s">
        <v>58</v>
      </c>
      <c r="D285" s="94" t="s">
        <v>1652</v>
      </c>
      <c r="E285" s="20" t="s">
        <v>2051</v>
      </c>
      <c r="F285" s="20" t="s">
        <v>1844</v>
      </c>
      <c r="G285" s="31" t="s">
        <v>40</v>
      </c>
      <c r="H285" s="32">
        <v>1</v>
      </c>
      <c r="J285" s="32">
        <v>1</v>
      </c>
      <c r="O285" s="20">
        <v>0</v>
      </c>
      <c r="P285" s="20">
        <v>1</v>
      </c>
      <c r="Q285" s="20">
        <v>0</v>
      </c>
      <c r="R285" s="20">
        <v>0</v>
      </c>
      <c r="X285" s="20">
        <v>1</v>
      </c>
      <c r="Z285" s="20" t="s">
        <v>1848</v>
      </c>
      <c r="AA285" s="20" t="s">
        <v>1862</v>
      </c>
      <c r="AB285" s="31">
        <f>VLOOKUP(AA285,Masters!$K$2:$L$183,2,FALSE)</f>
        <v>1004</v>
      </c>
      <c r="AC285" s="20" t="s">
        <v>2064</v>
      </c>
      <c r="AD285" s="20" t="s">
        <v>2061</v>
      </c>
      <c r="AE285" s="20">
        <v>1</v>
      </c>
      <c r="AF285" s="20">
        <v>12</v>
      </c>
      <c r="AG285" s="20">
        <v>2002</v>
      </c>
      <c r="AH285" s="21">
        <v>37591</v>
      </c>
    </row>
    <row r="286" spans="1:34" x14ac:dyDescent="0.25">
      <c r="A286" s="35">
        <v>1726</v>
      </c>
      <c r="B286" s="20" t="s">
        <v>58</v>
      </c>
      <c r="C286" s="20" t="s">
        <v>58</v>
      </c>
      <c r="D286" s="94" t="s">
        <v>1653</v>
      </c>
      <c r="E286" s="20" t="s">
        <v>2056</v>
      </c>
      <c r="F286" s="20" t="s">
        <v>1846</v>
      </c>
      <c r="G286" s="31" t="s">
        <v>40</v>
      </c>
      <c r="H286" s="32">
        <v>1</v>
      </c>
      <c r="J286" s="32">
        <v>1</v>
      </c>
      <c r="O286" s="20">
        <v>0</v>
      </c>
      <c r="P286" s="20">
        <v>1</v>
      </c>
      <c r="Q286" s="20">
        <v>0</v>
      </c>
      <c r="R286" s="20">
        <v>0</v>
      </c>
      <c r="X286" s="20">
        <v>1</v>
      </c>
      <c r="Z286" s="20" t="s">
        <v>34</v>
      </c>
      <c r="AA286" s="20" t="s">
        <v>1860</v>
      </c>
      <c r="AB286" s="31">
        <f>VLOOKUP(AA286,Masters!$K$2:$L$183,2,FALSE)</f>
        <v>1002</v>
      </c>
      <c r="AC286" s="20" t="s">
        <v>2063</v>
      </c>
      <c r="AD286" s="20" t="s">
        <v>2060</v>
      </c>
      <c r="AE286" s="20">
        <v>29</v>
      </c>
      <c r="AF286" s="20">
        <v>9</v>
      </c>
      <c r="AG286" s="20">
        <v>2001</v>
      </c>
      <c r="AH286" s="21">
        <v>37163</v>
      </c>
    </row>
    <row r="287" spans="1:34" x14ac:dyDescent="0.25">
      <c r="A287" s="35">
        <v>1727</v>
      </c>
      <c r="B287" s="20" t="s">
        <v>58</v>
      </c>
      <c r="C287" s="20" t="s">
        <v>58</v>
      </c>
      <c r="D287" s="94" t="s">
        <v>1654</v>
      </c>
      <c r="E287" s="20" t="s">
        <v>2055</v>
      </c>
      <c r="F287" s="20" t="s">
        <v>1847</v>
      </c>
      <c r="G287" s="31" t="s">
        <v>40</v>
      </c>
      <c r="H287" s="32">
        <v>1</v>
      </c>
      <c r="J287" s="32">
        <v>1</v>
      </c>
      <c r="O287" s="20">
        <v>0</v>
      </c>
      <c r="P287" s="20">
        <v>1</v>
      </c>
      <c r="Q287" s="20">
        <v>0</v>
      </c>
      <c r="R287" s="20">
        <v>0</v>
      </c>
      <c r="X287" s="20">
        <v>1</v>
      </c>
      <c r="Z287" s="20" t="s">
        <v>1835</v>
      </c>
      <c r="AA287" s="20" t="s">
        <v>1860</v>
      </c>
      <c r="AB287" s="31">
        <f>VLOOKUP(AA287,Masters!$K$2:$L$183,2,FALSE)</f>
        <v>1002</v>
      </c>
      <c r="AC287" s="20" t="s">
        <v>2063</v>
      </c>
      <c r="AD287" s="20" t="s">
        <v>2061</v>
      </c>
      <c r="AE287" s="20">
        <v>1</v>
      </c>
      <c r="AF287" s="20">
        <v>2</v>
      </c>
      <c r="AG287" s="20">
        <v>2005</v>
      </c>
      <c r="AH287" s="21">
        <v>38384</v>
      </c>
    </row>
    <row r="288" spans="1:34" x14ac:dyDescent="0.25">
      <c r="A288" s="35">
        <v>1728</v>
      </c>
      <c r="B288" s="20" t="s">
        <v>58</v>
      </c>
      <c r="C288" s="20" t="s">
        <v>58</v>
      </c>
      <c r="D288" s="94" t="s">
        <v>1655</v>
      </c>
      <c r="E288" s="20" t="s">
        <v>2056</v>
      </c>
      <c r="F288" s="20" t="s">
        <v>1847</v>
      </c>
      <c r="G288" s="31" t="s">
        <v>40</v>
      </c>
      <c r="H288" s="32">
        <v>1</v>
      </c>
      <c r="J288" s="32">
        <v>1</v>
      </c>
      <c r="O288" s="20">
        <v>0</v>
      </c>
      <c r="P288" s="20">
        <v>1</v>
      </c>
      <c r="Q288" s="20">
        <v>0</v>
      </c>
      <c r="R288" s="20">
        <v>0</v>
      </c>
      <c r="X288" s="20">
        <v>1</v>
      </c>
      <c r="Z288" s="20" t="s">
        <v>1832</v>
      </c>
      <c r="AA288" s="20" t="s">
        <v>1861</v>
      </c>
      <c r="AB288" s="31">
        <f>VLOOKUP(AA288,Masters!$K$2:$L$183,2,FALSE)</f>
        <v>1003</v>
      </c>
      <c r="AC288" s="20" t="s">
        <v>2063</v>
      </c>
      <c r="AD288" s="20" t="s">
        <v>2061</v>
      </c>
      <c r="AE288" s="20">
        <v>19</v>
      </c>
      <c r="AF288" s="20">
        <v>1</v>
      </c>
      <c r="AG288" s="20">
        <v>2000</v>
      </c>
      <c r="AH288" s="21">
        <v>36544</v>
      </c>
    </row>
    <row r="289" spans="1:34" x14ac:dyDescent="0.25">
      <c r="A289" s="35">
        <v>1729</v>
      </c>
      <c r="B289" s="20" t="s">
        <v>58</v>
      </c>
      <c r="C289" s="20" t="s">
        <v>58</v>
      </c>
      <c r="D289" s="94" t="s">
        <v>1656</v>
      </c>
      <c r="E289" s="20" t="s">
        <v>2053</v>
      </c>
      <c r="F289" s="20" t="s">
        <v>1843</v>
      </c>
      <c r="G289" s="31" t="s">
        <v>40</v>
      </c>
      <c r="H289" s="32">
        <v>1</v>
      </c>
      <c r="J289" s="32">
        <v>1</v>
      </c>
      <c r="O289" s="20">
        <v>0</v>
      </c>
      <c r="P289" s="20">
        <v>1</v>
      </c>
      <c r="Q289" s="20">
        <v>0</v>
      </c>
      <c r="R289" s="20">
        <v>0</v>
      </c>
      <c r="X289" s="20">
        <v>1</v>
      </c>
      <c r="Z289" s="20" t="s">
        <v>1848</v>
      </c>
      <c r="AA289" s="20" t="s">
        <v>1859</v>
      </c>
      <c r="AB289" s="31">
        <f>VLOOKUP(AA289,Masters!$K$2:$L$183,2,FALSE)</f>
        <v>1001</v>
      </c>
      <c r="AC289" s="20" t="s">
        <v>2063</v>
      </c>
      <c r="AD289" s="20" t="s">
        <v>2060</v>
      </c>
      <c r="AE289" s="20">
        <v>8</v>
      </c>
      <c r="AF289" s="20">
        <v>1</v>
      </c>
      <c r="AG289" s="20">
        <v>2004</v>
      </c>
      <c r="AH289" s="21">
        <v>37994</v>
      </c>
    </row>
    <row r="290" spans="1:34" x14ac:dyDescent="0.25">
      <c r="A290" s="35">
        <v>1740</v>
      </c>
      <c r="B290" s="20" t="s">
        <v>58</v>
      </c>
      <c r="C290" s="20" t="s">
        <v>58</v>
      </c>
      <c r="D290" s="94" t="s">
        <v>1667</v>
      </c>
      <c r="E290" s="20" t="s">
        <v>2052</v>
      </c>
      <c r="F290" s="20" t="s">
        <v>1846</v>
      </c>
      <c r="G290" s="31" t="s">
        <v>40</v>
      </c>
      <c r="H290" s="32">
        <v>1</v>
      </c>
      <c r="J290" s="32">
        <v>1</v>
      </c>
      <c r="O290" s="20">
        <v>0</v>
      </c>
      <c r="P290" s="20">
        <v>1</v>
      </c>
      <c r="Q290" s="20">
        <v>0</v>
      </c>
      <c r="R290" s="20">
        <v>0</v>
      </c>
      <c r="X290" s="20">
        <v>1</v>
      </c>
      <c r="Z290" s="20" t="s">
        <v>78</v>
      </c>
      <c r="AA290" s="20" t="s">
        <v>1863</v>
      </c>
      <c r="AB290" s="31">
        <f>VLOOKUP(AA290,Masters!$K$2:$L$183,2,FALSE)</f>
        <v>1005</v>
      </c>
      <c r="AC290" s="20" t="s">
        <v>2063</v>
      </c>
      <c r="AD290" s="20" t="s">
        <v>2060</v>
      </c>
      <c r="AE290" s="20">
        <v>19</v>
      </c>
      <c r="AF290" s="20">
        <v>1</v>
      </c>
      <c r="AG290" s="20">
        <v>2000</v>
      </c>
      <c r="AH290" s="21">
        <v>36544</v>
      </c>
    </row>
    <row r="291" spans="1:34" x14ac:dyDescent="0.25">
      <c r="A291" s="35">
        <v>1741</v>
      </c>
      <c r="B291" s="20" t="s">
        <v>1836</v>
      </c>
      <c r="C291" s="20" t="s">
        <v>1836</v>
      </c>
      <c r="D291" s="94" t="s">
        <v>1668</v>
      </c>
      <c r="E291" s="20" t="s">
        <v>2052</v>
      </c>
      <c r="F291" s="20" t="s">
        <v>1844</v>
      </c>
      <c r="G291" s="31" t="s">
        <v>40</v>
      </c>
      <c r="H291" s="32">
        <v>1</v>
      </c>
      <c r="J291" s="32">
        <v>1</v>
      </c>
      <c r="O291" s="20">
        <v>0</v>
      </c>
      <c r="P291" s="20">
        <v>1</v>
      </c>
      <c r="Q291" s="20">
        <v>0</v>
      </c>
      <c r="R291" s="20">
        <v>0</v>
      </c>
      <c r="X291" s="20">
        <v>1</v>
      </c>
      <c r="Z291" s="20" t="s">
        <v>201</v>
      </c>
      <c r="AA291" s="20" t="s">
        <v>1863</v>
      </c>
      <c r="AB291" s="31">
        <f>VLOOKUP(AA291,Masters!$K$2:$L$183,2,FALSE)</f>
        <v>1005</v>
      </c>
      <c r="AC291" s="20" t="s">
        <v>2063</v>
      </c>
      <c r="AD291" s="20" t="s">
        <v>2061</v>
      </c>
      <c r="AE291" s="20">
        <v>21</v>
      </c>
      <c r="AF291" s="20">
        <v>2</v>
      </c>
      <c r="AG291" s="20">
        <v>2001</v>
      </c>
      <c r="AH291" s="21">
        <v>36943</v>
      </c>
    </row>
    <row r="292" spans="1:34" x14ac:dyDescent="0.25">
      <c r="A292" s="35">
        <v>1798</v>
      </c>
      <c r="B292" s="20" t="s">
        <v>1836</v>
      </c>
      <c r="C292" s="20" t="s">
        <v>1836</v>
      </c>
      <c r="D292" s="94" t="s">
        <v>1725</v>
      </c>
      <c r="E292" s="20" t="s">
        <v>2050</v>
      </c>
      <c r="F292" s="20" t="s">
        <v>1845</v>
      </c>
      <c r="G292" s="31" t="s">
        <v>40</v>
      </c>
      <c r="H292" s="32">
        <v>1</v>
      </c>
      <c r="J292" s="32">
        <v>1</v>
      </c>
      <c r="O292" s="20">
        <v>0</v>
      </c>
      <c r="P292" s="20">
        <v>1</v>
      </c>
      <c r="Q292" s="20">
        <v>0</v>
      </c>
      <c r="R292" s="20">
        <v>0</v>
      </c>
      <c r="X292" s="20">
        <v>1</v>
      </c>
      <c r="Z292" s="20" t="s">
        <v>1852</v>
      </c>
      <c r="AA292" s="20" t="s">
        <v>1863</v>
      </c>
      <c r="AB292" s="31">
        <f>VLOOKUP(AA292,Masters!$K$2:$L$183,2,FALSE)</f>
        <v>1005</v>
      </c>
      <c r="AC292" s="20" t="s">
        <v>2063</v>
      </c>
      <c r="AD292" s="20" t="s">
        <v>2061</v>
      </c>
      <c r="AE292" s="20">
        <v>12</v>
      </c>
      <c r="AF292" s="20">
        <v>10</v>
      </c>
      <c r="AG292" s="20">
        <v>2004</v>
      </c>
      <c r="AH292" s="21">
        <v>38272</v>
      </c>
    </row>
    <row r="293" spans="1:34" x14ac:dyDescent="0.25">
      <c r="A293" s="35">
        <v>1810</v>
      </c>
      <c r="B293" s="20" t="s">
        <v>1836</v>
      </c>
      <c r="C293" s="20" t="s">
        <v>1836</v>
      </c>
      <c r="D293" s="94" t="s">
        <v>1737</v>
      </c>
      <c r="E293" s="20" t="s">
        <v>2055</v>
      </c>
      <c r="F293" s="20" t="s">
        <v>1843</v>
      </c>
      <c r="G293" s="31" t="s">
        <v>40</v>
      </c>
      <c r="H293" s="32">
        <v>1</v>
      </c>
      <c r="J293" s="32">
        <v>1</v>
      </c>
      <c r="O293" s="20">
        <v>0</v>
      </c>
      <c r="P293" s="20">
        <v>1</v>
      </c>
      <c r="Q293" s="20">
        <v>0</v>
      </c>
      <c r="R293" s="20">
        <v>0</v>
      </c>
      <c r="X293" s="20">
        <v>1</v>
      </c>
      <c r="Z293" s="20" t="s">
        <v>1835</v>
      </c>
      <c r="AA293" s="20" t="s">
        <v>1863</v>
      </c>
      <c r="AB293" s="31">
        <f>VLOOKUP(AA293,Masters!$K$2:$L$183,2,FALSE)</f>
        <v>1005</v>
      </c>
      <c r="AC293" s="20" t="s">
        <v>2064</v>
      </c>
      <c r="AD293" s="20" t="s">
        <v>2061</v>
      </c>
      <c r="AE293" s="20">
        <v>20</v>
      </c>
      <c r="AF293" s="20">
        <v>10</v>
      </c>
      <c r="AG293" s="20">
        <v>2005</v>
      </c>
      <c r="AH293" s="21">
        <v>38645</v>
      </c>
    </row>
    <row r="294" spans="1:34" x14ac:dyDescent="0.25">
      <c r="A294" s="35">
        <v>1824</v>
      </c>
      <c r="B294" s="20" t="s">
        <v>1836</v>
      </c>
      <c r="C294" s="20" t="s">
        <v>1836</v>
      </c>
      <c r="D294" s="94" t="s">
        <v>1751</v>
      </c>
      <c r="E294" s="20" t="s">
        <v>2051</v>
      </c>
      <c r="F294" s="20" t="s">
        <v>1844</v>
      </c>
      <c r="G294" s="31" t="s">
        <v>40</v>
      </c>
      <c r="H294" s="32">
        <v>1</v>
      </c>
      <c r="J294" s="32">
        <v>1</v>
      </c>
      <c r="O294" s="20">
        <v>0</v>
      </c>
      <c r="P294" s="20">
        <v>1</v>
      </c>
      <c r="Q294" s="20">
        <v>0</v>
      </c>
      <c r="R294" s="20">
        <v>0</v>
      </c>
      <c r="T294" s="20" t="s">
        <v>36</v>
      </c>
      <c r="X294" s="20">
        <v>1</v>
      </c>
      <c r="Z294" s="20" t="s">
        <v>1832</v>
      </c>
      <c r="AA294" s="20" t="s">
        <v>1859</v>
      </c>
      <c r="AB294" s="31">
        <f>VLOOKUP(AA294,Masters!$K$2:$L$183,2,FALSE)</f>
        <v>1001</v>
      </c>
      <c r="AC294" s="20" t="s">
        <v>2063</v>
      </c>
      <c r="AD294" s="20" t="s">
        <v>2060</v>
      </c>
      <c r="AE294" s="20">
        <v>17</v>
      </c>
      <c r="AF294" s="20">
        <v>8</v>
      </c>
      <c r="AG294" s="20">
        <v>2005</v>
      </c>
      <c r="AH294" s="21">
        <v>38581</v>
      </c>
    </row>
    <row r="295" spans="1:34" x14ac:dyDescent="0.25">
      <c r="A295" s="35">
        <v>1887</v>
      </c>
      <c r="B295" s="20" t="s">
        <v>1836</v>
      </c>
      <c r="C295" s="20" t="s">
        <v>1836</v>
      </c>
      <c r="D295" s="94" t="s">
        <v>1814</v>
      </c>
      <c r="E295" s="20" t="s">
        <v>135</v>
      </c>
      <c r="F295" s="20" t="s">
        <v>1847</v>
      </c>
      <c r="G295" s="31" t="s">
        <v>40</v>
      </c>
      <c r="H295" s="32">
        <v>1</v>
      </c>
      <c r="J295" s="32">
        <v>1</v>
      </c>
      <c r="O295" s="20">
        <v>0</v>
      </c>
      <c r="P295" s="20">
        <v>1</v>
      </c>
      <c r="Q295" s="20">
        <v>0</v>
      </c>
      <c r="R295" s="20">
        <v>0</v>
      </c>
      <c r="S295" s="20" t="s">
        <v>183</v>
      </c>
      <c r="T295" s="20" t="s">
        <v>170</v>
      </c>
      <c r="X295" s="20">
        <v>1</v>
      </c>
      <c r="Z295" s="20" t="s">
        <v>78</v>
      </c>
      <c r="AA295" s="20" t="s">
        <v>1860</v>
      </c>
      <c r="AB295" s="31">
        <f>VLOOKUP(AA295,Masters!$K$2:$L$183,2,FALSE)</f>
        <v>1002</v>
      </c>
      <c r="AC295" s="20" t="s">
        <v>2063</v>
      </c>
      <c r="AD295" s="20" t="s">
        <v>2061</v>
      </c>
      <c r="AE295" s="20">
        <v>10</v>
      </c>
      <c r="AF295" s="20">
        <v>5</v>
      </c>
      <c r="AG295" s="20">
        <v>2001</v>
      </c>
      <c r="AH295" s="21">
        <v>37021</v>
      </c>
    </row>
    <row r="296" spans="1:34" x14ac:dyDescent="0.25">
      <c r="A296" s="35">
        <v>1916</v>
      </c>
      <c r="B296" s="20" t="s">
        <v>1836</v>
      </c>
      <c r="C296" s="20" t="s">
        <v>1836</v>
      </c>
      <c r="E296" s="20" t="s">
        <v>2054</v>
      </c>
      <c r="F296" s="20" t="s">
        <v>1846</v>
      </c>
      <c r="G296" s="31" t="s">
        <v>35</v>
      </c>
      <c r="I296" s="208">
        <v>1</v>
      </c>
      <c r="J296" s="208">
        <v>1</v>
      </c>
      <c r="K296" s="208"/>
      <c r="L296" s="209"/>
      <c r="M296" s="208"/>
      <c r="N296" s="208"/>
      <c r="O296" s="210">
        <v>0</v>
      </c>
      <c r="P296" s="210">
        <v>0</v>
      </c>
      <c r="Q296" s="210">
        <v>1</v>
      </c>
      <c r="R296" s="210">
        <v>0</v>
      </c>
      <c r="S296" s="20" t="s">
        <v>198</v>
      </c>
      <c r="T296" s="20" t="s">
        <v>36</v>
      </c>
      <c r="U296" s="20" t="s">
        <v>20</v>
      </c>
      <c r="V296" s="20" t="s">
        <v>199</v>
      </c>
      <c r="X296" s="20">
        <v>1</v>
      </c>
      <c r="Z296" s="20" t="s">
        <v>1849</v>
      </c>
      <c r="AA296" s="20" t="s">
        <v>1860</v>
      </c>
      <c r="AB296" s="31">
        <f>VLOOKUP(AA296,Masters!$K$2:$L$183,2,FALSE)</f>
        <v>1002</v>
      </c>
      <c r="AC296" s="20" t="s">
        <v>2063</v>
      </c>
      <c r="AE296" s="20">
        <v>12</v>
      </c>
      <c r="AF296" s="20">
        <v>4</v>
      </c>
      <c r="AG296" s="20">
        <v>2005</v>
      </c>
      <c r="AH296" s="21">
        <v>38454</v>
      </c>
    </row>
    <row r="297" spans="1:34" x14ac:dyDescent="0.25">
      <c r="A297" s="35">
        <v>1957</v>
      </c>
      <c r="B297" s="20" t="s">
        <v>1836</v>
      </c>
      <c r="C297" s="20" t="s">
        <v>1836</v>
      </c>
      <c r="E297" s="20" t="s">
        <v>2055</v>
      </c>
      <c r="F297" s="20" t="s">
        <v>1847</v>
      </c>
      <c r="G297" s="31" t="s">
        <v>35</v>
      </c>
      <c r="I297" s="208">
        <v>1</v>
      </c>
      <c r="J297" s="208">
        <v>1</v>
      </c>
      <c r="K297" s="208"/>
      <c r="L297" s="209"/>
      <c r="M297" s="208"/>
      <c r="N297" s="208"/>
      <c r="O297" s="210">
        <v>0</v>
      </c>
      <c r="P297" s="210">
        <v>0</v>
      </c>
      <c r="Q297" s="210">
        <v>1</v>
      </c>
      <c r="R297" s="210">
        <v>0</v>
      </c>
      <c r="X297" s="20">
        <v>1</v>
      </c>
      <c r="Z297" s="20" t="s">
        <v>1854</v>
      </c>
      <c r="AA297" s="20" t="s">
        <v>1859</v>
      </c>
      <c r="AB297" s="31">
        <f>VLOOKUP(AA297,Masters!$K$2:$L$183,2,FALSE)</f>
        <v>1001</v>
      </c>
      <c r="AC297" s="20" t="s">
        <v>2063</v>
      </c>
      <c r="AE297" s="20">
        <v>23</v>
      </c>
      <c r="AF297" s="20">
        <v>8</v>
      </c>
      <c r="AG297" s="20">
        <v>2002</v>
      </c>
      <c r="AH297" s="21">
        <v>37491</v>
      </c>
    </row>
    <row r="298" spans="1:34" x14ac:dyDescent="0.25">
      <c r="A298" s="35">
        <v>1958</v>
      </c>
      <c r="B298" s="20" t="s">
        <v>1836</v>
      </c>
      <c r="C298" s="20" t="s">
        <v>1836</v>
      </c>
      <c r="E298" s="20" t="s">
        <v>133</v>
      </c>
      <c r="F298" s="20" t="s">
        <v>1847</v>
      </c>
      <c r="G298" s="31" t="s">
        <v>35</v>
      </c>
      <c r="I298" s="208">
        <v>1</v>
      </c>
      <c r="J298" s="208">
        <v>1</v>
      </c>
      <c r="K298" s="208"/>
      <c r="L298" s="209"/>
      <c r="M298" s="208"/>
      <c r="N298" s="208"/>
      <c r="O298" s="210">
        <v>0</v>
      </c>
      <c r="P298" s="210">
        <v>0</v>
      </c>
      <c r="Q298" s="210">
        <v>1</v>
      </c>
      <c r="R298" s="210">
        <v>0</v>
      </c>
      <c r="X298" s="20">
        <v>1</v>
      </c>
      <c r="Z298" s="20" t="s">
        <v>100</v>
      </c>
      <c r="AA298" s="20" t="s">
        <v>1861</v>
      </c>
      <c r="AB298" s="31">
        <f>VLOOKUP(AA298,Masters!$K$2:$L$183,2,FALSE)</f>
        <v>1003</v>
      </c>
      <c r="AC298" s="20" t="s">
        <v>2063</v>
      </c>
      <c r="AE298" s="20">
        <v>24</v>
      </c>
      <c r="AF298" s="20">
        <v>8</v>
      </c>
      <c r="AG298" s="20">
        <v>2000</v>
      </c>
      <c r="AH298" s="21">
        <v>36762</v>
      </c>
    </row>
    <row r="299" spans="1:34" x14ac:dyDescent="0.25">
      <c r="A299" s="35">
        <v>1959</v>
      </c>
      <c r="B299" s="20" t="s">
        <v>1836</v>
      </c>
      <c r="C299" s="20" t="s">
        <v>1836</v>
      </c>
      <c r="E299" s="20" t="s">
        <v>2053</v>
      </c>
      <c r="F299" s="20" t="s">
        <v>1846</v>
      </c>
      <c r="G299" s="31" t="s">
        <v>35</v>
      </c>
      <c r="I299" s="208">
        <v>1</v>
      </c>
      <c r="J299" s="208">
        <v>1</v>
      </c>
      <c r="K299" s="208"/>
      <c r="L299" s="209"/>
      <c r="M299" s="208"/>
      <c r="N299" s="208"/>
      <c r="O299" s="210">
        <v>0</v>
      </c>
      <c r="P299" s="210">
        <v>0</v>
      </c>
      <c r="Q299" s="210">
        <v>1</v>
      </c>
      <c r="R299" s="210">
        <v>0</v>
      </c>
      <c r="X299" s="20">
        <v>1</v>
      </c>
      <c r="Z299" s="20" t="s">
        <v>1853</v>
      </c>
      <c r="AA299" s="20" t="s">
        <v>1861</v>
      </c>
      <c r="AB299" s="31">
        <f>VLOOKUP(AA299,Masters!$K$2:$L$183,2,FALSE)</f>
        <v>1003</v>
      </c>
      <c r="AC299" s="20" t="s">
        <v>2063</v>
      </c>
      <c r="AE299" s="20">
        <v>7</v>
      </c>
      <c r="AF299" s="20">
        <v>1</v>
      </c>
      <c r="AG299" s="20">
        <v>2004</v>
      </c>
      <c r="AH299" s="21">
        <v>37993</v>
      </c>
    </row>
    <row r="300" spans="1:34" x14ac:dyDescent="0.25">
      <c r="A300" s="35">
        <v>1024</v>
      </c>
      <c r="B300" s="20" t="s">
        <v>1836</v>
      </c>
      <c r="C300" s="20" t="s">
        <v>1836</v>
      </c>
      <c r="D300" s="94" t="s">
        <v>951</v>
      </c>
      <c r="E300" s="20" t="s">
        <v>2053</v>
      </c>
      <c r="F300" s="20" t="s">
        <v>1847</v>
      </c>
      <c r="G300" s="31" t="s">
        <v>40</v>
      </c>
      <c r="H300" s="32">
        <v>1</v>
      </c>
      <c r="J300" s="32">
        <v>1</v>
      </c>
      <c r="O300" s="20">
        <v>0</v>
      </c>
      <c r="P300" s="20">
        <v>1</v>
      </c>
      <c r="Q300" s="20">
        <v>0</v>
      </c>
      <c r="R300" s="20">
        <v>0</v>
      </c>
      <c r="X300" s="20">
        <v>1</v>
      </c>
      <c r="Z300" s="20" t="s">
        <v>201</v>
      </c>
      <c r="AA300" s="20" t="s">
        <v>1859</v>
      </c>
      <c r="AB300" s="31">
        <f>VLOOKUP(AA300,Masters!$K$2:$L$183,2,FALSE)</f>
        <v>1001</v>
      </c>
      <c r="AC300" s="20" t="s">
        <v>2063</v>
      </c>
      <c r="AD300" s="20" t="s">
        <v>2060</v>
      </c>
      <c r="AE300" s="20">
        <v>25</v>
      </c>
      <c r="AF300" s="20">
        <v>7</v>
      </c>
      <c r="AG300" s="20">
        <v>2002</v>
      </c>
      <c r="AH300" s="21">
        <v>37462</v>
      </c>
    </row>
    <row r="301" spans="1:34" x14ac:dyDescent="0.25">
      <c r="A301" s="35">
        <v>1079</v>
      </c>
      <c r="B301" s="20" t="s">
        <v>1836</v>
      </c>
      <c r="C301" s="20" t="s">
        <v>1836</v>
      </c>
      <c r="D301" s="94" t="s">
        <v>1006</v>
      </c>
      <c r="E301" s="20" t="s">
        <v>2057</v>
      </c>
      <c r="F301" s="20" t="s">
        <v>1843</v>
      </c>
      <c r="G301" s="31" t="s">
        <v>40</v>
      </c>
      <c r="H301" s="32">
        <v>1</v>
      </c>
      <c r="J301" s="32">
        <v>1</v>
      </c>
      <c r="O301" s="20">
        <v>0</v>
      </c>
      <c r="P301" s="20">
        <v>1</v>
      </c>
      <c r="Q301" s="20">
        <v>0</v>
      </c>
      <c r="R301" s="20">
        <v>0</v>
      </c>
      <c r="X301" s="20">
        <v>1</v>
      </c>
      <c r="Z301" s="20" t="s">
        <v>78</v>
      </c>
      <c r="AA301" s="20" t="s">
        <v>1860</v>
      </c>
      <c r="AB301" s="31">
        <f>VLOOKUP(AA301,Masters!$K$2:$L$183,2,FALSE)</f>
        <v>1002</v>
      </c>
      <c r="AC301" s="20" t="s">
        <v>2063</v>
      </c>
      <c r="AD301" s="20" t="s">
        <v>2060</v>
      </c>
      <c r="AE301" s="20">
        <v>15</v>
      </c>
      <c r="AF301" s="20">
        <v>11</v>
      </c>
      <c r="AG301" s="20">
        <v>2000</v>
      </c>
      <c r="AH301" s="21">
        <v>36845</v>
      </c>
    </row>
    <row r="302" spans="1:34" x14ac:dyDescent="0.25">
      <c r="A302" s="35">
        <v>1088</v>
      </c>
      <c r="B302" s="20" t="s">
        <v>1836</v>
      </c>
      <c r="C302" s="20" t="s">
        <v>1836</v>
      </c>
      <c r="D302" s="94" t="s">
        <v>1015</v>
      </c>
      <c r="E302" s="20" t="s">
        <v>2055</v>
      </c>
      <c r="F302" s="20" t="s">
        <v>1846</v>
      </c>
      <c r="G302" s="31" t="s">
        <v>40</v>
      </c>
      <c r="H302" s="32">
        <v>1</v>
      </c>
      <c r="J302" s="32">
        <v>1</v>
      </c>
      <c r="O302" s="20">
        <v>0</v>
      </c>
      <c r="P302" s="20">
        <v>1</v>
      </c>
      <c r="Q302" s="20">
        <v>0</v>
      </c>
      <c r="R302" s="20">
        <v>0</v>
      </c>
      <c r="X302" s="20">
        <v>1</v>
      </c>
      <c r="Z302" s="20" t="s">
        <v>1855</v>
      </c>
      <c r="AA302" s="20" t="s">
        <v>1859</v>
      </c>
      <c r="AB302" s="31">
        <f>VLOOKUP(AA302,Masters!$K$2:$L$183,2,FALSE)</f>
        <v>1001</v>
      </c>
      <c r="AC302" s="20" t="s">
        <v>2063</v>
      </c>
      <c r="AD302" s="20" t="s">
        <v>2060</v>
      </c>
      <c r="AE302" s="20">
        <v>17</v>
      </c>
      <c r="AF302" s="20">
        <v>8</v>
      </c>
      <c r="AG302" s="20">
        <v>2001</v>
      </c>
      <c r="AH302" s="21">
        <v>37120</v>
      </c>
    </row>
    <row r="303" spans="1:34" x14ac:dyDescent="0.25">
      <c r="A303" s="35">
        <v>1157</v>
      </c>
      <c r="B303" s="20" t="s">
        <v>1836</v>
      </c>
      <c r="C303" s="20" t="s">
        <v>1836</v>
      </c>
      <c r="D303" s="94" t="s">
        <v>1084</v>
      </c>
      <c r="E303" s="20" t="s">
        <v>2055</v>
      </c>
      <c r="F303" s="20" t="s">
        <v>1844</v>
      </c>
      <c r="G303" s="31" t="s">
        <v>40</v>
      </c>
      <c r="H303" s="32">
        <v>1</v>
      </c>
      <c r="J303" s="32">
        <v>1</v>
      </c>
      <c r="O303" s="20">
        <v>0</v>
      </c>
      <c r="P303" s="20">
        <v>1</v>
      </c>
      <c r="Q303" s="20">
        <v>0</v>
      </c>
      <c r="R303" s="20">
        <v>0</v>
      </c>
      <c r="X303" s="20">
        <v>1</v>
      </c>
      <c r="Z303" s="20" t="s">
        <v>1857</v>
      </c>
      <c r="AA303" s="20" t="s">
        <v>1860</v>
      </c>
      <c r="AB303" s="31">
        <f>VLOOKUP(AA303,Masters!$K$2:$L$183,2,FALSE)</f>
        <v>1002</v>
      </c>
      <c r="AC303" s="20" t="s">
        <v>2064</v>
      </c>
      <c r="AD303" s="20" t="s">
        <v>2061</v>
      </c>
      <c r="AE303" s="20">
        <v>28</v>
      </c>
      <c r="AF303" s="20">
        <v>10</v>
      </c>
      <c r="AG303" s="20">
        <v>2005</v>
      </c>
      <c r="AH303" s="21">
        <v>38653</v>
      </c>
    </row>
    <row r="304" spans="1:34" x14ac:dyDescent="0.25">
      <c r="A304" s="35">
        <v>1178</v>
      </c>
      <c r="B304" s="20" t="s">
        <v>1836</v>
      </c>
      <c r="C304" s="20" t="s">
        <v>1836</v>
      </c>
      <c r="D304" s="94" t="s">
        <v>1105</v>
      </c>
      <c r="E304" s="20" t="s">
        <v>2057</v>
      </c>
      <c r="F304" s="20" t="s">
        <v>1845</v>
      </c>
      <c r="G304" s="31" t="s">
        <v>40</v>
      </c>
      <c r="H304" s="32">
        <v>1</v>
      </c>
      <c r="J304" s="32">
        <v>1</v>
      </c>
      <c r="O304" s="20">
        <v>0</v>
      </c>
      <c r="P304" s="20">
        <v>1</v>
      </c>
      <c r="Q304" s="20">
        <v>0</v>
      </c>
      <c r="R304" s="20">
        <v>0</v>
      </c>
      <c r="X304" s="20">
        <v>1</v>
      </c>
      <c r="Z304" s="20" t="s">
        <v>1853</v>
      </c>
      <c r="AA304" s="20" t="s">
        <v>1859</v>
      </c>
      <c r="AB304" s="31">
        <f>VLOOKUP(AA304,Masters!$K$2:$L$183,2,FALSE)</f>
        <v>1001</v>
      </c>
      <c r="AC304" s="20" t="s">
        <v>2063</v>
      </c>
      <c r="AD304" s="20" t="s">
        <v>2061</v>
      </c>
      <c r="AE304" s="20">
        <v>23</v>
      </c>
      <c r="AF304" s="20">
        <v>3</v>
      </c>
      <c r="AG304" s="20">
        <v>2004</v>
      </c>
      <c r="AH304" s="21">
        <v>38069</v>
      </c>
    </row>
    <row r="305" spans="1:34" x14ac:dyDescent="0.25">
      <c r="A305" s="35">
        <v>1182</v>
      </c>
      <c r="B305" s="20" t="s">
        <v>1837</v>
      </c>
      <c r="C305" s="20" t="s">
        <v>1837</v>
      </c>
      <c r="D305" s="94" t="s">
        <v>1109</v>
      </c>
      <c r="E305" s="20" t="s">
        <v>2056</v>
      </c>
      <c r="F305" s="20" t="s">
        <v>1847</v>
      </c>
      <c r="G305" s="31" t="s">
        <v>40</v>
      </c>
      <c r="H305" s="32">
        <v>1</v>
      </c>
      <c r="J305" s="32">
        <v>1</v>
      </c>
      <c r="O305" s="20">
        <v>0</v>
      </c>
      <c r="P305" s="20">
        <v>1</v>
      </c>
      <c r="Q305" s="20">
        <v>0</v>
      </c>
      <c r="R305" s="20">
        <v>0</v>
      </c>
      <c r="X305" s="20">
        <v>1</v>
      </c>
      <c r="Z305" s="20" t="s">
        <v>1832</v>
      </c>
      <c r="AA305" s="20" t="s">
        <v>1861</v>
      </c>
      <c r="AB305" s="31">
        <f>VLOOKUP(AA305,Masters!$K$2:$L$183,2,FALSE)</f>
        <v>1003</v>
      </c>
      <c r="AC305" s="20" t="s">
        <v>2063</v>
      </c>
      <c r="AD305" s="20" t="s">
        <v>2060</v>
      </c>
      <c r="AE305" s="20">
        <v>18</v>
      </c>
      <c r="AF305" s="20">
        <v>8</v>
      </c>
      <c r="AG305" s="20">
        <v>2003</v>
      </c>
      <c r="AH305" s="21">
        <v>37851</v>
      </c>
    </row>
    <row r="306" spans="1:34" x14ac:dyDescent="0.25">
      <c r="A306" s="35">
        <v>1253</v>
      </c>
      <c r="B306" s="20" t="s">
        <v>1837</v>
      </c>
      <c r="C306" s="20" t="s">
        <v>1837</v>
      </c>
      <c r="D306" s="94" t="s">
        <v>1180</v>
      </c>
      <c r="E306" s="20" t="s">
        <v>135</v>
      </c>
      <c r="F306" s="20" t="s">
        <v>1844</v>
      </c>
      <c r="G306" s="31" t="s">
        <v>40</v>
      </c>
      <c r="H306" s="32">
        <v>1</v>
      </c>
      <c r="J306" s="32">
        <v>1</v>
      </c>
      <c r="O306" s="20">
        <v>0</v>
      </c>
      <c r="P306" s="20">
        <v>1</v>
      </c>
      <c r="Q306" s="20">
        <v>0</v>
      </c>
      <c r="R306" s="20">
        <v>0</v>
      </c>
      <c r="X306" s="20">
        <v>1</v>
      </c>
      <c r="Z306" s="20" t="s">
        <v>1835</v>
      </c>
      <c r="AA306" s="20" t="s">
        <v>1860</v>
      </c>
      <c r="AB306" s="31">
        <f>VLOOKUP(AA306,Masters!$K$2:$L$183,2,FALSE)</f>
        <v>1002</v>
      </c>
      <c r="AC306" s="20" t="s">
        <v>2064</v>
      </c>
      <c r="AD306" s="20" t="s">
        <v>2061</v>
      </c>
      <c r="AE306" s="20">
        <v>30</v>
      </c>
      <c r="AF306" s="20">
        <v>9</v>
      </c>
      <c r="AG306" s="20">
        <v>2005</v>
      </c>
      <c r="AH306" s="21">
        <v>38625</v>
      </c>
    </row>
    <row r="307" spans="1:34" x14ac:dyDescent="0.25">
      <c r="A307" s="35">
        <v>1256</v>
      </c>
      <c r="B307" s="20" t="s">
        <v>1837</v>
      </c>
      <c r="C307" s="20" t="s">
        <v>1837</v>
      </c>
      <c r="D307" s="94" t="s">
        <v>1183</v>
      </c>
      <c r="E307" s="20" t="s">
        <v>126</v>
      </c>
      <c r="F307" s="20" t="s">
        <v>1844</v>
      </c>
      <c r="G307" s="31" t="s">
        <v>40</v>
      </c>
      <c r="H307" s="32">
        <v>1</v>
      </c>
      <c r="J307" s="32">
        <v>1</v>
      </c>
      <c r="O307" s="20">
        <v>0</v>
      </c>
      <c r="P307" s="20">
        <v>1</v>
      </c>
      <c r="Q307" s="20">
        <v>0</v>
      </c>
      <c r="R307" s="20">
        <v>0</v>
      </c>
      <c r="X307" s="20">
        <v>1</v>
      </c>
      <c r="Z307" s="20" t="s">
        <v>1852</v>
      </c>
      <c r="AA307" s="20" t="s">
        <v>1860</v>
      </c>
      <c r="AB307" s="31">
        <f>VLOOKUP(AA307,Masters!$K$2:$L$183,2,FALSE)</f>
        <v>1002</v>
      </c>
      <c r="AC307" s="20" t="s">
        <v>2064</v>
      </c>
      <c r="AD307" s="20" t="s">
        <v>2061</v>
      </c>
      <c r="AE307" s="20">
        <v>3</v>
      </c>
      <c r="AF307" s="20">
        <v>5</v>
      </c>
      <c r="AG307" s="20">
        <v>2005</v>
      </c>
      <c r="AH307" s="21">
        <v>38475</v>
      </c>
    </row>
    <row r="308" spans="1:34" x14ac:dyDescent="0.25">
      <c r="A308" s="35">
        <v>1277</v>
      </c>
      <c r="B308" s="20" t="s">
        <v>1837</v>
      </c>
      <c r="C308" s="20" t="s">
        <v>1837</v>
      </c>
      <c r="D308" s="94" t="s">
        <v>1204</v>
      </c>
      <c r="E308" s="20" t="s">
        <v>2059</v>
      </c>
      <c r="F308" s="20" t="s">
        <v>1844</v>
      </c>
      <c r="G308" s="31" t="s">
        <v>40</v>
      </c>
      <c r="H308" s="32">
        <v>1</v>
      </c>
      <c r="J308" s="32">
        <v>1</v>
      </c>
      <c r="O308" s="20">
        <v>0</v>
      </c>
      <c r="P308" s="20">
        <v>1</v>
      </c>
      <c r="Q308" s="20">
        <v>0</v>
      </c>
      <c r="R308" s="20">
        <v>0</v>
      </c>
      <c r="X308" s="20">
        <v>1</v>
      </c>
      <c r="Z308" s="20" t="s">
        <v>1856</v>
      </c>
      <c r="AA308" s="20" t="s">
        <v>1860</v>
      </c>
      <c r="AB308" s="31">
        <f>VLOOKUP(AA308,Masters!$K$2:$L$183,2,FALSE)</f>
        <v>1002</v>
      </c>
      <c r="AC308" s="20" t="s">
        <v>2064</v>
      </c>
      <c r="AD308" s="20" t="s">
        <v>2061</v>
      </c>
      <c r="AE308" s="20">
        <v>7</v>
      </c>
      <c r="AF308" s="20">
        <v>11</v>
      </c>
      <c r="AG308" s="20">
        <v>2003</v>
      </c>
      <c r="AH308" s="21">
        <v>37932</v>
      </c>
    </row>
    <row r="309" spans="1:34" x14ac:dyDescent="0.25">
      <c r="A309" s="35">
        <v>1279</v>
      </c>
      <c r="B309" s="20" t="s">
        <v>1837</v>
      </c>
      <c r="C309" s="20" t="s">
        <v>1837</v>
      </c>
      <c r="D309" s="94" t="s">
        <v>1206</v>
      </c>
      <c r="E309" s="20" t="s">
        <v>2053</v>
      </c>
      <c r="F309" s="20" t="s">
        <v>1846</v>
      </c>
      <c r="G309" s="31" t="s">
        <v>40</v>
      </c>
      <c r="H309" s="32">
        <v>1</v>
      </c>
      <c r="J309" s="32">
        <v>1</v>
      </c>
      <c r="O309" s="20">
        <v>0</v>
      </c>
      <c r="P309" s="20">
        <v>1</v>
      </c>
      <c r="Q309" s="20">
        <v>0</v>
      </c>
      <c r="R309" s="20">
        <v>0</v>
      </c>
      <c r="X309" s="20">
        <v>1</v>
      </c>
      <c r="Z309" s="20" t="s">
        <v>753</v>
      </c>
      <c r="AA309" s="20" t="s">
        <v>1863</v>
      </c>
      <c r="AB309" s="31">
        <f>VLOOKUP(AA309,Masters!$K$2:$L$183,2,FALSE)</f>
        <v>1005</v>
      </c>
      <c r="AC309" s="20" t="s">
        <v>2063</v>
      </c>
      <c r="AD309" s="20" t="s">
        <v>2060</v>
      </c>
      <c r="AE309" s="20">
        <v>4</v>
      </c>
      <c r="AF309" s="20">
        <v>6</v>
      </c>
      <c r="AG309" s="20">
        <v>2003</v>
      </c>
      <c r="AH309" s="21">
        <v>37776</v>
      </c>
    </row>
    <row r="310" spans="1:34" x14ac:dyDescent="0.25">
      <c r="A310" s="35">
        <v>1316</v>
      </c>
      <c r="B310" s="20" t="s">
        <v>1837</v>
      </c>
      <c r="C310" s="20" t="s">
        <v>1837</v>
      </c>
      <c r="D310" s="94" t="s">
        <v>1243</v>
      </c>
      <c r="E310" s="20" t="s">
        <v>133</v>
      </c>
      <c r="F310" s="20" t="s">
        <v>1847</v>
      </c>
      <c r="G310" s="31" t="s">
        <v>40</v>
      </c>
      <c r="H310" s="32">
        <v>1</v>
      </c>
      <c r="J310" s="32">
        <v>1</v>
      </c>
      <c r="O310" s="20">
        <v>0</v>
      </c>
      <c r="P310" s="20">
        <v>1</v>
      </c>
      <c r="Q310" s="20">
        <v>0</v>
      </c>
      <c r="R310" s="20">
        <v>0</v>
      </c>
      <c r="X310" s="20">
        <v>1</v>
      </c>
      <c r="Z310" s="20" t="s">
        <v>1853</v>
      </c>
      <c r="AA310" s="20" t="s">
        <v>1859</v>
      </c>
      <c r="AB310" s="31">
        <f>VLOOKUP(AA310,Masters!$K$2:$L$183,2,FALSE)</f>
        <v>1001</v>
      </c>
      <c r="AC310" s="20" t="s">
        <v>2063</v>
      </c>
      <c r="AD310" s="20" t="s">
        <v>2060</v>
      </c>
      <c r="AE310" s="20">
        <v>21</v>
      </c>
      <c r="AF310" s="20">
        <v>10</v>
      </c>
      <c r="AG310" s="20">
        <v>2001</v>
      </c>
      <c r="AH310" s="21">
        <v>37185</v>
      </c>
    </row>
    <row r="311" spans="1:34" x14ac:dyDescent="0.25">
      <c r="A311" s="35">
        <v>1354</v>
      </c>
      <c r="B311" s="20" t="s">
        <v>1837</v>
      </c>
      <c r="C311" s="20" t="s">
        <v>1837</v>
      </c>
      <c r="D311" s="94" t="s">
        <v>1281</v>
      </c>
      <c r="E311" s="20" t="s">
        <v>133</v>
      </c>
      <c r="F311" s="20" t="s">
        <v>1843</v>
      </c>
      <c r="G311" s="31" t="s">
        <v>40</v>
      </c>
      <c r="H311" s="32">
        <v>1</v>
      </c>
      <c r="J311" s="32">
        <v>1</v>
      </c>
      <c r="O311" s="20">
        <v>0</v>
      </c>
      <c r="P311" s="20">
        <v>1</v>
      </c>
      <c r="Q311" s="20">
        <v>0</v>
      </c>
      <c r="R311" s="20">
        <v>0</v>
      </c>
      <c r="X311" s="20">
        <v>1</v>
      </c>
      <c r="Z311" s="20" t="s">
        <v>58</v>
      </c>
      <c r="AA311" s="20" t="s">
        <v>1861</v>
      </c>
      <c r="AB311" s="31">
        <f>VLOOKUP(AA311,Masters!$K$2:$L$183,2,FALSE)</f>
        <v>1003</v>
      </c>
      <c r="AC311" s="20" t="s">
        <v>2063</v>
      </c>
      <c r="AD311" s="20" t="s">
        <v>2060</v>
      </c>
      <c r="AE311" s="20">
        <v>23</v>
      </c>
      <c r="AF311" s="20">
        <v>7</v>
      </c>
      <c r="AG311" s="20">
        <v>2005</v>
      </c>
      <c r="AH311" s="21">
        <v>38556</v>
      </c>
    </row>
    <row r="312" spans="1:34" x14ac:dyDescent="0.25">
      <c r="A312" s="35">
        <v>1417</v>
      </c>
      <c r="B312" s="20" t="s">
        <v>1837</v>
      </c>
      <c r="C312" s="20" t="s">
        <v>1837</v>
      </c>
      <c r="D312" s="94" t="s">
        <v>1344</v>
      </c>
      <c r="E312" s="20" t="s">
        <v>2053</v>
      </c>
      <c r="F312" s="20" t="s">
        <v>1843</v>
      </c>
      <c r="G312" s="31" t="s">
        <v>40</v>
      </c>
      <c r="H312" s="32">
        <v>1</v>
      </c>
      <c r="J312" s="32">
        <v>1</v>
      </c>
      <c r="O312" s="20">
        <v>0</v>
      </c>
      <c r="P312" s="20">
        <v>1</v>
      </c>
      <c r="Q312" s="20">
        <v>0</v>
      </c>
      <c r="R312" s="20">
        <v>0</v>
      </c>
      <c r="X312" s="20">
        <v>1</v>
      </c>
      <c r="Z312" s="20" t="s">
        <v>1832</v>
      </c>
      <c r="AA312" s="20" t="s">
        <v>1859</v>
      </c>
      <c r="AB312" s="31">
        <f>VLOOKUP(AA312,Masters!$K$2:$L$183,2,FALSE)</f>
        <v>1001</v>
      </c>
      <c r="AC312" s="20" t="s">
        <v>2064</v>
      </c>
      <c r="AD312" s="20" t="s">
        <v>2061</v>
      </c>
      <c r="AE312" s="20">
        <v>15</v>
      </c>
      <c r="AF312" s="20">
        <v>2</v>
      </c>
      <c r="AG312" s="20">
        <v>2001</v>
      </c>
      <c r="AH312" s="21">
        <v>36937</v>
      </c>
    </row>
    <row r="313" spans="1:34" x14ac:dyDescent="0.25">
      <c r="A313" s="35">
        <v>1431</v>
      </c>
      <c r="B313" s="20" t="s">
        <v>1837</v>
      </c>
      <c r="C313" s="20" t="s">
        <v>1837</v>
      </c>
      <c r="D313" s="94" t="s">
        <v>1358</v>
      </c>
      <c r="E313" s="20" t="s">
        <v>2055</v>
      </c>
      <c r="F313" s="20" t="s">
        <v>1844</v>
      </c>
      <c r="G313" s="31" t="s">
        <v>40</v>
      </c>
      <c r="H313" s="32">
        <v>1</v>
      </c>
      <c r="J313" s="32">
        <v>1</v>
      </c>
      <c r="O313" s="20">
        <v>0</v>
      </c>
      <c r="P313" s="20">
        <v>1</v>
      </c>
      <c r="Q313" s="20">
        <v>0</v>
      </c>
      <c r="R313" s="20">
        <v>0</v>
      </c>
      <c r="X313" s="20">
        <v>1</v>
      </c>
      <c r="Z313" s="20" t="s">
        <v>1858</v>
      </c>
      <c r="AA313" s="20" t="s">
        <v>1859</v>
      </c>
      <c r="AB313" s="31">
        <f>VLOOKUP(AA313,Masters!$K$2:$L$183,2,FALSE)</f>
        <v>1001</v>
      </c>
      <c r="AC313" s="20" t="s">
        <v>2064</v>
      </c>
      <c r="AD313" s="20" t="s">
        <v>2061</v>
      </c>
      <c r="AE313" s="20">
        <v>1</v>
      </c>
      <c r="AF313" s="20">
        <v>8</v>
      </c>
      <c r="AG313" s="20">
        <v>2002</v>
      </c>
      <c r="AH313" s="21">
        <v>37469</v>
      </c>
    </row>
    <row r="314" spans="1:34" x14ac:dyDescent="0.25">
      <c r="A314" s="35">
        <v>1446</v>
      </c>
      <c r="B314" s="20" t="s">
        <v>1837</v>
      </c>
      <c r="C314" s="20" t="s">
        <v>1837</v>
      </c>
      <c r="D314" s="94" t="s">
        <v>1373</v>
      </c>
      <c r="E314" s="20" t="s">
        <v>135</v>
      </c>
      <c r="F314" s="20" t="s">
        <v>1847</v>
      </c>
      <c r="G314" s="31" t="s">
        <v>40</v>
      </c>
      <c r="H314" s="32">
        <v>1</v>
      </c>
      <c r="J314" s="32">
        <v>1</v>
      </c>
      <c r="O314" s="20">
        <v>0</v>
      </c>
      <c r="P314" s="20">
        <v>1</v>
      </c>
      <c r="Q314" s="20">
        <v>0</v>
      </c>
      <c r="R314" s="20">
        <v>0</v>
      </c>
      <c r="X314" s="20">
        <v>1</v>
      </c>
      <c r="Z314" s="20" t="s">
        <v>34</v>
      </c>
      <c r="AA314" s="20" t="s">
        <v>1859</v>
      </c>
      <c r="AB314" s="31">
        <f>VLOOKUP(AA314,Masters!$K$2:$L$183,2,FALSE)</f>
        <v>1001</v>
      </c>
      <c r="AC314" s="20" t="s">
        <v>2063</v>
      </c>
      <c r="AD314" s="20" t="s">
        <v>2061</v>
      </c>
      <c r="AE314" s="20">
        <v>8</v>
      </c>
      <c r="AF314" s="20">
        <v>12</v>
      </c>
      <c r="AG314" s="20">
        <v>2005</v>
      </c>
      <c r="AH314" s="21">
        <v>38694</v>
      </c>
    </row>
    <row r="315" spans="1:34" x14ac:dyDescent="0.25">
      <c r="A315" s="35">
        <v>1457</v>
      </c>
      <c r="B315" s="20" t="s">
        <v>1837</v>
      </c>
      <c r="C315" s="20" t="s">
        <v>1837</v>
      </c>
      <c r="D315" s="94" t="s">
        <v>1384</v>
      </c>
      <c r="E315" s="20" t="s">
        <v>2053</v>
      </c>
      <c r="F315" s="20" t="s">
        <v>1846</v>
      </c>
      <c r="G315" s="31" t="s">
        <v>40</v>
      </c>
      <c r="H315" s="32">
        <v>1</v>
      </c>
      <c r="J315" s="32">
        <v>1</v>
      </c>
      <c r="O315" s="20">
        <v>0</v>
      </c>
      <c r="P315" s="20">
        <v>1</v>
      </c>
      <c r="Q315" s="20">
        <v>0</v>
      </c>
      <c r="R315" s="20">
        <v>0</v>
      </c>
      <c r="X315" s="20">
        <v>1</v>
      </c>
      <c r="Z315" s="20" t="s">
        <v>58</v>
      </c>
      <c r="AA315" s="20" t="s">
        <v>1859</v>
      </c>
      <c r="AB315" s="31">
        <f>VLOOKUP(AA315,Masters!$K$2:$L$183,2,FALSE)</f>
        <v>1001</v>
      </c>
      <c r="AC315" s="20" t="s">
        <v>2064</v>
      </c>
      <c r="AD315" s="20" t="s">
        <v>2061</v>
      </c>
      <c r="AE315" s="20">
        <v>3</v>
      </c>
      <c r="AF315" s="20">
        <v>4</v>
      </c>
      <c r="AG315" s="20">
        <v>2000</v>
      </c>
      <c r="AH315" s="21">
        <v>36619</v>
      </c>
    </row>
    <row r="316" spans="1:34" x14ac:dyDescent="0.25">
      <c r="A316" s="35">
        <v>1469</v>
      </c>
      <c r="B316" s="20" t="s">
        <v>1837</v>
      </c>
      <c r="C316" s="20" t="s">
        <v>1837</v>
      </c>
      <c r="D316" s="94" t="s">
        <v>1396</v>
      </c>
      <c r="E316" s="20" t="s">
        <v>2056</v>
      </c>
      <c r="F316" s="20" t="s">
        <v>1845</v>
      </c>
      <c r="G316" s="31" t="s">
        <v>40</v>
      </c>
      <c r="H316" s="32">
        <v>1</v>
      </c>
      <c r="J316" s="32">
        <v>1</v>
      </c>
      <c r="O316" s="20">
        <v>0</v>
      </c>
      <c r="P316" s="20">
        <v>1</v>
      </c>
      <c r="Q316" s="20">
        <v>0</v>
      </c>
      <c r="R316" s="20">
        <v>0</v>
      </c>
      <c r="X316" s="20">
        <v>1</v>
      </c>
      <c r="Z316" s="20" t="s">
        <v>1854</v>
      </c>
      <c r="AA316" s="20" t="s">
        <v>1860</v>
      </c>
      <c r="AB316" s="31">
        <f>VLOOKUP(AA316,Masters!$K$2:$L$183,2,FALSE)</f>
        <v>1002</v>
      </c>
      <c r="AC316" s="20" t="s">
        <v>2063</v>
      </c>
      <c r="AD316" s="20" t="s">
        <v>2060</v>
      </c>
      <c r="AE316" s="20">
        <v>11</v>
      </c>
      <c r="AF316" s="20">
        <v>9</v>
      </c>
      <c r="AG316" s="20">
        <v>2005</v>
      </c>
      <c r="AH316" s="21">
        <v>38606</v>
      </c>
    </row>
    <row r="317" spans="1:34" x14ac:dyDescent="0.25">
      <c r="A317" s="35">
        <v>1477</v>
      </c>
      <c r="B317" s="20" t="s">
        <v>1837</v>
      </c>
      <c r="C317" s="20" t="s">
        <v>1837</v>
      </c>
      <c r="D317" s="94" t="s">
        <v>1404</v>
      </c>
      <c r="E317" s="20" t="s">
        <v>2050</v>
      </c>
      <c r="F317" s="20" t="s">
        <v>1844</v>
      </c>
      <c r="G317" s="31" t="s">
        <v>40</v>
      </c>
      <c r="H317" s="32">
        <v>1</v>
      </c>
      <c r="J317" s="32">
        <v>1</v>
      </c>
      <c r="O317" s="20">
        <v>0</v>
      </c>
      <c r="P317" s="20">
        <v>1</v>
      </c>
      <c r="Q317" s="20">
        <v>0</v>
      </c>
      <c r="R317" s="20">
        <v>0</v>
      </c>
      <c r="X317" s="20">
        <v>1</v>
      </c>
      <c r="Z317" s="20" t="s">
        <v>100</v>
      </c>
      <c r="AA317" s="20" t="s">
        <v>1859</v>
      </c>
      <c r="AB317" s="31">
        <f>VLOOKUP(AA317,Masters!$K$2:$L$183,2,FALSE)</f>
        <v>1001</v>
      </c>
      <c r="AC317" s="20" t="s">
        <v>2063</v>
      </c>
      <c r="AD317" s="20" t="s">
        <v>2061</v>
      </c>
      <c r="AE317" s="20">
        <v>12</v>
      </c>
      <c r="AF317" s="20">
        <v>12</v>
      </c>
      <c r="AG317" s="20">
        <v>2004</v>
      </c>
      <c r="AH317" s="21">
        <v>38333</v>
      </c>
    </row>
    <row r="318" spans="1:34" x14ac:dyDescent="0.25">
      <c r="A318" s="35">
        <v>1491</v>
      </c>
      <c r="B318" s="20" t="s">
        <v>1837</v>
      </c>
      <c r="C318" s="20" t="s">
        <v>1837</v>
      </c>
      <c r="D318" s="94" t="s">
        <v>1418</v>
      </c>
      <c r="E318" s="20" t="s">
        <v>133</v>
      </c>
      <c r="F318" s="20" t="s">
        <v>1845</v>
      </c>
      <c r="G318" s="31" t="s">
        <v>40</v>
      </c>
      <c r="H318" s="32">
        <v>1</v>
      </c>
      <c r="J318" s="32">
        <v>1</v>
      </c>
      <c r="O318" s="20">
        <v>0</v>
      </c>
      <c r="P318" s="20">
        <v>1</v>
      </c>
      <c r="Q318" s="20">
        <v>0</v>
      </c>
      <c r="R318" s="20">
        <v>0</v>
      </c>
      <c r="X318" s="20">
        <v>1</v>
      </c>
      <c r="Z318" s="20" t="s">
        <v>100</v>
      </c>
      <c r="AA318" s="20" t="s">
        <v>1863</v>
      </c>
      <c r="AB318" s="31">
        <f>VLOOKUP(AA318,Masters!$K$2:$L$183,2,FALSE)</f>
        <v>1005</v>
      </c>
      <c r="AC318" s="20" t="s">
        <v>2063</v>
      </c>
      <c r="AD318" s="20" t="s">
        <v>2061</v>
      </c>
      <c r="AE318" s="20">
        <v>31</v>
      </c>
      <c r="AF318" s="20">
        <v>3</v>
      </c>
      <c r="AG318" s="20">
        <v>2002</v>
      </c>
      <c r="AH318" s="21">
        <v>37346</v>
      </c>
    </row>
    <row r="319" spans="1:34" x14ac:dyDescent="0.25">
      <c r="A319" s="35">
        <v>1515</v>
      </c>
      <c r="B319" s="20" t="s">
        <v>1837</v>
      </c>
      <c r="C319" s="20" t="s">
        <v>1837</v>
      </c>
      <c r="D319" s="94" t="s">
        <v>1442</v>
      </c>
      <c r="E319" s="20" t="s">
        <v>2051</v>
      </c>
      <c r="F319" s="20" t="s">
        <v>1843</v>
      </c>
      <c r="G319" s="31" t="s">
        <v>40</v>
      </c>
      <c r="H319" s="32">
        <v>1</v>
      </c>
      <c r="J319" s="32">
        <v>1</v>
      </c>
      <c r="O319" s="20">
        <v>0</v>
      </c>
      <c r="P319" s="20">
        <v>1</v>
      </c>
      <c r="Q319" s="20">
        <v>0</v>
      </c>
      <c r="R319" s="20">
        <v>0</v>
      </c>
      <c r="X319" s="20">
        <v>1</v>
      </c>
      <c r="Z319" s="20" t="s">
        <v>34</v>
      </c>
      <c r="AA319" s="20" t="s">
        <v>1859</v>
      </c>
      <c r="AB319" s="31">
        <f>VLOOKUP(AA319,Masters!$K$2:$L$183,2,FALSE)</f>
        <v>1001</v>
      </c>
      <c r="AC319" s="20" t="s">
        <v>2063</v>
      </c>
      <c r="AD319" s="20" t="s">
        <v>2061</v>
      </c>
      <c r="AE319" s="20">
        <v>21</v>
      </c>
      <c r="AF319" s="20">
        <v>1</v>
      </c>
      <c r="AG319" s="20">
        <v>2000</v>
      </c>
      <c r="AH319" s="21">
        <v>36546</v>
      </c>
    </row>
    <row r="320" spans="1:34" x14ac:dyDescent="0.25">
      <c r="A320" s="35">
        <v>1522</v>
      </c>
      <c r="B320" s="20" t="s">
        <v>1837</v>
      </c>
      <c r="C320" s="20" t="s">
        <v>1837</v>
      </c>
      <c r="D320" s="94" t="s">
        <v>1449</v>
      </c>
      <c r="E320" s="20" t="s">
        <v>126</v>
      </c>
      <c r="F320" s="20" t="s">
        <v>1845</v>
      </c>
      <c r="G320" s="31" t="s">
        <v>40</v>
      </c>
      <c r="H320" s="32">
        <v>1</v>
      </c>
      <c r="J320" s="32">
        <v>1</v>
      </c>
      <c r="O320" s="20">
        <v>0</v>
      </c>
      <c r="P320" s="20">
        <v>1</v>
      </c>
      <c r="Q320" s="20">
        <v>0</v>
      </c>
      <c r="R320" s="20">
        <v>0</v>
      </c>
      <c r="X320" s="20">
        <v>1</v>
      </c>
      <c r="Z320" s="20" t="s">
        <v>1854</v>
      </c>
      <c r="AA320" s="20" t="s">
        <v>1859</v>
      </c>
      <c r="AB320" s="31">
        <f>VLOOKUP(AA320,Masters!$K$2:$L$183,2,FALSE)</f>
        <v>1001</v>
      </c>
      <c r="AC320" s="20" t="s">
        <v>2064</v>
      </c>
      <c r="AD320" s="20" t="s">
        <v>2061</v>
      </c>
      <c r="AE320" s="20">
        <v>13</v>
      </c>
      <c r="AF320" s="20">
        <v>3</v>
      </c>
      <c r="AG320" s="20">
        <v>2001</v>
      </c>
      <c r="AH320" s="21">
        <v>36963</v>
      </c>
    </row>
    <row r="321" spans="1:34" x14ac:dyDescent="0.25">
      <c r="A321" s="35">
        <v>1568</v>
      </c>
      <c r="B321" s="20" t="s">
        <v>1837</v>
      </c>
      <c r="C321" s="20" t="s">
        <v>1837</v>
      </c>
      <c r="D321" s="94" t="s">
        <v>1495</v>
      </c>
      <c r="E321" s="20" t="s">
        <v>2058</v>
      </c>
      <c r="F321" s="20" t="s">
        <v>1845</v>
      </c>
      <c r="G321" s="31" t="s">
        <v>40</v>
      </c>
      <c r="H321" s="32">
        <v>1</v>
      </c>
      <c r="J321" s="32">
        <v>1</v>
      </c>
      <c r="O321" s="20">
        <v>0</v>
      </c>
      <c r="P321" s="20">
        <v>1</v>
      </c>
      <c r="Q321" s="20">
        <v>0</v>
      </c>
      <c r="R321" s="20">
        <v>0</v>
      </c>
      <c r="X321" s="20">
        <v>1</v>
      </c>
      <c r="Z321" s="20" t="s">
        <v>1849</v>
      </c>
      <c r="AA321" s="20" t="s">
        <v>1860</v>
      </c>
      <c r="AB321" s="31">
        <f>VLOOKUP(AA321,Masters!$K$2:$L$183,2,FALSE)</f>
        <v>1002</v>
      </c>
      <c r="AC321" s="20" t="s">
        <v>2063</v>
      </c>
      <c r="AD321" s="20" t="s">
        <v>2060</v>
      </c>
      <c r="AE321" s="20">
        <v>19</v>
      </c>
      <c r="AF321" s="20">
        <v>9</v>
      </c>
      <c r="AG321" s="20">
        <v>2001</v>
      </c>
      <c r="AH321" s="21">
        <v>37153</v>
      </c>
    </row>
    <row r="322" spans="1:34" x14ac:dyDescent="0.25">
      <c r="A322" s="35">
        <v>1598</v>
      </c>
      <c r="B322" s="20" t="s">
        <v>1837</v>
      </c>
      <c r="C322" s="20" t="s">
        <v>1837</v>
      </c>
      <c r="D322" s="94" t="s">
        <v>1525</v>
      </c>
      <c r="E322" s="20" t="s">
        <v>2058</v>
      </c>
      <c r="F322" s="20" t="s">
        <v>1843</v>
      </c>
      <c r="G322" s="31" t="s">
        <v>40</v>
      </c>
      <c r="H322" s="32">
        <v>1</v>
      </c>
      <c r="J322" s="32">
        <v>1</v>
      </c>
      <c r="O322" s="20">
        <v>0</v>
      </c>
      <c r="P322" s="20">
        <v>1</v>
      </c>
      <c r="Q322" s="20">
        <v>0</v>
      </c>
      <c r="R322" s="20">
        <v>0</v>
      </c>
      <c r="X322" s="20">
        <v>1</v>
      </c>
      <c r="Z322" s="20" t="s">
        <v>1832</v>
      </c>
      <c r="AA322" s="20" t="s">
        <v>1861</v>
      </c>
      <c r="AB322" s="31">
        <f>VLOOKUP(AA322,Masters!$K$2:$L$183,2,FALSE)</f>
        <v>1003</v>
      </c>
      <c r="AC322" s="20" t="s">
        <v>2063</v>
      </c>
      <c r="AD322" s="20" t="s">
        <v>2061</v>
      </c>
      <c r="AE322" s="20">
        <v>26</v>
      </c>
      <c r="AF322" s="20">
        <v>2</v>
      </c>
      <c r="AG322" s="20">
        <v>2004</v>
      </c>
      <c r="AH322" s="21">
        <v>38043</v>
      </c>
    </row>
    <row r="323" spans="1:34" x14ac:dyDescent="0.25">
      <c r="A323" s="35">
        <v>1625</v>
      </c>
      <c r="B323" s="20" t="s">
        <v>1837</v>
      </c>
      <c r="C323" s="20" t="s">
        <v>1837</v>
      </c>
      <c r="D323" s="94" t="s">
        <v>1552</v>
      </c>
      <c r="E323" s="20" t="s">
        <v>2059</v>
      </c>
      <c r="F323" s="20" t="s">
        <v>1844</v>
      </c>
      <c r="G323" s="31" t="s">
        <v>40</v>
      </c>
      <c r="H323" s="32">
        <v>1</v>
      </c>
      <c r="J323" s="32">
        <v>1</v>
      </c>
      <c r="O323" s="20">
        <v>0</v>
      </c>
      <c r="P323" s="20">
        <v>1</v>
      </c>
      <c r="Q323" s="20">
        <v>0</v>
      </c>
      <c r="R323" s="20">
        <v>0</v>
      </c>
      <c r="X323" s="20">
        <v>1</v>
      </c>
      <c r="Z323" s="20" t="s">
        <v>1851</v>
      </c>
      <c r="AA323" s="20" t="s">
        <v>1862</v>
      </c>
      <c r="AB323" s="31">
        <f>VLOOKUP(AA323,Masters!$K$2:$L$183,2,FALSE)</f>
        <v>1004</v>
      </c>
      <c r="AC323" s="20" t="s">
        <v>2064</v>
      </c>
      <c r="AD323" s="20" t="s">
        <v>2061</v>
      </c>
      <c r="AE323" s="20">
        <v>26</v>
      </c>
      <c r="AF323" s="20">
        <v>1</v>
      </c>
      <c r="AG323" s="20">
        <v>2005</v>
      </c>
      <c r="AH323" s="21">
        <v>38378</v>
      </c>
    </row>
    <row r="324" spans="1:34" x14ac:dyDescent="0.25">
      <c r="A324" s="35">
        <v>1674</v>
      </c>
      <c r="B324" s="20" t="s">
        <v>1837</v>
      </c>
      <c r="C324" s="20" t="s">
        <v>1837</v>
      </c>
      <c r="D324" s="94" t="s">
        <v>1601</v>
      </c>
      <c r="E324" s="20" t="s">
        <v>2052</v>
      </c>
      <c r="F324" s="20" t="s">
        <v>1845</v>
      </c>
      <c r="G324" s="31" t="s">
        <v>40</v>
      </c>
      <c r="H324" s="32">
        <v>1</v>
      </c>
      <c r="J324" s="32">
        <v>1</v>
      </c>
      <c r="O324" s="20">
        <v>0</v>
      </c>
      <c r="P324" s="20">
        <v>1</v>
      </c>
      <c r="Q324" s="20">
        <v>0</v>
      </c>
      <c r="R324" s="20">
        <v>0</v>
      </c>
      <c r="X324" s="20">
        <v>1</v>
      </c>
      <c r="Z324" s="20" t="s">
        <v>1855</v>
      </c>
      <c r="AA324" s="20" t="s">
        <v>1863</v>
      </c>
      <c r="AB324" s="31">
        <f>VLOOKUP(AA324,Masters!$K$2:$L$183,2,FALSE)</f>
        <v>1005</v>
      </c>
      <c r="AC324" s="20" t="s">
        <v>2064</v>
      </c>
      <c r="AD324" s="20" t="s">
        <v>2061</v>
      </c>
      <c r="AE324" s="20">
        <v>13</v>
      </c>
      <c r="AF324" s="20">
        <v>8</v>
      </c>
      <c r="AG324" s="20">
        <v>2005</v>
      </c>
      <c r="AH324" s="21">
        <v>38577</v>
      </c>
    </row>
    <row r="325" spans="1:34" x14ac:dyDescent="0.25">
      <c r="A325" s="35">
        <v>1696</v>
      </c>
      <c r="B325" s="20" t="s">
        <v>1837</v>
      </c>
      <c r="C325" s="20" t="s">
        <v>1837</v>
      </c>
      <c r="D325" s="94" t="s">
        <v>1623</v>
      </c>
      <c r="E325" s="20" t="s">
        <v>2055</v>
      </c>
      <c r="F325" s="20" t="s">
        <v>1843</v>
      </c>
      <c r="G325" s="31" t="s">
        <v>40</v>
      </c>
      <c r="H325" s="32">
        <v>1</v>
      </c>
      <c r="J325" s="32">
        <v>1</v>
      </c>
      <c r="O325" s="20">
        <v>0</v>
      </c>
      <c r="P325" s="20">
        <v>1</v>
      </c>
      <c r="Q325" s="20">
        <v>0</v>
      </c>
      <c r="R325" s="20">
        <v>0</v>
      </c>
      <c r="X325" s="20">
        <v>1</v>
      </c>
      <c r="Z325" s="20" t="s">
        <v>1835</v>
      </c>
      <c r="AA325" s="20" t="s">
        <v>1862</v>
      </c>
      <c r="AB325" s="31">
        <f>VLOOKUP(AA325,Masters!$K$2:$L$183,2,FALSE)</f>
        <v>1004</v>
      </c>
      <c r="AC325" s="20" t="s">
        <v>2063</v>
      </c>
      <c r="AD325" s="20" t="s">
        <v>2061</v>
      </c>
      <c r="AE325" s="20">
        <v>15</v>
      </c>
      <c r="AF325" s="20">
        <v>10</v>
      </c>
      <c r="AG325" s="20">
        <v>2005</v>
      </c>
      <c r="AH325" s="21">
        <v>38640</v>
      </c>
    </row>
    <row r="326" spans="1:34" x14ac:dyDescent="0.25">
      <c r="A326" s="35">
        <v>1708</v>
      </c>
      <c r="B326" s="20" t="s">
        <v>1837</v>
      </c>
      <c r="C326" s="20" t="s">
        <v>1837</v>
      </c>
      <c r="D326" s="94" t="s">
        <v>1635</v>
      </c>
      <c r="E326" s="20" t="s">
        <v>2058</v>
      </c>
      <c r="F326" s="20" t="s">
        <v>1844</v>
      </c>
      <c r="G326" s="31" t="s">
        <v>40</v>
      </c>
      <c r="H326" s="32">
        <v>1</v>
      </c>
      <c r="J326" s="32">
        <v>1</v>
      </c>
      <c r="O326" s="20">
        <v>0</v>
      </c>
      <c r="P326" s="20">
        <v>1</v>
      </c>
      <c r="Q326" s="20">
        <v>0</v>
      </c>
      <c r="R326" s="20">
        <v>0</v>
      </c>
      <c r="X326" s="20">
        <v>1</v>
      </c>
      <c r="Z326" s="20" t="s">
        <v>1858</v>
      </c>
      <c r="AA326" s="20" t="s">
        <v>1859</v>
      </c>
      <c r="AB326" s="31">
        <f>VLOOKUP(AA326,Masters!$K$2:$L$183,2,FALSE)</f>
        <v>1001</v>
      </c>
      <c r="AC326" s="20" t="s">
        <v>2063</v>
      </c>
      <c r="AD326" s="20" t="s">
        <v>2060</v>
      </c>
      <c r="AE326" s="20">
        <v>24</v>
      </c>
      <c r="AF326" s="20">
        <v>11</v>
      </c>
      <c r="AG326" s="20">
        <v>2005</v>
      </c>
      <c r="AH326" s="21">
        <v>38680</v>
      </c>
    </row>
    <row r="327" spans="1:34" x14ac:dyDescent="0.25">
      <c r="A327" s="35">
        <v>1710</v>
      </c>
      <c r="B327" s="20" t="s">
        <v>1837</v>
      </c>
      <c r="C327" s="20" t="s">
        <v>1837</v>
      </c>
      <c r="D327" s="94" t="s">
        <v>1637</v>
      </c>
      <c r="E327" s="20" t="s">
        <v>2058</v>
      </c>
      <c r="F327" s="20" t="s">
        <v>1843</v>
      </c>
      <c r="G327" s="31" t="s">
        <v>40</v>
      </c>
      <c r="H327" s="32">
        <v>1</v>
      </c>
      <c r="J327" s="32">
        <v>1</v>
      </c>
      <c r="O327" s="20">
        <v>0</v>
      </c>
      <c r="P327" s="20">
        <v>1</v>
      </c>
      <c r="Q327" s="20">
        <v>0</v>
      </c>
      <c r="R327" s="20">
        <v>0</v>
      </c>
      <c r="X327" s="20">
        <v>1</v>
      </c>
      <c r="Z327" s="20" t="s">
        <v>1857</v>
      </c>
      <c r="AA327" s="20" t="s">
        <v>1860</v>
      </c>
      <c r="AB327" s="31">
        <f>VLOOKUP(AA327,Masters!$K$2:$L$183,2,FALSE)</f>
        <v>1002</v>
      </c>
      <c r="AC327" s="20" t="s">
        <v>2064</v>
      </c>
      <c r="AD327" s="20" t="s">
        <v>2061</v>
      </c>
      <c r="AE327" s="20">
        <v>8</v>
      </c>
      <c r="AF327" s="20">
        <v>12</v>
      </c>
      <c r="AG327" s="20">
        <v>2000</v>
      </c>
      <c r="AH327" s="21">
        <v>36868</v>
      </c>
    </row>
    <row r="328" spans="1:34" x14ac:dyDescent="0.25">
      <c r="A328" s="35">
        <v>1713</v>
      </c>
      <c r="B328" s="20" t="s">
        <v>1837</v>
      </c>
      <c r="C328" s="20" t="s">
        <v>1837</v>
      </c>
      <c r="D328" s="94" t="s">
        <v>1640</v>
      </c>
      <c r="E328" s="20" t="s">
        <v>2053</v>
      </c>
      <c r="F328" s="20" t="s">
        <v>1843</v>
      </c>
      <c r="G328" s="31" t="s">
        <v>40</v>
      </c>
      <c r="H328" s="32">
        <v>1</v>
      </c>
      <c r="J328" s="32">
        <v>1</v>
      </c>
      <c r="O328" s="20">
        <v>0</v>
      </c>
      <c r="P328" s="20">
        <v>1</v>
      </c>
      <c r="Q328" s="20">
        <v>0</v>
      </c>
      <c r="R328" s="20">
        <v>0</v>
      </c>
      <c r="X328" s="20">
        <v>1</v>
      </c>
      <c r="Z328" s="20" t="s">
        <v>1853</v>
      </c>
      <c r="AA328" s="20" t="s">
        <v>1860</v>
      </c>
      <c r="AB328" s="31">
        <f>VLOOKUP(AA328,Masters!$K$2:$L$183,2,FALSE)</f>
        <v>1002</v>
      </c>
      <c r="AC328" s="20" t="s">
        <v>2064</v>
      </c>
      <c r="AD328" s="20" t="s">
        <v>2061</v>
      </c>
      <c r="AE328" s="20">
        <v>2</v>
      </c>
      <c r="AF328" s="20">
        <v>5</v>
      </c>
      <c r="AG328" s="20">
        <v>2000</v>
      </c>
      <c r="AH328" s="21">
        <v>36648</v>
      </c>
    </row>
    <row r="329" spans="1:34" x14ac:dyDescent="0.25">
      <c r="A329" s="35">
        <v>1739</v>
      </c>
      <c r="B329" s="20" t="s">
        <v>1837</v>
      </c>
      <c r="C329" s="20" t="s">
        <v>1837</v>
      </c>
      <c r="D329" s="94" t="s">
        <v>1666</v>
      </c>
      <c r="E329" s="20" t="s">
        <v>2054</v>
      </c>
      <c r="F329" s="20" t="s">
        <v>1845</v>
      </c>
      <c r="G329" s="31" t="s">
        <v>40</v>
      </c>
      <c r="H329" s="32">
        <v>1</v>
      </c>
      <c r="J329" s="32">
        <v>1</v>
      </c>
      <c r="O329" s="20">
        <v>0</v>
      </c>
      <c r="P329" s="20">
        <v>1</v>
      </c>
      <c r="Q329" s="20">
        <v>0</v>
      </c>
      <c r="R329" s="20">
        <v>0</v>
      </c>
      <c r="X329" s="20">
        <v>1</v>
      </c>
      <c r="Z329" s="20" t="s">
        <v>1850</v>
      </c>
      <c r="AA329" s="20" t="s">
        <v>1863</v>
      </c>
      <c r="AB329" s="31">
        <f>VLOOKUP(AA329,Masters!$K$2:$L$183,2,FALSE)</f>
        <v>1005</v>
      </c>
      <c r="AC329" s="20" t="s">
        <v>2064</v>
      </c>
      <c r="AD329" s="20" t="s">
        <v>2061</v>
      </c>
      <c r="AE329" s="20">
        <v>4</v>
      </c>
      <c r="AF329" s="20">
        <v>7</v>
      </c>
      <c r="AG329" s="20">
        <v>2004</v>
      </c>
      <c r="AH329" s="21">
        <v>38172</v>
      </c>
    </row>
    <row r="330" spans="1:34" x14ac:dyDescent="0.25">
      <c r="A330" s="35">
        <v>1781</v>
      </c>
      <c r="B330" s="20" t="s">
        <v>1837</v>
      </c>
      <c r="C330" s="20" t="s">
        <v>1837</v>
      </c>
      <c r="D330" s="94" t="s">
        <v>1708</v>
      </c>
      <c r="E330" s="20" t="s">
        <v>2056</v>
      </c>
      <c r="F330" s="20" t="s">
        <v>1844</v>
      </c>
      <c r="G330" s="31" t="s">
        <v>40</v>
      </c>
      <c r="H330" s="32">
        <v>1</v>
      </c>
      <c r="J330" s="32">
        <v>1</v>
      </c>
      <c r="O330" s="20">
        <v>0</v>
      </c>
      <c r="P330" s="20">
        <v>1</v>
      </c>
      <c r="Q330" s="20">
        <v>0</v>
      </c>
      <c r="R330" s="20">
        <v>0</v>
      </c>
      <c r="X330" s="20">
        <v>1</v>
      </c>
      <c r="Z330" s="20" t="s">
        <v>1855</v>
      </c>
      <c r="AA330" s="20" t="s">
        <v>1862</v>
      </c>
      <c r="AB330" s="31">
        <f>VLOOKUP(AA330,Masters!$K$2:$L$183,2,FALSE)</f>
        <v>1004</v>
      </c>
      <c r="AC330" s="20" t="s">
        <v>2063</v>
      </c>
      <c r="AD330" s="20" t="s">
        <v>2060</v>
      </c>
      <c r="AE330" s="20">
        <v>10</v>
      </c>
      <c r="AF330" s="20">
        <v>3</v>
      </c>
      <c r="AG330" s="20">
        <v>2004</v>
      </c>
      <c r="AH330" s="21">
        <v>38056</v>
      </c>
    </row>
    <row r="331" spans="1:34" x14ac:dyDescent="0.25">
      <c r="A331" s="35">
        <v>1786</v>
      </c>
      <c r="B331" s="20" t="s">
        <v>1838</v>
      </c>
      <c r="C331" s="20" t="s">
        <v>1838</v>
      </c>
      <c r="D331" s="94" t="s">
        <v>1713</v>
      </c>
      <c r="E331" s="20" t="s">
        <v>126</v>
      </c>
      <c r="F331" s="20" t="s">
        <v>1845</v>
      </c>
      <c r="G331" s="31" t="s">
        <v>40</v>
      </c>
      <c r="H331" s="32">
        <v>1</v>
      </c>
      <c r="J331" s="32">
        <v>1</v>
      </c>
      <c r="O331" s="20">
        <v>0</v>
      </c>
      <c r="P331" s="20">
        <v>1</v>
      </c>
      <c r="Q331" s="20">
        <v>0</v>
      </c>
      <c r="R331" s="20">
        <v>0</v>
      </c>
      <c r="X331" s="20">
        <v>1</v>
      </c>
      <c r="Z331" s="20" t="s">
        <v>58</v>
      </c>
      <c r="AA331" s="20" t="s">
        <v>1860</v>
      </c>
      <c r="AB331" s="31">
        <f>VLOOKUP(AA331,Masters!$K$2:$L$183,2,FALSE)</f>
        <v>1002</v>
      </c>
      <c r="AC331" s="20" t="s">
        <v>2064</v>
      </c>
      <c r="AD331" s="20" t="s">
        <v>2061</v>
      </c>
      <c r="AE331" s="20">
        <v>24</v>
      </c>
      <c r="AF331" s="20">
        <v>5</v>
      </c>
      <c r="AG331" s="20">
        <v>2005</v>
      </c>
      <c r="AH331" s="21">
        <v>38496</v>
      </c>
    </row>
    <row r="332" spans="1:34" x14ac:dyDescent="0.25">
      <c r="A332" s="35">
        <v>1805</v>
      </c>
      <c r="B332" s="20" t="s">
        <v>1838</v>
      </c>
      <c r="C332" s="20" t="s">
        <v>1838</v>
      </c>
      <c r="D332" s="94" t="s">
        <v>1732</v>
      </c>
      <c r="E332" s="20" t="s">
        <v>126</v>
      </c>
      <c r="F332" s="20" t="s">
        <v>1844</v>
      </c>
      <c r="G332" s="31" t="s">
        <v>40</v>
      </c>
      <c r="H332" s="32">
        <v>1</v>
      </c>
      <c r="J332" s="32">
        <v>1</v>
      </c>
      <c r="O332" s="20">
        <v>0</v>
      </c>
      <c r="P332" s="20">
        <v>1</v>
      </c>
      <c r="Q332" s="20">
        <v>0</v>
      </c>
      <c r="R332" s="20">
        <v>0</v>
      </c>
      <c r="X332" s="20">
        <v>1</v>
      </c>
      <c r="Z332" s="20" t="s">
        <v>1849</v>
      </c>
      <c r="AA332" s="20" t="s">
        <v>1863</v>
      </c>
      <c r="AB332" s="31">
        <f>VLOOKUP(AA332,Masters!$K$2:$L$183,2,FALSE)</f>
        <v>1005</v>
      </c>
      <c r="AC332" s="20" t="s">
        <v>2063</v>
      </c>
      <c r="AD332" s="20" t="s">
        <v>2061</v>
      </c>
      <c r="AE332" s="20">
        <v>2</v>
      </c>
      <c r="AF332" s="20">
        <v>6</v>
      </c>
      <c r="AG332" s="20">
        <v>2001</v>
      </c>
      <c r="AH332" s="21">
        <v>37044</v>
      </c>
    </row>
    <row r="333" spans="1:34" x14ac:dyDescent="0.25">
      <c r="A333" s="35">
        <v>1823</v>
      </c>
      <c r="B333" s="20" t="s">
        <v>1838</v>
      </c>
      <c r="C333" s="20" t="s">
        <v>1838</v>
      </c>
      <c r="D333" s="94" t="s">
        <v>1750</v>
      </c>
      <c r="E333" s="20" t="s">
        <v>2058</v>
      </c>
      <c r="F333" s="20" t="s">
        <v>1847</v>
      </c>
      <c r="G333" s="31" t="s">
        <v>40</v>
      </c>
      <c r="H333" s="32">
        <v>1</v>
      </c>
      <c r="J333" s="32">
        <v>1</v>
      </c>
      <c r="O333" s="20">
        <v>0</v>
      </c>
      <c r="P333" s="20">
        <v>1</v>
      </c>
      <c r="Q333" s="20">
        <v>0</v>
      </c>
      <c r="R333" s="20">
        <v>0</v>
      </c>
      <c r="X333" s="20">
        <v>1</v>
      </c>
      <c r="Z333" s="20" t="s">
        <v>753</v>
      </c>
      <c r="AA333" s="20" t="s">
        <v>1859</v>
      </c>
      <c r="AB333" s="31">
        <f>VLOOKUP(AA333,Masters!$K$2:$L$183,2,FALSE)</f>
        <v>1001</v>
      </c>
      <c r="AC333" s="20" t="s">
        <v>2063</v>
      </c>
      <c r="AD333" s="20" t="s">
        <v>2061</v>
      </c>
      <c r="AE333" s="20">
        <v>26</v>
      </c>
      <c r="AF333" s="20">
        <v>8</v>
      </c>
      <c r="AG333" s="20">
        <v>2001</v>
      </c>
      <c r="AH333" s="21">
        <v>37129</v>
      </c>
    </row>
    <row r="334" spans="1:34" x14ac:dyDescent="0.25">
      <c r="A334" s="35">
        <v>1849</v>
      </c>
      <c r="B334" s="20" t="s">
        <v>1838</v>
      </c>
      <c r="C334" s="20" t="s">
        <v>1838</v>
      </c>
      <c r="D334" s="94" t="s">
        <v>1776</v>
      </c>
      <c r="E334" s="20" t="s">
        <v>2059</v>
      </c>
      <c r="F334" s="20" t="s">
        <v>1847</v>
      </c>
      <c r="G334" s="31" t="s">
        <v>40</v>
      </c>
      <c r="H334" s="32">
        <v>1</v>
      </c>
      <c r="J334" s="32">
        <v>1</v>
      </c>
      <c r="O334" s="20">
        <v>0</v>
      </c>
      <c r="P334" s="20">
        <v>1</v>
      </c>
      <c r="Q334" s="20">
        <v>0</v>
      </c>
      <c r="R334" s="20">
        <v>0</v>
      </c>
      <c r="X334" s="20">
        <v>1</v>
      </c>
      <c r="Z334" s="20" t="s">
        <v>100</v>
      </c>
      <c r="AA334" s="20" t="s">
        <v>1860</v>
      </c>
      <c r="AB334" s="31">
        <f>VLOOKUP(AA334,Masters!$K$2:$L$183,2,FALSE)</f>
        <v>1002</v>
      </c>
      <c r="AC334" s="20" t="s">
        <v>2063</v>
      </c>
      <c r="AD334" s="20" t="s">
        <v>2060</v>
      </c>
      <c r="AE334" s="20">
        <v>9</v>
      </c>
      <c r="AF334" s="20">
        <v>4</v>
      </c>
      <c r="AG334" s="20">
        <v>2002</v>
      </c>
      <c r="AH334" s="21">
        <v>37355</v>
      </c>
    </row>
    <row r="335" spans="1:34" x14ac:dyDescent="0.25">
      <c r="A335" s="35">
        <v>1917</v>
      </c>
      <c r="B335" s="20" t="s">
        <v>1838</v>
      </c>
      <c r="C335" s="20" t="s">
        <v>1838</v>
      </c>
      <c r="E335" s="20" t="s">
        <v>2053</v>
      </c>
      <c r="F335" s="20" t="s">
        <v>1844</v>
      </c>
      <c r="G335" s="31" t="s">
        <v>35</v>
      </c>
      <c r="I335" s="208">
        <v>1</v>
      </c>
      <c r="J335" s="208">
        <v>1</v>
      </c>
      <c r="K335" s="208"/>
      <c r="L335" s="209"/>
      <c r="M335" s="208"/>
      <c r="N335" s="208"/>
      <c r="O335" s="210">
        <v>0</v>
      </c>
      <c r="P335" s="210">
        <v>0</v>
      </c>
      <c r="Q335" s="210">
        <v>1</v>
      </c>
      <c r="R335" s="210">
        <v>0</v>
      </c>
      <c r="X335" s="20">
        <v>1</v>
      </c>
      <c r="Z335" s="20" t="s">
        <v>34</v>
      </c>
      <c r="AA335" s="20" t="s">
        <v>1860</v>
      </c>
      <c r="AB335" s="31">
        <f>VLOOKUP(AA335,Masters!$K$2:$L$183,2,FALSE)</f>
        <v>1002</v>
      </c>
      <c r="AC335" s="20" t="s">
        <v>2063</v>
      </c>
      <c r="AE335" s="20">
        <v>18</v>
      </c>
      <c r="AF335" s="20">
        <v>4</v>
      </c>
      <c r="AG335" s="20">
        <v>2000</v>
      </c>
      <c r="AH335" s="21">
        <v>36634</v>
      </c>
    </row>
    <row r="336" spans="1:34" x14ac:dyDescent="0.25">
      <c r="A336" s="35">
        <v>1918</v>
      </c>
      <c r="B336" s="20" t="s">
        <v>1838</v>
      </c>
      <c r="C336" s="20" t="s">
        <v>1838</v>
      </c>
      <c r="E336" s="20" t="s">
        <v>2056</v>
      </c>
      <c r="F336" s="20" t="s">
        <v>1843</v>
      </c>
      <c r="G336" s="31" t="s">
        <v>35</v>
      </c>
      <c r="I336" s="208">
        <v>1</v>
      </c>
      <c r="J336" s="208">
        <v>1</v>
      </c>
      <c r="K336" s="208"/>
      <c r="L336" s="209"/>
      <c r="M336" s="208"/>
      <c r="N336" s="208"/>
      <c r="O336" s="210">
        <v>0</v>
      </c>
      <c r="P336" s="210">
        <v>0</v>
      </c>
      <c r="Q336" s="210">
        <v>1</v>
      </c>
      <c r="R336" s="210">
        <v>0</v>
      </c>
      <c r="X336" s="20">
        <v>1</v>
      </c>
      <c r="Z336" s="20" t="s">
        <v>78</v>
      </c>
      <c r="AA336" s="20" t="s">
        <v>1863</v>
      </c>
      <c r="AB336" s="31">
        <f>VLOOKUP(AA336,Masters!$K$2:$L$183,2,FALSE)</f>
        <v>1005</v>
      </c>
      <c r="AC336" s="20" t="s">
        <v>2063</v>
      </c>
      <c r="AE336" s="20">
        <v>25</v>
      </c>
      <c r="AF336" s="20">
        <v>8</v>
      </c>
      <c r="AG336" s="20">
        <v>2004</v>
      </c>
      <c r="AH336" s="21">
        <v>38224</v>
      </c>
    </row>
    <row r="337" spans="1:34" x14ac:dyDescent="0.25">
      <c r="A337" s="35">
        <v>1919</v>
      </c>
      <c r="B337" s="20" t="s">
        <v>1838</v>
      </c>
      <c r="C337" s="20" t="s">
        <v>1838</v>
      </c>
      <c r="E337" s="20" t="s">
        <v>133</v>
      </c>
      <c r="F337" s="20" t="s">
        <v>1845</v>
      </c>
      <c r="G337" s="31" t="s">
        <v>35</v>
      </c>
      <c r="I337" s="208">
        <v>1</v>
      </c>
      <c r="J337" s="208">
        <v>1</v>
      </c>
      <c r="K337" s="208"/>
      <c r="L337" s="209"/>
      <c r="M337" s="208"/>
      <c r="N337" s="208"/>
      <c r="O337" s="210">
        <v>0</v>
      </c>
      <c r="P337" s="210">
        <v>0</v>
      </c>
      <c r="Q337" s="210">
        <v>1</v>
      </c>
      <c r="R337" s="210">
        <v>0</v>
      </c>
      <c r="X337" s="20">
        <v>1</v>
      </c>
      <c r="Z337" s="20" t="s">
        <v>78</v>
      </c>
      <c r="AA337" s="20" t="s">
        <v>1860</v>
      </c>
      <c r="AB337" s="31">
        <f>VLOOKUP(AA337,Masters!$K$2:$L$183,2,FALSE)</f>
        <v>1002</v>
      </c>
      <c r="AC337" s="20" t="s">
        <v>2063</v>
      </c>
      <c r="AE337" s="20">
        <v>29</v>
      </c>
      <c r="AF337" s="20">
        <v>11</v>
      </c>
      <c r="AG337" s="20">
        <v>2002</v>
      </c>
      <c r="AH337" s="21">
        <v>37589</v>
      </c>
    </row>
    <row r="338" spans="1:34" x14ac:dyDescent="0.25">
      <c r="A338" s="35">
        <v>1920</v>
      </c>
      <c r="B338" s="20" t="s">
        <v>1838</v>
      </c>
      <c r="C338" s="20" t="s">
        <v>1838</v>
      </c>
      <c r="E338" s="20" t="s">
        <v>2056</v>
      </c>
      <c r="F338" s="20" t="s">
        <v>1846</v>
      </c>
      <c r="G338" s="31" t="s">
        <v>35</v>
      </c>
      <c r="I338" s="208">
        <v>1</v>
      </c>
      <c r="J338" s="208">
        <v>1</v>
      </c>
      <c r="K338" s="208"/>
      <c r="L338" s="209"/>
      <c r="M338" s="208"/>
      <c r="N338" s="208"/>
      <c r="O338" s="210">
        <v>0</v>
      </c>
      <c r="P338" s="210">
        <v>0</v>
      </c>
      <c r="Q338" s="210">
        <v>1</v>
      </c>
      <c r="R338" s="210">
        <v>0</v>
      </c>
      <c r="S338" s="20" t="s">
        <v>184</v>
      </c>
      <c r="T338" s="20" t="s">
        <v>36</v>
      </c>
      <c r="U338" s="20" t="s">
        <v>20</v>
      </c>
      <c r="V338" s="20" t="s">
        <v>182</v>
      </c>
      <c r="X338" s="20">
        <v>1</v>
      </c>
      <c r="Z338" s="20" t="s">
        <v>1835</v>
      </c>
      <c r="AA338" s="20" t="s">
        <v>1862</v>
      </c>
      <c r="AB338" s="31">
        <f>VLOOKUP(AA338,Masters!$K$2:$L$183,2,FALSE)</f>
        <v>1004</v>
      </c>
      <c r="AC338" s="20" t="s">
        <v>2063</v>
      </c>
      <c r="AE338" s="20">
        <v>30</v>
      </c>
      <c r="AF338" s="20">
        <v>3</v>
      </c>
      <c r="AG338" s="20">
        <v>2004</v>
      </c>
      <c r="AH338" s="21">
        <v>38076</v>
      </c>
    </row>
    <row r="339" spans="1:34" x14ac:dyDescent="0.25">
      <c r="A339" s="35">
        <v>1926</v>
      </c>
      <c r="B339" s="20" t="s">
        <v>1838</v>
      </c>
      <c r="C339" s="20" t="s">
        <v>1838</v>
      </c>
      <c r="E339" s="20" t="s">
        <v>2051</v>
      </c>
      <c r="F339" s="20" t="s">
        <v>1846</v>
      </c>
      <c r="G339" s="31" t="s">
        <v>35</v>
      </c>
      <c r="I339" s="208">
        <v>1</v>
      </c>
      <c r="J339" s="208">
        <v>1</v>
      </c>
      <c r="K339" s="208"/>
      <c r="L339" s="209"/>
      <c r="M339" s="208"/>
      <c r="N339" s="208"/>
      <c r="O339" s="210">
        <v>0</v>
      </c>
      <c r="P339" s="210">
        <v>0</v>
      </c>
      <c r="Q339" s="210">
        <v>1</v>
      </c>
      <c r="R339" s="210">
        <v>0</v>
      </c>
      <c r="X339" s="20">
        <v>1</v>
      </c>
      <c r="Z339" s="20" t="s">
        <v>1832</v>
      </c>
      <c r="AA339" s="20" t="s">
        <v>1862</v>
      </c>
      <c r="AB339" s="31">
        <f>VLOOKUP(AA339,Masters!$K$2:$L$183,2,FALSE)</f>
        <v>1004</v>
      </c>
      <c r="AC339" s="20" t="s">
        <v>2064</v>
      </c>
      <c r="AE339" s="20">
        <v>9</v>
      </c>
      <c r="AF339" s="20">
        <v>7</v>
      </c>
      <c r="AG339" s="20">
        <v>2001</v>
      </c>
      <c r="AH339" s="21">
        <v>37081</v>
      </c>
    </row>
    <row r="340" spans="1:34" x14ac:dyDescent="0.25">
      <c r="A340" s="35">
        <v>1940</v>
      </c>
      <c r="B340" s="20" t="s">
        <v>1838</v>
      </c>
      <c r="C340" s="20" t="s">
        <v>1838</v>
      </c>
      <c r="E340" s="20" t="s">
        <v>2050</v>
      </c>
      <c r="F340" s="20" t="s">
        <v>1845</v>
      </c>
      <c r="G340" s="31" t="s">
        <v>35</v>
      </c>
      <c r="I340" s="208">
        <v>1</v>
      </c>
      <c r="J340" s="208">
        <v>1</v>
      </c>
      <c r="K340" s="208"/>
      <c r="L340" s="209"/>
      <c r="M340" s="208"/>
      <c r="N340" s="208"/>
      <c r="O340" s="210">
        <v>0</v>
      </c>
      <c r="P340" s="210">
        <v>0</v>
      </c>
      <c r="Q340" s="210">
        <v>1</v>
      </c>
      <c r="R340" s="210">
        <v>0</v>
      </c>
      <c r="X340" s="20">
        <v>1</v>
      </c>
      <c r="Z340" s="20" t="s">
        <v>1848</v>
      </c>
      <c r="AA340" s="20" t="s">
        <v>1861</v>
      </c>
      <c r="AB340" s="31">
        <f>VLOOKUP(AA340,Masters!$K$2:$L$183,2,FALSE)</f>
        <v>1003</v>
      </c>
      <c r="AC340" s="20" t="s">
        <v>2063</v>
      </c>
      <c r="AE340" s="20">
        <v>24</v>
      </c>
      <c r="AF340" s="20">
        <v>10</v>
      </c>
      <c r="AG340" s="20">
        <v>2000</v>
      </c>
      <c r="AH340" s="21">
        <v>36823</v>
      </c>
    </row>
    <row r="341" spans="1:34" x14ac:dyDescent="0.25">
      <c r="A341" s="35">
        <v>1960</v>
      </c>
      <c r="B341" s="20" t="s">
        <v>1838</v>
      </c>
      <c r="C341" s="20" t="s">
        <v>1838</v>
      </c>
      <c r="E341" s="20" t="s">
        <v>133</v>
      </c>
      <c r="F341" s="20" t="s">
        <v>1843</v>
      </c>
      <c r="G341" s="31" t="s">
        <v>35</v>
      </c>
      <c r="I341" s="208">
        <v>1</v>
      </c>
      <c r="J341" s="208">
        <v>1</v>
      </c>
      <c r="K341" s="208"/>
      <c r="L341" s="209"/>
      <c r="M341" s="208"/>
      <c r="N341" s="208"/>
      <c r="O341" s="210">
        <v>0</v>
      </c>
      <c r="P341" s="210">
        <v>0</v>
      </c>
      <c r="Q341" s="210">
        <v>1</v>
      </c>
      <c r="R341" s="210">
        <v>0</v>
      </c>
      <c r="S341" s="20" t="s">
        <v>184</v>
      </c>
      <c r="T341" s="20" t="s">
        <v>36</v>
      </c>
      <c r="U341" s="20" t="s">
        <v>20</v>
      </c>
      <c r="V341" s="20" t="s">
        <v>181</v>
      </c>
      <c r="X341" s="20">
        <v>1</v>
      </c>
      <c r="Z341" s="20" t="s">
        <v>1855</v>
      </c>
      <c r="AA341" s="20" t="s">
        <v>1861</v>
      </c>
      <c r="AB341" s="31">
        <f>VLOOKUP(AA341,Masters!$K$2:$L$183,2,FALSE)</f>
        <v>1003</v>
      </c>
      <c r="AC341" s="20" t="s">
        <v>2063</v>
      </c>
      <c r="AE341" s="20">
        <v>14</v>
      </c>
      <c r="AF341" s="20">
        <v>9</v>
      </c>
      <c r="AG341" s="20">
        <v>2004</v>
      </c>
      <c r="AH341" s="21">
        <v>38244</v>
      </c>
    </row>
    <row r="342" spans="1:34" x14ac:dyDescent="0.25">
      <c r="A342" s="35">
        <v>1961</v>
      </c>
      <c r="B342" s="20" t="s">
        <v>1838</v>
      </c>
      <c r="C342" s="20" t="s">
        <v>1838</v>
      </c>
      <c r="E342" s="20" t="s">
        <v>2055</v>
      </c>
      <c r="F342" s="20" t="s">
        <v>1847</v>
      </c>
      <c r="G342" s="31" t="s">
        <v>35</v>
      </c>
      <c r="I342" s="208">
        <v>1</v>
      </c>
      <c r="J342" s="208">
        <v>1</v>
      </c>
      <c r="K342" s="208"/>
      <c r="L342" s="209"/>
      <c r="M342" s="208"/>
      <c r="N342" s="208"/>
      <c r="O342" s="210">
        <v>0</v>
      </c>
      <c r="P342" s="210">
        <v>0</v>
      </c>
      <c r="Q342" s="210">
        <v>1</v>
      </c>
      <c r="R342" s="210">
        <v>0</v>
      </c>
      <c r="X342" s="20">
        <v>1</v>
      </c>
      <c r="Z342" s="20" t="s">
        <v>753</v>
      </c>
      <c r="AA342" s="20" t="s">
        <v>1861</v>
      </c>
      <c r="AB342" s="31">
        <f>VLOOKUP(AA342,Masters!$K$2:$L$183,2,FALSE)</f>
        <v>1003</v>
      </c>
      <c r="AC342" s="20" t="s">
        <v>2063</v>
      </c>
      <c r="AE342" s="20">
        <v>2</v>
      </c>
      <c r="AF342" s="20">
        <v>11</v>
      </c>
      <c r="AG342" s="20">
        <v>2003</v>
      </c>
      <c r="AH342" s="21">
        <v>37927</v>
      </c>
    </row>
    <row r="343" spans="1:34" x14ac:dyDescent="0.25">
      <c r="A343" s="35">
        <v>1962</v>
      </c>
      <c r="B343" s="20" t="s">
        <v>1838</v>
      </c>
      <c r="C343" s="20" t="s">
        <v>1838</v>
      </c>
      <c r="E343" s="20" t="s">
        <v>2057</v>
      </c>
      <c r="F343" s="20" t="s">
        <v>1843</v>
      </c>
      <c r="G343" s="31" t="s">
        <v>35</v>
      </c>
      <c r="I343" s="208">
        <v>1</v>
      </c>
      <c r="J343" s="208">
        <v>1</v>
      </c>
      <c r="K343" s="208"/>
      <c r="L343" s="209"/>
      <c r="M343" s="208"/>
      <c r="N343" s="208"/>
      <c r="O343" s="210">
        <v>0</v>
      </c>
      <c r="P343" s="210">
        <v>0</v>
      </c>
      <c r="Q343" s="210">
        <v>1</v>
      </c>
      <c r="R343" s="210">
        <v>0</v>
      </c>
      <c r="X343" s="20">
        <v>1</v>
      </c>
      <c r="Z343" s="20" t="s">
        <v>1856</v>
      </c>
      <c r="AA343" s="20" t="s">
        <v>1859</v>
      </c>
      <c r="AB343" s="31">
        <f>VLOOKUP(AA343,Masters!$K$2:$L$183,2,FALSE)</f>
        <v>1001</v>
      </c>
      <c r="AC343" s="20" t="s">
        <v>2063</v>
      </c>
      <c r="AE343" s="20">
        <v>13</v>
      </c>
      <c r="AF343" s="20">
        <v>11</v>
      </c>
      <c r="AG343" s="20">
        <v>2003</v>
      </c>
      <c r="AH343" s="21">
        <v>37938</v>
      </c>
    </row>
    <row r="344" spans="1:34" x14ac:dyDescent="0.25">
      <c r="A344" s="35">
        <v>1367</v>
      </c>
      <c r="B344" s="20" t="s">
        <v>1838</v>
      </c>
      <c r="C344" s="20" t="s">
        <v>1838</v>
      </c>
      <c r="D344" s="94" t="s">
        <v>1294</v>
      </c>
      <c r="E344" s="20" t="s">
        <v>133</v>
      </c>
      <c r="F344" s="20" t="s">
        <v>1845</v>
      </c>
      <c r="G344" s="31" t="s">
        <v>40</v>
      </c>
      <c r="H344" s="32">
        <v>1</v>
      </c>
      <c r="J344" s="32">
        <v>1</v>
      </c>
      <c r="O344" s="20">
        <v>0</v>
      </c>
      <c r="P344" s="20">
        <v>1</v>
      </c>
      <c r="Q344" s="20">
        <v>0</v>
      </c>
      <c r="R344" s="20">
        <v>0</v>
      </c>
      <c r="X344" s="20">
        <v>1</v>
      </c>
      <c r="Z344" s="20" t="s">
        <v>201</v>
      </c>
      <c r="AA344" s="20" t="s">
        <v>1861</v>
      </c>
      <c r="AB344" s="31">
        <f>VLOOKUP(AA344,Masters!$K$2:$L$183,2,FALSE)</f>
        <v>1003</v>
      </c>
      <c r="AC344" s="20" t="s">
        <v>2063</v>
      </c>
      <c r="AD344" s="20" t="s">
        <v>2061</v>
      </c>
      <c r="AE344" s="20">
        <v>16</v>
      </c>
      <c r="AF344" s="20">
        <v>3</v>
      </c>
      <c r="AG344" s="20">
        <v>2002</v>
      </c>
      <c r="AH344" s="21">
        <v>37331</v>
      </c>
    </row>
    <row r="345" spans="1:34" x14ac:dyDescent="0.25">
      <c r="A345" s="35">
        <v>1410</v>
      </c>
      <c r="B345" s="20" t="s">
        <v>1838</v>
      </c>
      <c r="C345" s="20" t="s">
        <v>1838</v>
      </c>
      <c r="D345" s="94" t="s">
        <v>1337</v>
      </c>
      <c r="E345" s="20" t="s">
        <v>126</v>
      </c>
      <c r="F345" s="20" t="s">
        <v>1843</v>
      </c>
      <c r="G345" s="31" t="s">
        <v>40</v>
      </c>
      <c r="H345" s="32">
        <v>1</v>
      </c>
      <c r="J345" s="32">
        <v>1</v>
      </c>
      <c r="O345" s="20">
        <v>0</v>
      </c>
      <c r="P345" s="20">
        <v>1</v>
      </c>
      <c r="Q345" s="20">
        <v>0</v>
      </c>
      <c r="R345" s="20">
        <v>0</v>
      </c>
      <c r="X345" s="20">
        <v>1</v>
      </c>
      <c r="Z345" s="20" t="s">
        <v>1850</v>
      </c>
      <c r="AA345" s="20" t="s">
        <v>1861</v>
      </c>
      <c r="AB345" s="31">
        <f>VLOOKUP(AA345,Masters!$K$2:$L$183,2,FALSE)</f>
        <v>1003</v>
      </c>
      <c r="AC345" s="20" t="s">
        <v>2063</v>
      </c>
      <c r="AD345" s="20" t="s">
        <v>2061</v>
      </c>
      <c r="AE345" s="20">
        <v>9</v>
      </c>
      <c r="AF345" s="20">
        <v>4</v>
      </c>
      <c r="AG345" s="20">
        <v>2001</v>
      </c>
      <c r="AH345" s="21">
        <v>36990</v>
      </c>
    </row>
    <row r="346" spans="1:34" x14ac:dyDescent="0.25">
      <c r="A346" s="35">
        <v>1425</v>
      </c>
      <c r="B346" s="20" t="s">
        <v>1838</v>
      </c>
      <c r="C346" s="20" t="s">
        <v>1838</v>
      </c>
      <c r="D346" s="94" t="s">
        <v>1352</v>
      </c>
      <c r="E346" s="20" t="s">
        <v>2056</v>
      </c>
      <c r="F346" s="20" t="s">
        <v>1847</v>
      </c>
      <c r="G346" s="31" t="s">
        <v>40</v>
      </c>
      <c r="H346" s="32">
        <v>1</v>
      </c>
      <c r="J346" s="32">
        <v>1</v>
      </c>
      <c r="O346" s="20">
        <v>0</v>
      </c>
      <c r="P346" s="20">
        <v>1</v>
      </c>
      <c r="Q346" s="20">
        <v>0</v>
      </c>
      <c r="R346" s="20">
        <v>0</v>
      </c>
      <c r="X346" s="20">
        <v>1</v>
      </c>
      <c r="Z346" s="20" t="s">
        <v>58</v>
      </c>
      <c r="AA346" s="20" t="s">
        <v>1862</v>
      </c>
      <c r="AB346" s="31">
        <f>VLOOKUP(AA346,Masters!$K$2:$L$183,2,FALSE)</f>
        <v>1004</v>
      </c>
      <c r="AC346" s="20" t="s">
        <v>2064</v>
      </c>
      <c r="AD346" s="20" t="s">
        <v>2061</v>
      </c>
      <c r="AE346" s="20">
        <v>14</v>
      </c>
      <c r="AF346" s="20">
        <v>3</v>
      </c>
      <c r="AG346" s="20">
        <v>2003</v>
      </c>
      <c r="AH346" s="21">
        <v>37694</v>
      </c>
    </row>
    <row r="347" spans="1:34" x14ac:dyDescent="0.25">
      <c r="A347" s="35">
        <v>1432</v>
      </c>
      <c r="B347" s="20" t="s">
        <v>1838</v>
      </c>
      <c r="C347" s="20" t="s">
        <v>1838</v>
      </c>
      <c r="D347" s="94" t="s">
        <v>1359</v>
      </c>
      <c r="E347" s="20" t="s">
        <v>135</v>
      </c>
      <c r="F347" s="20" t="s">
        <v>1847</v>
      </c>
      <c r="G347" s="31" t="s">
        <v>40</v>
      </c>
      <c r="H347" s="32">
        <v>1</v>
      </c>
      <c r="J347" s="32">
        <v>1</v>
      </c>
      <c r="O347" s="20">
        <v>0</v>
      </c>
      <c r="P347" s="20">
        <v>1</v>
      </c>
      <c r="Q347" s="20">
        <v>0</v>
      </c>
      <c r="R347" s="20">
        <v>0</v>
      </c>
      <c r="X347" s="20">
        <v>1</v>
      </c>
      <c r="Z347" s="20" t="s">
        <v>1835</v>
      </c>
      <c r="AA347" s="20" t="s">
        <v>1859</v>
      </c>
      <c r="AB347" s="31">
        <f>VLOOKUP(AA347,Masters!$K$2:$L$183,2,FALSE)</f>
        <v>1001</v>
      </c>
      <c r="AC347" s="20" t="s">
        <v>2063</v>
      </c>
      <c r="AD347" s="20" t="s">
        <v>2061</v>
      </c>
      <c r="AE347" s="20">
        <v>27</v>
      </c>
      <c r="AF347" s="20">
        <v>12</v>
      </c>
      <c r="AG347" s="20">
        <v>2005</v>
      </c>
      <c r="AH347" s="21">
        <v>38713</v>
      </c>
    </row>
    <row r="348" spans="1:34" x14ac:dyDescent="0.25">
      <c r="A348" s="35">
        <v>1447</v>
      </c>
      <c r="B348" s="20" t="s">
        <v>1838</v>
      </c>
      <c r="C348" s="20" t="s">
        <v>1838</v>
      </c>
      <c r="D348" s="94" t="s">
        <v>1374</v>
      </c>
      <c r="E348" s="20" t="s">
        <v>2056</v>
      </c>
      <c r="F348" s="20" t="s">
        <v>1846</v>
      </c>
      <c r="G348" s="31" t="s">
        <v>40</v>
      </c>
      <c r="H348" s="32">
        <v>1</v>
      </c>
      <c r="J348" s="32">
        <v>1</v>
      </c>
      <c r="O348" s="20">
        <v>0</v>
      </c>
      <c r="P348" s="20">
        <v>1</v>
      </c>
      <c r="Q348" s="20">
        <v>0</v>
      </c>
      <c r="R348" s="20">
        <v>0</v>
      </c>
      <c r="X348" s="20">
        <v>1</v>
      </c>
      <c r="Z348" s="20" t="s">
        <v>753</v>
      </c>
      <c r="AA348" s="20" t="s">
        <v>1861</v>
      </c>
      <c r="AB348" s="31">
        <f>VLOOKUP(AA348,Masters!$K$2:$L$183,2,FALSE)</f>
        <v>1003</v>
      </c>
      <c r="AC348" s="20" t="s">
        <v>2063</v>
      </c>
      <c r="AD348" s="20" t="s">
        <v>2061</v>
      </c>
      <c r="AE348" s="20">
        <v>24</v>
      </c>
      <c r="AF348" s="20">
        <v>2</v>
      </c>
      <c r="AG348" s="20">
        <v>2002</v>
      </c>
      <c r="AH348" s="21">
        <v>37311</v>
      </c>
    </row>
    <row r="349" spans="1:34" x14ac:dyDescent="0.25">
      <c r="A349" s="35">
        <v>1466</v>
      </c>
      <c r="B349" s="20" t="s">
        <v>1838</v>
      </c>
      <c r="C349" s="20" t="s">
        <v>1838</v>
      </c>
      <c r="D349" s="94" t="s">
        <v>1393</v>
      </c>
      <c r="E349" s="20" t="s">
        <v>2058</v>
      </c>
      <c r="F349" s="20" t="s">
        <v>1846</v>
      </c>
      <c r="G349" s="31" t="s">
        <v>40</v>
      </c>
      <c r="H349" s="32">
        <v>1</v>
      </c>
      <c r="J349" s="32">
        <v>1</v>
      </c>
      <c r="O349" s="20">
        <v>0</v>
      </c>
      <c r="P349" s="20">
        <v>1</v>
      </c>
      <c r="Q349" s="20">
        <v>0</v>
      </c>
      <c r="R349" s="20">
        <v>0</v>
      </c>
      <c r="X349" s="20">
        <v>1</v>
      </c>
      <c r="Z349" s="20" t="s">
        <v>1850</v>
      </c>
      <c r="AA349" s="20" t="s">
        <v>1862</v>
      </c>
      <c r="AB349" s="31">
        <f>VLOOKUP(AA349,Masters!$K$2:$L$183,2,FALSE)</f>
        <v>1004</v>
      </c>
      <c r="AC349" s="20" t="s">
        <v>2064</v>
      </c>
      <c r="AD349" s="20" t="s">
        <v>2061</v>
      </c>
      <c r="AE349" s="20">
        <v>30</v>
      </c>
      <c r="AF349" s="20">
        <v>3</v>
      </c>
      <c r="AG349" s="20">
        <v>2005</v>
      </c>
      <c r="AH349" s="21">
        <v>38441</v>
      </c>
    </row>
    <row r="350" spans="1:34" x14ac:dyDescent="0.25">
      <c r="A350" s="35">
        <v>1616</v>
      </c>
      <c r="B350" s="20" t="s">
        <v>1838</v>
      </c>
      <c r="C350" s="20" t="s">
        <v>1838</v>
      </c>
      <c r="D350" s="94" t="s">
        <v>1543</v>
      </c>
      <c r="E350" s="20" t="s">
        <v>2056</v>
      </c>
      <c r="F350" s="20" t="s">
        <v>1846</v>
      </c>
      <c r="G350" s="31" t="s">
        <v>40</v>
      </c>
      <c r="H350" s="32">
        <v>1</v>
      </c>
      <c r="J350" s="32">
        <v>1</v>
      </c>
      <c r="O350" s="20">
        <v>0</v>
      </c>
      <c r="P350" s="20">
        <v>1</v>
      </c>
      <c r="Q350" s="20">
        <v>0</v>
      </c>
      <c r="R350" s="20">
        <v>0</v>
      </c>
      <c r="X350" s="20">
        <v>1</v>
      </c>
      <c r="Z350" s="20" t="s">
        <v>1832</v>
      </c>
      <c r="AA350" s="20" t="s">
        <v>1862</v>
      </c>
      <c r="AB350" s="31">
        <f>VLOOKUP(AA350,Masters!$K$2:$L$183,2,FALSE)</f>
        <v>1004</v>
      </c>
      <c r="AC350" s="20" t="s">
        <v>2063</v>
      </c>
      <c r="AD350" s="20" t="s">
        <v>2061</v>
      </c>
      <c r="AE350" s="20">
        <v>11</v>
      </c>
      <c r="AF350" s="20">
        <v>8</v>
      </c>
      <c r="AG350" s="20">
        <v>2000</v>
      </c>
      <c r="AH350" s="21">
        <v>36749</v>
      </c>
    </row>
    <row r="351" spans="1:34" x14ac:dyDescent="0.25">
      <c r="A351" s="35">
        <v>1005</v>
      </c>
      <c r="B351" s="22" t="s">
        <v>1839</v>
      </c>
      <c r="C351" s="22" t="s">
        <v>1839</v>
      </c>
      <c r="D351" s="94" t="s">
        <v>932</v>
      </c>
      <c r="E351" s="20" t="s">
        <v>135</v>
      </c>
      <c r="F351" s="20" t="s">
        <v>1846</v>
      </c>
      <c r="G351" s="35" t="s">
        <v>40</v>
      </c>
      <c r="H351" s="36">
        <v>1</v>
      </c>
      <c r="I351" s="36" t="s">
        <v>263</v>
      </c>
      <c r="J351" s="41">
        <v>1</v>
      </c>
      <c r="K351" s="37" t="s">
        <v>263</v>
      </c>
      <c r="L351" s="37" t="s">
        <v>263</v>
      </c>
      <c r="M351" s="37" t="s">
        <v>263</v>
      </c>
      <c r="N351" s="36" t="s">
        <v>263</v>
      </c>
      <c r="O351" s="39" t="s">
        <v>265</v>
      </c>
      <c r="P351" s="40" t="s">
        <v>264</v>
      </c>
      <c r="Q351" s="36" t="s">
        <v>265</v>
      </c>
      <c r="R351" s="24" t="s">
        <v>265</v>
      </c>
      <c r="S351" s="24" t="s">
        <v>263</v>
      </c>
      <c r="T351" s="24" t="s">
        <v>263</v>
      </c>
      <c r="U351" s="24" t="s">
        <v>263</v>
      </c>
      <c r="V351" s="42" t="s">
        <v>263</v>
      </c>
      <c r="X351" s="24" t="s">
        <v>264</v>
      </c>
      <c r="Y351" s="24" t="s">
        <v>263</v>
      </c>
      <c r="Z351" s="20" t="s">
        <v>201</v>
      </c>
      <c r="AA351" s="20" t="s">
        <v>1862</v>
      </c>
      <c r="AB351" s="31">
        <f>VLOOKUP(AA351,Masters!$K$2:$L$183,2,FALSE)</f>
        <v>1004</v>
      </c>
      <c r="AC351" s="24" t="s">
        <v>2063</v>
      </c>
      <c r="AD351" s="24" t="s">
        <v>2061</v>
      </c>
      <c r="AE351" s="20">
        <v>11</v>
      </c>
      <c r="AF351" s="20">
        <v>10</v>
      </c>
      <c r="AG351" s="20">
        <v>2001</v>
      </c>
      <c r="AH351" s="21">
        <v>37175</v>
      </c>
    </row>
    <row r="352" spans="1:34" x14ac:dyDescent="0.25">
      <c r="A352" s="35">
        <v>1013</v>
      </c>
      <c r="B352" s="22" t="s">
        <v>1839</v>
      </c>
      <c r="C352" s="22" t="s">
        <v>1839</v>
      </c>
      <c r="D352" s="94" t="s">
        <v>940</v>
      </c>
      <c r="E352" s="20" t="s">
        <v>126</v>
      </c>
      <c r="F352" s="20" t="s">
        <v>1847</v>
      </c>
      <c r="G352" s="31" t="s">
        <v>40</v>
      </c>
      <c r="H352" s="32">
        <v>1</v>
      </c>
      <c r="J352" s="32">
        <v>1</v>
      </c>
      <c r="O352" s="20">
        <v>0</v>
      </c>
      <c r="P352" s="20">
        <v>1</v>
      </c>
      <c r="Q352" s="20">
        <v>0</v>
      </c>
      <c r="R352" s="20">
        <v>0</v>
      </c>
      <c r="X352" s="20">
        <v>1</v>
      </c>
      <c r="Z352" s="20" t="s">
        <v>753</v>
      </c>
      <c r="AA352" s="20" t="s">
        <v>1860</v>
      </c>
      <c r="AB352" s="31">
        <f>VLOOKUP(AA352,Masters!$K$2:$L$183,2,FALSE)</f>
        <v>1002</v>
      </c>
      <c r="AC352" s="20" t="s">
        <v>2063</v>
      </c>
      <c r="AD352" s="20" t="s">
        <v>2061</v>
      </c>
      <c r="AE352" s="20">
        <v>1</v>
      </c>
      <c r="AF352" s="20">
        <v>6</v>
      </c>
      <c r="AG352" s="20">
        <v>2000</v>
      </c>
      <c r="AH352" s="21">
        <v>36678</v>
      </c>
    </row>
    <row r="353" spans="1:34" x14ac:dyDescent="0.25">
      <c r="A353" s="35">
        <v>1014</v>
      </c>
      <c r="B353" s="22" t="s">
        <v>1839</v>
      </c>
      <c r="C353" s="22" t="s">
        <v>1839</v>
      </c>
      <c r="D353" s="94" t="s">
        <v>941</v>
      </c>
      <c r="E353" s="20" t="s">
        <v>2052</v>
      </c>
      <c r="F353" s="20" t="s">
        <v>1843</v>
      </c>
      <c r="G353" s="31" t="s">
        <v>40</v>
      </c>
      <c r="H353" s="32">
        <v>1</v>
      </c>
      <c r="I353" s="32" t="s">
        <v>263</v>
      </c>
      <c r="J353" s="33">
        <v>1</v>
      </c>
      <c r="K353" s="34" t="s">
        <v>263</v>
      </c>
      <c r="L353" s="32" t="s">
        <v>263</v>
      </c>
      <c r="M353" s="32" t="s">
        <v>263</v>
      </c>
      <c r="N353" s="20" t="s">
        <v>263</v>
      </c>
      <c r="O353" s="20" t="s">
        <v>265</v>
      </c>
      <c r="P353" s="20" t="s">
        <v>264</v>
      </c>
      <c r="Q353" s="20" t="s">
        <v>265</v>
      </c>
      <c r="R353" s="20" t="s">
        <v>265</v>
      </c>
      <c r="S353" s="20" t="s">
        <v>263</v>
      </c>
      <c r="T353" s="20" t="s">
        <v>263</v>
      </c>
      <c r="U353" s="20" t="s">
        <v>263</v>
      </c>
      <c r="V353" s="21" t="s">
        <v>263</v>
      </c>
      <c r="W353" s="20"/>
      <c r="X353" s="20" t="s">
        <v>264</v>
      </c>
      <c r="Y353" s="20" t="s">
        <v>263</v>
      </c>
      <c r="Z353" s="20" t="s">
        <v>1856</v>
      </c>
      <c r="AA353" s="20" t="s">
        <v>1859</v>
      </c>
      <c r="AB353" s="31">
        <f>VLOOKUP(AA353,Masters!$K$2:$L$183,2,FALSE)</f>
        <v>1001</v>
      </c>
      <c r="AC353" s="20" t="s">
        <v>2063</v>
      </c>
      <c r="AD353" s="20" t="s">
        <v>2061</v>
      </c>
      <c r="AE353" s="20">
        <v>25</v>
      </c>
      <c r="AF353" s="20">
        <v>11</v>
      </c>
      <c r="AG353" s="20">
        <v>2001</v>
      </c>
      <c r="AH353" s="21">
        <v>37220</v>
      </c>
    </row>
    <row r="354" spans="1:34" x14ac:dyDescent="0.25">
      <c r="A354" s="35">
        <v>1047</v>
      </c>
      <c r="B354" s="22" t="s">
        <v>1839</v>
      </c>
      <c r="C354" s="22" t="s">
        <v>1839</v>
      </c>
      <c r="D354" s="94" t="s">
        <v>974</v>
      </c>
      <c r="E354" s="20" t="s">
        <v>2059</v>
      </c>
      <c r="F354" s="20" t="s">
        <v>1846</v>
      </c>
      <c r="G354" s="31" t="s">
        <v>40</v>
      </c>
      <c r="H354" s="32">
        <v>1</v>
      </c>
      <c r="J354" s="32">
        <v>1</v>
      </c>
      <c r="O354" s="20">
        <v>0</v>
      </c>
      <c r="P354" s="20">
        <v>1</v>
      </c>
      <c r="Q354" s="20">
        <v>0</v>
      </c>
      <c r="R354" s="20">
        <v>0</v>
      </c>
      <c r="X354" s="20">
        <v>1</v>
      </c>
      <c r="Z354" s="20" t="s">
        <v>1832</v>
      </c>
      <c r="AA354" s="20" t="s">
        <v>1859</v>
      </c>
      <c r="AB354" s="31">
        <f>VLOOKUP(AA354,Masters!$K$2:$L$183,2,FALSE)</f>
        <v>1001</v>
      </c>
      <c r="AC354" s="20" t="s">
        <v>2063</v>
      </c>
      <c r="AD354" s="20" t="s">
        <v>2061</v>
      </c>
      <c r="AE354" s="20">
        <v>25</v>
      </c>
      <c r="AF354" s="20">
        <v>4</v>
      </c>
      <c r="AG354" s="20">
        <v>2004</v>
      </c>
      <c r="AH354" s="21">
        <v>38102</v>
      </c>
    </row>
    <row r="355" spans="1:34" x14ac:dyDescent="0.25">
      <c r="A355" s="35">
        <v>1048</v>
      </c>
      <c r="B355" s="22" t="s">
        <v>1839</v>
      </c>
      <c r="C355" s="22" t="s">
        <v>1839</v>
      </c>
      <c r="D355" s="94" t="s">
        <v>975</v>
      </c>
      <c r="E355" s="20" t="s">
        <v>2050</v>
      </c>
      <c r="F355" s="20" t="s">
        <v>1846</v>
      </c>
      <c r="G355" s="31" t="s">
        <v>40</v>
      </c>
      <c r="H355" s="32">
        <v>1</v>
      </c>
      <c r="J355" s="32">
        <v>1</v>
      </c>
      <c r="O355" s="20">
        <v>0</v>
      </c>
      <c r="P355" s="20">
        <v>1</v>
      </c>
      <c r="Q355" s="20">
        <v>0</v>
      </c>
      <c r="R355" s="20">
        <v>0</v>
      </c>
      <c r="X355" s="20">
        <v>1</v>
      </c>
      <c r="Z355" s="20" t="s">
        <v>1852</v>
      </c>
      <c r="AA355" s="20" t="s">
        <v>1859</v>
      </c>
      <c r="AB355" s="31">
        <f>VLOOKUP(AA355,Masters!$K$2:$L$183,2,FALSE)</f>
        <v>1001</v>
      </c>
      <c r="AC355" s="20" t="s">
        <v>2063</v>
      </c>
      <c r="AD355" s="20" t="s">
        <v>2061</v>
      </c>
      <c r="AE355" s="20">
        <v>28</v>
      </c>
      <c r="AF355" s="20">
        <v>2</v>
      </c>
      <c r="AG355" s="20">
        <v>2000</v>
      </c>
      <c r="AH355" s="21">
        <v>36584</v>
      </c>
    </row>
    <row r="356" spans="1:34" x14ac:dyDescent="0.25">
      <c r="A356" s="35">
        <v>1054</v>
      </c>
      <c r="B356" s="22" t="s">
        <v>1839</v>
      </c>
      <c r="C356" s="22" t="s">
        <v>1839</v>
      </c>
      <c r="D356" s="94" t="s">
        <v>981</v>
      </c>
      <c r="E356" s="20" t="s">
        <v>133</v>
      </c>
      <c r="F356" s="20" t="s">
        <v>1844</v>
      </c>
      <c r="G356" s="31" t="s">
        <v>40</v>
      </c>
      <c r="H356" s="32">
        <v>1</v>
      </c>
      <c r="J356" s="32">
        <v>1</v>
      </c>
      <c r="O356" s="20">
        <v>0</v>
      </c>
      <c r="P356" s="20">
        <v>1</v>
      </c>
      <c r="Q356" s="20">
        <v>0</v>
      </c>
      <c r="R356" s="20">
        <v>0</v>
      </c>
      <c r="X356" s="20">
        <v>1</v>
      </c>
      <c r="Z356" s="20" t="s">
        <v>1856</v>
      </c>
      <c r="AA356" s="20" t="s">
        <v>1859</v>
      </c>
      <c r="AB356" s="31">
        <f>VLOOKUP(AA356,Masters!$K$2:$L$183,2,FALSE)</f>
        <v>1001</v>
      </c>
      <c r="AC356" s="20" t="s">
        <v>2063</v>
      </c>
      <c r="AD356" s="20" t="s">
        <v>2061</v>
      </c>
      <c r="AE356" s="20">
        <v>9</v>
      </c>
      <c r="AF356" s="20">
        <v>3</v>
      </c>
      <c r="AG356" s="20">
        <v>2000</v>
      </c>
      <c r="AH356" s="21">
        <v>36594</v>
      </c>
    </row>
    <row r="357" spans="1:34" x14ac:dyDescent="0.25">
      <c r="A357" s="35">
        <v>1064</v>
      </c>
      <c r="B357" s="22" t="s">
        <v>1839</v>
      </c>
      <c r="C357" s="22" t="s">
        <v>1839</v>
      </c>
      <c r="D357" s="94" t="s">
        <v>991</v>
      </c>
      <c r="E357" s="20" t="s">
        <v>2059</v>
      </c>
      <c r="F357" s="20" t="s">
        <v>1843</v>
      </c>
      <c r="G357" s="31" t="s">
        <v>40</v>
      </c>
      <c r="H357" s="32">
        <v>1</v>
      </c>
      <c r="J357" s="32">
        <v>1</v>
      </c>
      <c r="O357" s="20">
        <v>0</v>
      </c>
      <c r="P357" s="20">
        <v>1</v>
      </c>
      <c r="Q357" s="20">
        <v>0</v>
      </c>
      <c r="R357" s="20">
        <v>0</v>
      </c>
      <c r="X357" s="20">
        <v>1</v>
      </c>
      <c r="Z357" s="20" t="s">
        <v>1835</v>
      </c>
      <c r="AA357" s="20" t="s">
        <v>1860</v>
      </c>
      <c r="AB357" s="31">
        <f>VLOOKUP(AA357,Masters!$K$2:$L$183,2,FALSE)</f>
        <v>1002</v>
      </c>
      <c r="AC357" s="20" t="s">
        <v>2063</v>
      </c>
      <c r="AD357" s="20" t="s">
        <v>2061</v>
      </c>
      <c r="AE357" s="20">
        <v>11</v>
      </c>
      <c r="AF357" s="20">
        <v>12</v>
      </c>
      <c r="AG357" s="20">
        <v>2000</v>
      </c>
      <c r="AH357" s="21">
        <v>36871</v>
      </c>
    </row>
    <row r="358" spans="1:34" x14ac:dyDescent="0.25">
      <c r="A358" s="35">
        <v>1065</v>
      </c>
      <c r="B358" s="22" t="s">
        <v>1839</v>
      </c>
      <c r="C358" s="22" t="s">
        <v>1839</v>
      </c>
      <c r="D358" s="94" t="s">
        <v>992</v>
      </c>
      <c r="E358" s="20" t="s">
        <v>2050</v>
      </c>
      <c r="F358" s="20" t="s">
        <v>1844</v>
      </c>
      <c r="G358" s="31" t="s">
        <v>40</v>
      </c>
      <c r="H358" s="32">
        <v>1</v>
      </c>
      <c r="J358" s="32">
        <v>1</v>
      </c>
      <c r="O358" s="20">
        <v>0</v>
      </c>
      <c r="P358" s="20">
        <v>1</v>
      </c>
      <c r="Q358" s="20">
        <v>0</v>
      </c>
      <c r="R358" s="20">
        <v>0</v>
      </c>
      <c r="X358" s="20">
        <v>1</v>
      </c>
      <c r="Z358" s="20" t="s">
        <v>34</v>
      </c>
      <c r="AA358" s="20" t="s">
        <v>1861</v>
      </c>
      <c r="AB358" s="31">
        <f>VLOOKUP(AA358,Masters!$K$2:$L$183,2,FALSE)</f>
        <v>1003</v>
      </c>
      <c r="AC358" s="20" t="s">
        <v>2064</v>
      </c>
      <c r="AD358" s="20" t="s">
        <v>2061</v>
      </c>
      <c r="AE358" s="20">
        <v>13</v>
      </c>
      <c r="AF358" s="20">
        <v>2</v>
      </c>
      <c r="AG358" s="20">
        <v>2005</v>
      </c>
      <c r="AH358" s="21">
        <v>38396</v>
      </c>
    </row>
    <row r="359" spans="1:34" x14ac:dyDescent="0.25">
      <c r="A359" s="35">
        <v>1066</v>
      </c>
      <c r="B359" s="22" t="s">
        <v>1839</v>
      </c>
      <c r="C359" s="22" t="s">
        <v>1839</v>
      </c>
      <c r="D359" s="94" t="s">
        <v>993</v>
      </c>
      <c r="E359" s="20" t="s">
        <v>2058</v>
      </c>
      <c r="F359" s="20" t="s">
        <v>1843</v>
      </c>
      <c r="G359" s="31" t="s">
        <v>40</v>
      </c>
      <c r="H359" s="32">
        <v>1</v>
      </c>
      <c r="J359" s="32">
        <v>1</v>
      </c>
      <c r="O359" s="20">
        <v>0</v>
      </c>
      <c r="P359" s="20">
        <v>1</v>
      </c>
      <c r="Q359" s="20">
        <v>0</v>
      </c>
      <c r="R359" s="20">
        <v>0</v>
      </c>
      <c r="X359" s="20">
        <v>1</v>
      </c>
      <c r="Z359" s="20" t="s">
        <v>1849</v>
      </c>
      <c r="AA359" s="20" t="s">
        <v>1859</v>
      </c>
      <c r="AB359" s="31">
        <f>VLOOKUP(AA359,Masters!$K$2:$L$183,2,FALSE)</f>
        <v>1001</v>
      </c>
      <c r="AC359" s="20" t="s">
        <v>2063</v>
      </c>
      <c r="AD359" s="20" t="s">
        <v>2061</v>
      </c>
      <c r="AE359" s="20">
        <v>4</v>
      </c>
      <c r="AF359" s="20">
        <v>1</v>
      </c>
      <c r="AG359" s="20">
        <v>2000</v>
      </c>
      <c r="AH359" s="21">
        <v>36529</v>
      </c>
    </row>
    <row r="360" spans="1:34" x14ac:dyDescent="0.25">
      <c r="A360" s="35">
        <v>1073</v>
      </c>
      <c r="B360" s="22" t="s">
        <v>1839</v>
      </c>
      <c r="C360" s="22" t="s">
        <v>1839</v>
      </c>
      <c r="D360" s="94" t="s">
        <v>1000</v>
      </c>
      <c r="E360" s="20" t="s">
        <v>2059</v>
      </c>
      <c r="F360" s="20" t="s">
        <v>1843</v>
      </c>
      <c r="G360" s="31" t="s">
        <v>40</v>
      </c>
      <c r="H360" s="32">
        <v>1</v>
      </c>
      <c r="J360" s="32">
        <v>1</v>
      </c>
      <c r="O360" s="20">
        <v>0</v>
      </c>
      <c r="P360" s="20">
        <v>1</v>
      </c>
      <c r="Q360" s="20">
        <v>0</v>
      </c>
      <c r="R360" s="20">
        <v>0</v>
      </c>
      <c r="X360" s="20">
        <v>1</v>
      </c>
      <c r="Z360" s="20" t="s">
        <v>1851</v>
      </c>
      <c r="AA360" s="20" t="s">
        <v>1860</v>
      </c>
      <c r="AB360" s="31">
        <f>VLOOKUP(AA360,Masters!$K$2:$L$183,2,FALSE)</f>
        <v>1002</v>
      </c>
      <c r="AC360" s="20" t="s">
        <v>2063</v>
      </c>
      <c r="AD360" s="20" t="s">
        <v>2061</v>
      </c>
      <c r="AE360" s="20">
        <v>2</v>
      </c>
      <c r="AF360" s="20">
        <v>8</v>
      </c>
      <c r="AG360" s="20">
        <v>2000</v>
      </c>
      <c r="AH360" s="21">
        <v>36740</v>
      </c>
    </row>
    <row r="361" spans="1:34" x14ac:dyDescent="0.25">
      <c r="A361" s="35">
        <v>1075</v>
      </c>
      <c r="B361" s="22" t="s">
        <v>1839</v>
      </c>
      <c r="C361" s="22" t="s">
        <v>1839</v>
      </c>
      <c r="D361" s="94" t="s">
        <v>1002</v>
      </c>
      <c r="E361" s="20" t="s">
        <v>135</v>
      </c>
      <c r="F361" s="20" t="s">
        <v>1846</v>
      </c>
      <c r="G361" s="31" t="s">
        <v>40</v>
      </c>
      <c r="H361" s="32">
        <v>1</v>
      </c>
      <c r="J361" s="32">
        <v>1</v>
      </c>
      <c r="O361" s="20">
        <v>0</v>
      </c>
      <c r="P361" s="20">
        <v>1</v>
      </c>
      <c r="Q361" s="20">
        <v>0</v>
      </c>
      <c r="R361" s="20">
        <v>0</v>
      </c>
      <c r="X361" s="20">
        <v>1</v>
      </c>
      <c r="Z361" s="20" t="s">
        <v>1855</v>
      </c>
      <c r="AA361" s="20" t="s">
        <v>1859</v>
      </c>
      <c r="AB361" s="31">
        <f>VLOOKUP(AA361,Masters!$K$2:$L$183,2,FALSE)</f>
        <v>1001</v>
      </c>
      <c r="AC361" s="20" t="s">
        <v>2064</v>
      </c>
      <c r="AD361" s="20" t="s">
        <v>2061</v>
      </c>
      <c r="AE361" s="20">
        <v>22</v>
      </c>
      <c r="AF361" s="20">
        <v>2</v>
      </c>
      <c r="AG361" s="20">
        <v>2003</v>
      </c>
      <c r="AH361" s="21">
        <v>37674</v>
      </c>
    </row>
    <row r="362" spans="1:34" x14ac:dyDescent="0.25">
      <c r="A362" s="35">
        <v>1081</v>
      </c>
      <c r="B362" s="22" t="s">
        <v>1839</v>
      </c>
      <c r="C362" s="22" t="s">
        <v>1839</v>
      </c>
      <c r="D362" s="94" t="s">
        <v>1008</v>
      </c>
      <c r="E362" s="20" t="s">
        <v>2051</v>
      </c>
      <c r="F362" s="20" t="s">
        <v>1844</v>
      </c>
      <c r="G362" s="31" t="s">
        <v>40</v>
      </c>
      <c r="H362" s="32">
        <v>1</v>
      </c>
      <c r="J362" s="32">
        <v>1</v>
      </c>
      <c r="O362" s="20">
        <v>0</v>
      </c>
      <c r="P362" s="20">
        <v>1</v>
      </c>
      <c r="Q362" s="20">
        <v>0</v>
      </c>
      <c r="R362" s="20">
        <v>0</v>
      </c>
      <c r="X362" s="20">
        <v>1</v>
      </c>
      <c r="Z362" s="20" t="s">
        <v>1853</v>
      </c>
      <c r="AA362" s="20" t="s">
        <v>1860</v>
      </c>
      <c r="AB362" s="31">
        <f>VLOOKUP(AA362,Masters!$K$2:$L$183,2,FALSE)</f>
        <v>1002</v>
      </c>
      <c r="AC362" s="20" t="s">
        <v>2064</v>
      </c>
      <c r="AD362" s="20" t="s">
        <v>2061</v>
      </c>
      <c r="AE362" s="20">
        <v>10</v>
      </c>
      <c r="AF362" s="20">
        <v>11</v>
      </c>
      <c r="AG362" s="20">
        <v>2005</v>
      </c>
      <c r="AH362" s="21">
        <v>38666</v>
      </c>
    </row>
    <row r="363" spans="1:34" x14ac:dyDescent="0.25">
      <c r="A363" s="35">
        <v>1097</v>
      </c>
      <c r="B363" s="22" t="s">
        <v>1839</v>
      </c>
      <c r="C363" s="22" t="s">
        <v>1839</v>
      </c>
      <c r="D363" s="94" t="s">
        <v>1024</v>
      </c>
      <c r="E363" s="20" t="s">
        <v>2059</v>
      </c>
      <c r="F363" s="20" t="s">
        <v>1844</v>
      </c>
      <c r="G363" s="31" t="s">
        <v>40</v>
      </c>
      <c r="H363" s="32">
        <v>1</v>
      </c>
      <c r="J363" s="32">
        <v>1</v>
      </c>
      <c r="O363" s="20">
        <v>0</v>
      </c>
      <c r="P363" s="20">
        <v>1</v>
      </c>
      <c r="Q363" s="20">
        <v>0</v>
      </c>
      <c r="R363" s="20">
        <v>0</v>
      </c>
      <c r="X363" s="20">
        <v>1</v>
      </c>
      <c r="Z363" s="20" t="s">
        <v>1853</v>
      </c>
      <c r="AA363" s="20" t="s">
        <v>1862</v>
      </c>
      <c r="AB363" s="31">
        <f>VLOOKUP(AA363,Masters!$K$2:$L$183,2,FALSE)</f>
        <v>1004</v>
      </c>
      <c r="AC363" s="20" t="s">
        <v>2063</v>
      </c>
      <c r="AD363" s="20" t="s">
        <v>2061</v>
      </c>
      <c r="AE363" s="20">
        <v>22</v>
      </c>
      <c r="AF363" s="20">
        <v>5</v>
      </c>
      <c r="AG363" s="20">
        <v>2000</v>
      </c>
      <c r="AH363" s="21">
        <v>36668</v>
      </c>
    </row>
    <row r="364" spans="1:34" x14ac:dyDescent="0.25">
      <c r="A364" s="35">
        <v>1112</v>
      </c>
      <c r="B364" s="22" t="s">
        <v>1839</v>
      </c>
      <c r="C364" s="22" t="s">
        <v>1839</v>
      </c>
      <c r="D364" s="94" t="s">
        <v>1039</v>
      </c>
      <c r="E364" s="20" t="s">
        <v>2053</v>
      </c>
      <c r="F364" s="20" t="s">
        <v>1845</v>
      </c>
      <c r="G364" s="31" t="s">
        <v>40</v>
      </c>
      <c r="H364" s="32">
        <v>1</v>
      </c>
      <c r="J364" s="32">
        <v>1</v>
      </c>
      <c r="O364" s="20">
        <v>0</v>
      </c>
      <c r="P364" s="20">
        <v>1</v>
      </c>
      <c r="Q364" s="20">
        <v>0</v>
      </c>
      <c r="R364" s="20">
        <v>0</v>
      </c>
      <c r="X364" s="20">
        <v>1</v>
      </c>
      <c r="Z364" s="20" t="s">
        <v>78</v>
      </c>
      <c r="AA364" s="20" t="s">
        <v>1860</v>
      </c>
      <c r="AB364" s="31">
        <f>VLOOKUP(AA364,Masters!$K$2:$L$183,2,FALSE)</f>
        <v>1002</v>
      </c>
      <c r="AC364" s="20" t="s">
        <v>2064</v>
      </c>
      <c r="AD364" s="20" t="s">
        <v>2061</v>
      </c>
      <c r="AE364" s="20">
        <v>25</v>
      </c>
      <c r="AF364" s="20">
        <v>7</v>
      </c>
      <c r="AG364" s="20">
        <v>2003</v>
      </c>
      <c r="AH364" s="21">
        <v>37827</v>
      </c>
    </row>
    <row r="365" spans="1:34" x14ac:dyDescent="0.25">
      <c r="A365" s="35">
        <v>1114</v>
      </c>
      <c r="B365" s="22" t="s">
        <v>1839</v>
      </c>
      <c r="C365" s="22" t="s">
        <v>1839</v>
      </c>
      <c r="D365" s="94" t="s">
        <v>1041</v>
      </c>
      <c r="E365" s="20" t="s">
        <v>2053</v>
      </c>
      <c r="F365" s="20" t="s">
        <v>1843</v>
      </c>
      <c r="G365" s="31" t="s">
        <v>40</v>
      </c>
      <c r="H365" s="32">
        <v>1</v>
      </c>
      <c r="J365" s="32">
        <v>1</v>
      </c>
      <c r="O365" s="20">
        <v>0</v>
      </c>
      <c r="P365" s="20">
        <v>1</v>
      </c>
      <c r="Q365" s="20">
        <v>0</v>
      </c>
      <c r="R365" s="20">
        <v>0</v>
      </c>
      <c r="X365" s="20">
        <v>1</v>
      </c>
      <c r="Z365" s="20" t="s">
        <v>1848</v>
      </c>
      <c r="AA365" s="20" t="s">
        <v>1862</v>
      </c>
      <c r="AB365" s="31">
        <f>VLOOKUP(AA365,Masters!$K$2:$L$183,2,FALSE)</f>
        <v>1004</v>
      </c>
      <c r="AC365" s="20" t="s">
        <v>2064</v>
      </c>
      <c r="AD365" s="20" t="s">
        <v>2061</v>
      </c>
      <c r="AE365" s="20">
        <v>15</v>
      </c>
      <c r="AF365" s="20">
        <v>8</v>
      </c>
      <c r="AG365" s="20">
        <v>2002</v>
      </c>
      <c r="AH365" s="21">
        <v>37483</v>
      </c>
    </row>
    <row r="366" spans="1:34" x14ac:dyDescent="0.25">
      <c r="A366" s="35">
        <v>1146</v>
      </c>
      <c r="B366" s="22" t="s">
        <v>1839</v>
      </c>
      <c r="C366" s="22" t="s">
        <v>1839</v>
      </c>
      <c r="D366" s="94" t="s">
        <v>1073</v>
      </c>
      <c r="E366" s="20" t="s">
        <v>2056</v>
      </c>
      <c r="F366" s="20" t="s">
        <v>1846</v>
      </c>
      <c r="G366" s="31" t="s">
        <v>40</v>
      </c>
      <c r="H366" s="32">
        <v>1</v>
      </c>
      <c r="J366" s="32">
        <v>1</v>
      </c>
      <c r="O366" s="20">
        <v>0</v>
      </c>
      <c r="P366" s="20">
        <v>1</v>
      </c>
      <c r="Q366" s="20">
        <v>0</v>
      </c>
      <c r="R366" s="20">
        <v>0</v>
      </c>
      <c r="X366" s="20">
        <v>1</v>
      </c>
      <c r="Z366" s="20" t="s">
        <v>1857</v>
      </c>
      <c r="AA366" s="20" t="s">
        <v>1862</v>
      </c>
      <c r="AB366" s="31">
        <f>VLOOKUP(AA366,Masters!$K$2:$L$183,2,FALSE)</f>
        <v>1004</v>
      </c>
      <c r="AC366" s="20" t="s">
        <v>2064</v>
      </c>
      <c r="AD366" s="20" t="s">
        <v>2061</v>
      </c>
      <c r="AE366" s="20">
        <v>20</v>
      </c>
      <c r="AF366" s="20">
        <v>8</v>
      </c>
      <c r="AG366" s="20">
        <v>2003</v>
      </c>
      <c r="AH366" s="21">
        <v>37853</v>
      </c>
    </row>
    <row r="367" spans="1:34" x14ac:dyDescent="0.25">
      <c r="A367" s="35">
        <v>1155</v>
      </c>
      <c r="B367" s="22" t="s">
        <v>1839</v>
      </c>
      <c r="C367" s="22" t="s">
        <v>1839</v>
      </c>
      <c r="D367" s="94" t="s">
        <v>1082</v>
      </c>
      <c r="E367" s="20" t="s">
        <v>2052</v>
      </c>
      <c r="F367" s="20" t="s">
        <v>1845</v>
      </c>
      <c r="G367" s="31" t="s">
        <v>40</v>
      </c>
      <c r="H367" s="32">
        <v>1</v>
      </c>
      <c r="J367" s="32">
        <v>1</v>
      </c>
      <c r="O367" s="20">
        <v>0</v>
      </c>
      <c r="P367" s="20">
        <v>1</v>
      </c>
      <c r="Q367" s="20">
        <v>0</v>
      </c>
      <c r="R367" s="20">
        <v>0</v>
      </c>
      <c r="X367" s="20">
        <v>1</v>
      </c>
      <c r="Z367" s="20" t="s">
        <v>753</v>
      </c>
      <c r="AA367" s="20" t="s">
        <v>1862</v>
      </c>
      <c r="AB367" s="31">
        <f>VLOOKUP(AA367,Masters!$K$2:$L$183,2,FALSE)</f>
        <v>1004</v>
      </c>
      <c r="AC367" s="20" t="s">
        <v>2064</v>
      </c>
      <c r="AD367" s="20" t="s">
        <v>2061</v>
      </c>
      <c r="AE367" s="20">
        <v>10</v>
      </c>
      <c r="AF367" s="20">
        <v>8</v>
      </c>
      <c r="AG367" s="20">
        <v>2003</v>
      </c>
      <c r="AH367" s="21">
        <v>37843</v>
      </c>
    </row>
    <row r="368" spans="1:34" x14ac:dyDescent="0.25">
      <c r="A368" s="35">
        <v>1172</v>
      </c>
      <c r="B368" s="22" t="s">
        <v>1839</v>
      </c>
      <c r="C368" s="22" t="s">
        <v>1839</v>
      </c>
      <c r="D368" s="94" t="s">
        <v>1099</v>
      </c>
      <c r="E368" s="20" t="s">
        <v>2055</v>
      </c>
      <c r="F368" s="20" t="s">
        <v>1847</v>
      </c>
      <c r="G368" s="31" t="s">
        <v>40</v>
      </c>
      <c r="H368" s="32">
        <v>1</v>
      </c>
      <c r="J368" s="32">
        <v>1</v>
      </c>
      <c r="O368" s="20">
        <v>0</v>
      </c>
      <c r="P368" s="20">
        <v>1</v>
      </c>
      <c r="Q368" s="20">
        <v>0</v>
      </c>
      <c r="R368" s="20">
        <v>0</v>
      </c>
      <c r="X368" s="20">
        <v>1</v>
      </c>
      <c r="Z368" s="20" t="s">
        <v>1855</v>
      </c>
      <c r="AA368" s="20" t="s">
        <v>1860</v>
      </c>
      <c r="AB368" s="31">
        <f>VLOOKUP(AA368,Masters!$K$2:$L$183,2,FALSE)</f>
        <v>1002</v>
      </c>
      <c r="AC368" s="20" t="s">
        <v>2063</v>
      </c>
      <c r="AD368" s="20" t="s">
        <v>2061</v>
      </c>
      <c r="AE368" s="20">
        <v>28</v>
      </c>
      <c r="AF368" s="20">
        <v>10</v>
      </c>
      <c r="AG368" s="20">
        <v>2000</v>
      </c>
      <c r="AH368" s="21">
        <v>36827</v>
      </c>
    </row>
    <row r="369" spans="1:34" x14ac:dyDescent="0.25">
      <c r="A369" s="35">
        <v>1194</v>
      </c>
      <c r="B369" s="22" t="s">
        <v>1839</v>
      </c>
      <c r="C369" s="22" t="s">
        <v>1839</v>
      </c>
      <c r="D369" s="94" t="s">
        <v>1121</v>
      </c>
      <c r="E369" s="20" t="s">
        <v>126</v>
      </c>
      <c r="F369" s="20" t="s">
        <v>1845</v>
      </c>
      <c r="G369" s="31" t="s">
        <v>40</v>
      </c>
      <c r="H369" s="32">
        <v>1</v>
      </c>
      <c r="J369" s="32">
        <v>1</v>
      </c>
      <c r="O369" s="20">
        <v>0</v>
      </c>
      <c r="P369" s="20">
        <v>1</v>
      </c>
      <c r="Q369" s="20">
        <v>0</v>
      </c>
      <c r="R369" s="20">
        <v>0</v>
      </c>
      <c r="X369" s="20">
        <v>1</v>
      </c>
      <c r="Z369" s="20" t="s">
        <v>753</v>
      </c>
      <c r="AA369" s="20" t="s">
        <v>1863</v>
      </c>
      <c r="AB369" s="31">
        <f>VLOOKUP(AA369,Masters!$K$2:$L$183,2,FALSE)</f>
        <v>1005</v>
      </c>
      <c r="AC369" s="20" t="s">
        <v>2064</v>
      </c>
      <c r="AD369" s="20" t="s">
        <v>2061</v>
      </c>
      <c r="AE369" s="20">
        <v>21</v>
      </c>
      <c r="AF369" s="20">
        <v>2</v>
      </c>
      <c r="AG369" s="20">
        <v>2005</v>
      </c>
      <c r="AH369" s="21">
        <v>38404</v>
      </c>
    </row>
    <row r="370" spans="1:34" x14ac:dyDescent="0.25">
      <c r="A370" s="35">
        <v>1203</v>
      </c>
      <c r="B370" s="22" t="s">
        <v>1839</v>
      </c>
      <c r="C370" s="22" t="s">
        <v>1839</v>
      </c>
      <c r="D370" s="94" t="s">
        <v>1130</v>
      </c>
      <c r="E370" s="20" t="s">
        <v>2058</v>
      </c>
      <c r="F370" s="20" t="s">
        <v>1845</v>
      </c>
      <c r="G370" s="31" t="s">
        <v>40</v>
      </c>
      <c r="H370" s="32">
        <v>1</v>
      </c>
      <c r="J370" s="32">
        <v>1</v>
      </c>
      <c r="O370" s="20">
        <v>0</v>
      </c>
      <c r="P370" s="20">
        <v>1</v>
      </c>
      <c r="Q370" s="20">
        <v>0</v>
      </c>
      <c r="R370" s="20">
        <v>0</v>
      </c>
      <c r="X370" s="20">
        <v>1</v>
      </c>
      <c r="Z370" s="20" t="s">
        <v>1858</v>
      </c>
      <c r="AA370" s="20" t="s">
        <v>1859</v>
      </c>
      <c r="AB370" s="31">
        <f>VLOOKUP(AA370,Masters!$K$2:$L$183,2,FALSE)</f>
        <v>1001</v>
      </c>
      <c r="AC370" s="20" t="s">
        <v>2064</v>
      </c>
      <c r="AD370" s="20" t="s">
        <v>2061</v>
      </c>
      <c r="AE370" s="20">
        <v>13</v>
      </c>
      <c r="AF370" s="20">
        <v>11</v>
      </c>
      <c r="AG370" s="20">
        <v>2004</v>
      </c>
      <c r="AH370" s="21">
        <v>38304</v>
      </c>
    </row>
    <row r="371" spans="1:34" x14ac:dyDescent="0.25">
      <c r="A371" s="35">
        <v>1205</v>
      </c>
      <c r="B371" s="22" t="s">
        <v>1839</v>
      </c>
      <c r="C371" s="22" t="s">
        <v>1839</v>
      </c>
      <c r="D371" s="94" t="s">
        <v>1132</v>
      </c>
      <c r="E371" s="20" t="s">
        <v>2052</v>
      </c>
      <c r="F371" s="20" t="s">
        <v>1843</v>
      </c>
      <c r="G371" s="31" t="s">
        <v>40</v>
      </c>
      <c r="H371" s="32">
        <v>1</v>
      </c>
      <c r="J371" s="32">
        <v>1</v>
      </c>
      <c r="O371" s="20">
        <v>0</v>
      </c>
      <c r="P371" s="20">
        <v>1</v>
      </c>
      <c r="Q371" s="20">
        <v>0</v>
      </c>
      <c r="R371" s="20">
        <v>0</v>
      </c>
      <c r="X371" s="20">
        <v>1</v>
      </c>
      <c r="Z371" s="20" t="s">
        <v>58</v>
      </c>
      <c r="AA371" s="20" t="s">
        <v>1863</v>
      </c>
      <c r="AB371" s="31">
        <f>VLOOKUP(AA371,Masters!$K$2:$L$183,2,FALSE)</f>
        <v>1005</v>
      </c>
      <c r="AC371" s="20" t="s">
        <v>2064</v>
      </c>
      <c r="AD371" s="20" t="s">
        <v>2061</v>
      </c>
      <c r="AE371" s="20">
        <v>23</v>
      </c>
      <c r="AF371" s="20">
        <v>5</v>
      </c>
      <c r="AG371" s="20">
        <v>2004</v>
      </c>
      <c r="AH371" s="21">
        <v>38130</v>
      </c>
    </row>
    <row r="372" spans="1:34" x14ac:dyDescent="0.25">
      <c r="A372" s="35">
        <v>1250</v>
      </c>
      <c r="B372" s="22" t="s">
        <v>1839</v>
      </c>
      <c r="C372" s="22" t="s">
        <v>1839</v>
      </c>
      <c r="D372" s="94" t="s">
        <v>1177</v>
      </c>
      <c r="E372" s="20" t="s">
        <v>2052</v>
      </c>
      <c r="F372" s="20" t="s">
        <v>1846</v>
      </c>
      <c r="G372" s="31" t="s">
        <v>40</v>
      </c>
      <c r="H372" s="32">
        <v>1</v>
      </c>
      <c r="J372" s="32">
        <v>1</v>
      </c>
      <c r="O372" s="20">
        <v>0</v>
      </c>
      <c r="P372" s="20">
        <v>1</v>
      </c>
      <c r="Q372" s="20">
        <v>0</v>
      </c>
      <c r="R372" s="20">
        <v>0</v>
      </c>
      <c r="X372" s="20">
        <v>1</v>
      </c>
      <c r="Z372" s="20" t="s">
        <v>1854</v>
      </c>
      <c r="AA372" s="20" t="s">
        <v>1860</v>
      </c>
      <c r="AB372" s="31">
        <f>VLOOKUP(AA372,Masters!$K$2:$L$183,2,FALSE)</f>
        <v>1002</v>
      </c>
      <c r="AC372" s="20" t="s">
        <v>2063</v>
      </c>
      <c r="AD372" s="20" t="s">
        <v>2061</v>
      </c>
      <c r="AE372" s="20">
        <v>19</v>
      </c>
      <c r="AF372" s="20">
        <v>5</v>
      </c>
      <c r="AG372" s="20">
        <v>2001</v>
      </c>
      <c r="AH372" s="21">
        <v>37030</v>
      </c>
    </row>
    <row r="373" spans="1:34" x14ac:dyDescent="0.25">
      <c r="A373" s="35">
        <v>1251</v>
      </c>
      <c r="B373" s="22" t="s">
        <v>1839</v>
      </c>
      <c r="C373" s="22" t="s">
        <v>1839</v>
      </c>
      <c r="D373" s="94" t="s">
        <v>1178</v>
      </c>
      <c r="E373" s="20" t="s">
        <v>2056</v>
      </c>
      <c r="F373" s="20" t="s">
        <v>1846</v>
      </c>
      <c r="G373" s="31" t="s">
        <v>40</v>
      </c>
      <c r="H373" s="32">
        <v>1</v>
      </c>
      <c r="J373" s="32">
        <v>1</v>
      </c>
      <c r="O373" s="20">
        <v>0</v>
      </c>
      <c r="P373" s="20">
        <v>1</v>
      </c>
      <c r="Q373" s="20">
        <v>0</v>
      </c>
      <c r="R373" s="20">
        <v>0</v>
      </c>
      <c r="X373" s="20">
        <v>1</v>
      </c>
      <c r="Z373" s="20" t="s">
        <v>1852</v>
      </c>
      <c r="AA373" s="20" t="s">
        <v>1863</v>
      </c>
      <c r="AB373" s="31">
        <f>VLOOKUP(AA373,Masters!$K$2:$L$183,2,FALSE)</f>
        <v>1005</v>
      </c>
      <c r="AC373" s="20" t="s">
        <v>2063</v>
      </c>
      <c r="AD373" s="20" t="s">
        <v>2061</v>
      </c>
      <c r="AE373" s="20">
        <v>3</v>
      </c>
      <c r="AF373" s="20">
        <v>2</v>
      </c>
      <c r="AG373" s="20">
        <v>2001</v>
      </c>
      <c r="AH373" s="21">
        <v>36925</v>
      </c>
    </row>
    <row r="374" spans="1:34" x14ac:dyDescent="0.25">
      <c r="A374" s="35">
        <v>1254</v>
      </c>
      <c r="B374" s="22" t="s">
        <v>1839</v>
      </c>
      <c r="C374" s="22" t="s">
        <v>1839</v>
      </c>
      <c r="D374" s="94" t="s">
        <v>1181</v>
      </c>
      <c r="E374" s="20" t="s">
        <v>2052</v>
      </c>
      <c r="F374" s="20" t="s">
        <v>1845</v>
      </c>
      <c r="G374" s="31" t="s">
        <v>40</v>
      </c>
      <c r="H374" s="32">
        <v>1</v>
      </c>
      <c r="J374" s="32">
        <v>1</v>
      </c>
      <c r="O374" s="20">
        <v>0</v>
      </c>
      <c r="P374" s="20">
        <v>1</v>
      </c>
      <c r="Q374" s="20">
        <v>0</v>
      </c>
      <c r="R374" s="20">
        <v>0</v>
      </c>
      <c r="X374" s="20">
        <v>1</v>
      </c>
      <c r="Z374" s="20" t="s">
        <v>1852</v>
      </c>
      <c r="AA374" s="20" t="s">
        <v>1862</v>
      </c>
      <c r="AB374" s="31">
        <f>VLOOKUP(AA374,Masters!$K$2:$L$183,2,FALSE)</f>
        <v>1004</v>
      </c>
      <c r="AC374" s="20" t="s">
        <v>2063</v>
      </c>
      <c r="AD374" s="20" t="s">
        <v>2060</v>
      </c>
      <c r="AE374" s="20">
        <v>2</v>
      </c>
      <c r="AF374" s="20">
        <v>10</v>
      </c>
      <c r="AG374" s="20">
        <v>2004</v>
      </c>
      <c r="AH374" s="21">
        <v>38262</v>
      </c>
    </row>
    <row r="375" spans="1:34" x14ac:dyDescent="0.25">
      <c r="A375" s="35">
        <v>1261</v>
      </c>
      <c r="B375" s="22" t="s">
        <v>1839</v>
      </c>
      <c r="C375" s="22" t="s">
        <v>1839</v>
      </c>
      <c r="D375" s="94" t="s">
        <v>1188</v>
      </c>
      <c r="E375" s="20" t="s">
        <v>2052</v>
      </c>
      <c r="F375" s="20" t="s">
        <v>1845</v>
      </c>
      <c r="G375" s="31" t="s">
        <v>40</v>
      </c>
      <c r="H375" s="32">
        <v>1</v>
      </c>
      <c r="J375" s="32">
        <v>1</v>
      </c>
      <c r="O375" s="20">
        <v>0</v>
      </c>
      <c r="P375" s="20">
        <v>1</v>
      </c>
      <c r="Q375" s="20">
        <v>0</v>
      </c>
      <c r="R375" s="20">
        <v>0</v>
      </c>
      <c r="X375" s="20">
        <v>1</v>
      </c>
      <c r="Z375" s="20" t="s">
        <v>201</v>
      </c>
      <c r="AA375" s="20" t="s">
        <v>1860</v>
      </c>
      <c r="AB375" s="31">
        <f>VLOOKUP(AA375,Masters!$K$2:$L$183,2,FALSE)</f>
        <v>1002</v>
      </c>
      <c r="AC375" s="20" t="s">
        <v>2063</v>
      </c>
      <c r="AD375" s="20" t="s">
        <v>2061</v>
      </c>
      <c r="AE375" s="20">
        <v>18</v>
      </c>
      <c r="AF375" s="20">
        <v>2</v>
      </c>
      <c r="AG375" s="20">
        <v>2002</v>
      </c>
      <c r="AH375" s="21">
        <v>37305</v>
      </c>
    </row>
    <row r="376" spans="1:34" x14ac:dyDescent="0.25">
      <c r="A376" s="35">
        <v>1263</v>
      </c>
      <c r="B376" s="22" t="s">
        <v>1839</v>
      </c>
      <c r="C376" s="22" t="s">
        <v>1839</v>
      </c>
      <c r="D376" s="94" t="s">
        <v>1190</v>
      </c>
      <c r="E376" s="20" t="s">
        <v>2053</v>
      </c>
      <c r="F376" s="20" t="s">
        <v>1847</v>
      </c>
      <c r="G376" s="31" t="s">
        <v>40</v>
      </c>
      <c r="H376" s="32">
        <v>1</v>
      </c>
      <c r="J376" s="32">
        <v>1</v>
      </c>
      <c r="O376" s="20">
        <v>0</v>
      </c>
      <c r="P376" s="20">
        <v>1</v>
      </c>
      <c r="Q376" s="20">
        <v>0</v>
      </c>
      <c r="R376" s="20">
        <v>0</v>
      </c>
      <c r="X376" s="20">
        <v>1</v>
      </c>
      <c r="Z376" s="20" t="s">
        <v>1848</v>
      </c>
      <c r="AA376" s="20" t="s">
        <v>1862</v>
      </c>
      <c r="AB376" s="31">
        <f>VLOOKUP(AA376,Masters!$K$2:$L$183,2,FALSE)</f>
        <v>1004</v>
      </c>
      <c r="AC376" s="20" t="s">
        <v>2064</v>
      </c>
      <c r="AD376" s="20" t="s">
        <v>2061</v>
      </c>
      <c r="AE376" s="20">
        <v>21</v>
      </c>
      <c r="AF376" s="20">
        <v>7</v>
      </c>
      <c r="AG376" s="20">
        <v>2003</v>
      </c>
      <c r="AH376" s="21">
        <v>37823</v>
      </c>
    </row>
    <row r="377" spans="1:34" x14ac:dyDescent="0.25">
      <c r="A377" s="35">
        <v>1270</v>
      </c>
      <c r="B377" s="22" t="s">
        <v>1839</v>
      </c>
      <c r="C377" s="22" t="s">
        <v>1839</v>
      </c>
      <c r="D377" s="94" t="s">
        <v>1197</v>
      </c>
      <c r="E377" s="20" t="s">
        <v>2057</v>
      </c>
      <c r="F377" s="20" t="s">
        <v>1846</v>
      </c>
      <c r="G377" s="31" t="s">
        <v>40</v>
      </c>
      <c r="H377" s="32">
        <v>1</v>
      </c>
      <c r="J377" s="32">
        <v>1</v>
      </c>
      <c r="O377" s="20">
        <v>0</v>
      </c>
      <c r="P377" s="20">
        <v>1</v>
      </c>
      <c r="Q377" s="20">
        <v>0</v>
      </c>
      <c r="R377" s="20">
        <v>0</v>
      </c>
      <c r="X377" s="20">
        <v>1</v>
      </c>
      <c r="Z377" s="20" t="s">
        <v>1850</v>
      </c>
      <c r="AA377" s="20" t="s">
        <v>1861</v>
      </c>
      <c r="AB377" s="31">
        <f>VLOOKUP(AA377,Masters!$K$2:$L$183,2,FALSE)</f>
        <v>1003</v>
      </c>
      <c r="AC377" s="20" t="s">
        <v>2063</v>
      </c>
      <c r="AD377" s="20" t="s">
        <v>2061</v>
      </c>
      <c r="AE377" s="20">
        <v>21</v>
      </c>
      <c r="AF377" s="20">
        <v>2</v>
      </c>
      <c r="AG377" s="20">
        <v>2001</v>
      </c>
      <c r="AH377" s="21">
        <v>36943</v>
      </c>
    </row>
    <row r="378" spans="1:34" x14ac:dyDescent="0.25">
      <c r="A378" s="35">
        <v>1278</v>
      </c>
      <c r="B378" s="22" t="s">
        <v>1839</v>
      </c>
      <c r="C378" s="22" t="s">
        <v>1839</v>
      </c>
      <c r="D378" s="94" t="s">
        <v>1205</v>
      </c>
      <c r="E378" s="20" t="s">
        <v>2051</v>
      </c>
      <c r="F378" s="20" t="s">
        <v>1843</v>
      </c>
      <c r="G378" s="31" t="s">
        <v>40</v>
      </c>
      <c r="H378" s="32">
        <v>1</v>
      </c>
      <c r="J378" s="32">
        <v>1</v>
      </c>
      <c r="O378" s="20">
        <v>0</v>
      </c>
      <c r="P378" s="20">
        <v>1</v>
      </c>
      <c r="Q378" s="20">
        <v>0</v>
      </c>
      <c r="R378" s="20">
        <v>0</v>
      </c>
      <c r="X378" s="20">
        <v>1</v>
      </c>
      <c r="Z378" s="20" t="s">
        <v>34</v>
      </c>
      <c r="AA378" s="20" t="s">
        <v>1859</v>
      </c>
      <c r="AB378" s="31">
        <f>VLOOKUP(AA378,Masters!$K$2:$L$183,2,FALSE)</f>
        <v>1001</v>
      </c>
      <c r="AC378" s="20" t="s">
        <v>2063</v>
      </c>
      <c r="AD378" s="20" t="s">
        <v>2061</v>
      </c>
      <c r="AE378" s="20">
        <v>30</v>
      </c>
      <c r="AF378" s="20">
        <v>3</v>
      </c>
      <c r="AG378" s="20">
        <v>2003</v>
      </c>
      <c r="AH378" s="21">
        <v>37710</v>
      </c>
    </row>
    <row r="379" spans="1:34" x14ac:dyDescent="0.25">
      <c r="A379" s="35">
        <v>1322</v>
      </c>
      <c r="B379" s="22" t="s">
        <v>1839</v>
      </c>
      <c r="C379" s="22" t="s">
        <v>1839</v>
      </c>
      <c r="D379" s="94" t="s">
        <v>1249</v>
      </c>
      <c r="E379" s="20" t="s">
        <v>2050</v>
      </c>
      <c r="F379" s="20" t="s">
        <v>1845</v>
      </c>
      <c r="G379" s="31" t="s">
        <v>40</v>
      </c>
      <c r="H379" s="32">
        <v>1</v>
      </c>
      <c r="J379" s="32">
        <v>1</v>
      </c>
      <c r="O379" s="20">
        <v>0</v>
      </c>
      <c r="P379" s="20">
        <v>1</v>
      </c>
      <c r="Q379" s="20">
        <v>0</v>
      </c>
      <c r="R379" s="20">
        <v>0</v>
      </c>
      <c r="X379" s="20">
        <v>1</v>
      </c>
      <c r="Z379" s="20" t="s">
        <v>753</v>
      </c>
      <c r="AA379" s="20" t="s">
        <v>1863</v>
      </c>
      <c r="AB379" s="31">
        <f>VLOOKUP(AA379,Masters!$K$2:$L$183,2,FALSE)</f>
        <v>1005</v>
      </c>
      <c r="AC379" s="20" t="s">
        <v>2063</v>
      </c>
      <c r="AD379" s="20" t="s">
        <v>2060</v>
      </c>
      <c r="AE379" s="20">
        <v>20</v>
      </c>
      <c r="AF379" s="20">
        <v>1</v>
      </c>
      <c r="AG379" s="20">
        <v>2001</v>
      </c>
      <c r="AH379" s="21">
        <v>36911</v>
      </c>
    </row>
    <row r="380" spans="1:34" x14ac:dyDescent="0.25">
      <c r="A380" s="35">
        <v>1338</v>
      </c>
      <c r="B380" s="22" t="s">
        <v>1839</v>
      </c>
      <c r="C380" s="22" t="s">
        <v>1839</v>
      </c>
      <c r="D380" s="94" t="s">
        <v>1265</v>
      </c>
      <c r="E380" s="20" t="s">
        <v>2051</v>
      </c>
      <c r="F380" s="20" t="s">
        <v>1847</v>
      </c>
      <c r="G380" s="31" t="s">
        <v>40</v>
      </c>
      <c r="H380" s="32">
        <v>1</v>
      </c>
      <c r="J380" s="32">
        <v>1</v>
      </c>
      <c r="O380" s="20">
        <v>0</v>
      </c>
      <c r="P380" s="20">
        <v>1</v>
      </c>
      <c r="Q380" s="20">
        <v>0</v>
      </c>
      <c r="R380" s="20">
        <v>0</v>
      </c>
      <c r="X380" s="20">
        <v>1</v>
      </c>
      <c r="Z380" s="20" t="s">
        <v>34</v>
      </c>
      <c r="AA380" s="20" t="s">
        <v>1863</v>
      </c>
      <c r="AB380" s="31">
        <f>VLOOKUP(AA380,Masters!$K$2:$L$183,2,FALSE)</f>
        <v>1005</v>
      </c>
      <c r="AC380" s="20" t="s">
        <v>2063</v>
      </c>
      <c r="AD380" s="20" t="s">
        <v>2060</v>
      </c>
      <c r="AE380" s="20">
        <v>31</v>
      </c>
      <c r="AF380" s="20">
        <v>10</v>
      </c>
      <c r="AG380" s="20">
        <v>2002</v>
      </c>
      <c r="AH380" s="21">
        <v>37560</v>
      </c>
    </row>
    <row r="381" spans="1:34" x14ac:dyDescent="0.25">
      <c r="A381" s="35">
        <v>1374</v>
      </c>
      <c r="B381" s="22" t="s">
        <v>1839</v>
      </c>
      <c r="C381" s="22" t="s">
        <v>1839</v>
      </c>
      <c r="D381" s="94" t="s">
        <v>1301</v>
      </c>
      <c r="E381" s="20" t="s">
        <v>2054</v>
      </c>
      <c r="F381" s="20" t="s">
        <v>1846</v>
      </c>
      <c r="G381" s="31" t="s">
        <v>40</v>
      </c>
      <c r="H381" s="32">
        <v>1</v>
      </c>
      <c r="J381" s="32">
        <v>1</v>
      </c>
      <c r="O381" s="20">
        <v>0</v>
      </c>
      <c r="P381" s="20">
        <v>1</v>
      </c>
      <c r="Q381" s="20">
        <v>0</v>
      </c>
      <c r="R381" s="20">
        <v>0</v>
      </c>
      <c r="X381" s="20">
        <v>1</v>
      </c>
      <c r="Z381" s="20" t="s">
        <v>1856</v>
      </c>
      <c r="AA381" s="20" t="s">
        <v>1859</v>
      </c>
      <c r="AB381" s="31">
        <f>VLOOKUP(AA381,Masters!$K$2:$L$183,2,FALSE)</f>
        <v>1001</v>
      </c>
      <c r="AC381" s="20" t="s">
        <v>2063</v>
      </c>
      <c r="AD381" s="20" t="s">
        <v>2060</v>
      </c>
      <c r="AE381" s="20">
        <v>15</v>
      </c>
      <c r="AF381" s="20">
        <v>3</v>
      </c>
      <c r="AG381" s="20">
        <v>2001</v>
      </c>
      <c r="AH381" s="21">
        <v>36965</v>
      </c>
    </row>
    <row r="382" spans="1:34" x14ac:dyDescent="0.25">
      <c r="A382" s="35">
        <v>1413</v>
      </c>
      <c r="B382" s="22" t="s">
        <v>1839</v>
      </c>
      <c r="C382" s="22" t="s">
        <v>1839</v>
      </c>
      <c r="D382" s="94" t="s">
        <v>1340</v>
      </c>
      <c r="E382" s="20" t="s">
        <v>2053</v>
      </c>
      <c r="F382" s="20" t="s">
        <v>1845</v>
      </c>
      <c r="G382" s="31" t="s">
        <v>40</v>
      </c>
      <c r="H382" s="32">
        <v>1</v>
      </c>
      <c r="J382" s="32">
        <v>1</v>
      </c>
      <c r="O382" s="20">
        <v>0</v>
      </c>
      <c r="P382" s="20">
        <v>1</v>
      </c>
      <c r="Q382" s="20">
        <v>0</v>
      </c>
      <c r="R382" s="20">
        <v>0</v>
      </c>
      <c r="X382" s="20">
        <v>1</v>
      </c>
      <c r="Z382" s="20" t="s">
        <v>1856</v>
      </c>
      <c r="AA382" s="20" t="s">
        <v>1859</v>
      </c>
      <c r="AB382" s="31">
        <f>VLOOKUP(AA382,Masters!$K$2:$L$183,2,FALSE)</f>
        <v>1001</v>
      </c>
      <c r="AC382" s="20" t="s">
        <v>2063</v>
      </c>
      <c r="AD382" s="20" t="s">
        <v>2060</v>
      </c>
      <c r="AE382" s="20">
        <v>25</v>
      </c>
      <c r="AF382" s="20">
        <v>3</v>
      </c>
      <c r="AG382" s="20">
        <v>2005</v>
      </c>
      <c r="AH382" s="21">
        <v>38436</v>
      </c>
    </row>
    <row r="383" spans="1:34" x14ac:dyDescent="0.25">
      <c r="A383" s="35">
        <v>1427</v>
      </c>
      <c r="B383" s="22" t="s">
        <v>1839</v>
      </c>
      <c r="C383" s="22" t="s">
        <v>1839</v>
      </c>
      <c r="D383" s="94" t="s">
        <v>1354</v>
      </c>
      <c r="E383" s="20" t="s">
        <v>2059</v>
      </c>
      <c r="F383" s="20" t="s">
        <v>1847</v>
      </c>
      <c r="G383" s="31" t="s">
        <v>40</v>
      </c>
      <c r="H383" s="32">
        <v>1</v>
      </c>
      <c r="J383" s="32">
        <v>1</v>
      </c>
      <c r="O383" s="20">
        <v>0</v>
      </c>
      <c r="P383" s="20">
        <v>1</v>
      </c>
      <c r="Q383" s="20">
        <v>0</v>
      </c>
      <c r="R383" s="20">
        <v>0</v>
      </c>
      <c r="X383" s="20">
        <v>1</v>
      </c>
      <c r="Z383" s="20" t="s">
        <v>753</v>
      </c>
      <c r="AA383" s="20" t="s">
        <v>1862</v>
      </c>
      <c r="AB383" s="31">
        <f>VLOOKUP(AA383,Masters!$K$2:$L$183,2,FALSE)</f>
        <v>1004</v>
      </c>
      <c r="AC383" s="20" t="s">
        <v>2063</v>
      </c>
      <c r="AD383" s="20" t="s">
        <v>2061</v>
      </c>
      <c r="AE383" s="20">
        <v>12</v>
      </c>
      <c r="AF383" s="20">
        <v>3</v>
      </c>
      <c r="AG383" s="20">
        <v>2000</v>
      </c>
      <c r="AH383" s="21">
        <v>36597</v>
      </c>
    </row>
    <row r="384" spans="1:34" x14ac:dyDescent="0.25">
      <c r="A384" s="35">
        <v>1429</v>
      </c>
      <c r="B384" s="22" t="s">
        <v>1839</v>
      </c>
      <c r="C384" s="22" t="s">
        <v>1839</v>
      </c>
      <c r="D384" s="94" t="s">
        <v>1356</v>
      </c>
      <c r="E384" s="20" t="s">
        <v>126</v>
      </c>
      <c r="F384" s="20" t="s">
        <v>1845</v>
      </c>
      <c r="G384" s="31" t="s">
        <v>40</v>
      </c>
      <c r="H384" s="32">
        <v>1</v>
      </c>
      <c r="J384" s="32">
        <v>1</v>
      </c>
      <c r="O384" s="20">
        <v>0</v>
      </c>
      <c r="P384" s="20">
        <v>1</v>
      </c>
      <c r="Q384" s="20">
        <v>0</v>
      </c>
      <c r="R384" s="20">
        <v>0</v>
      </c>
      <c r="X384" s="20">
        <v>1</v>
      </c>
      <c r="Z384" s="20" t="s">
        <v>78</v>
      </c>
      <c r="AA384" s="20" t="s">
        <v>1862</v>
      </c>
      <c r="AB384" s="31">
        <f>VLOOKUP(AA384,Masters!$K$2:$L$183,2,FALSE)</f>
        <v>1004</v>
      </c>
      <c r="AC384" s="20" t="s">
        <v>2063</v>
      </c>
      <c r="AD384" s="20" t="s">
        <v>2060</v>
      </c>
      <c r="AE384" s="20">
        <v>22</v>
      </c>
      <c r="AF384" s="20">
        <v>9</v>
      </c>
      <c r="AG384" s="20">
        <v>2001</v>
      </c>
      <c r="AH384" s="21">
        <v>37156</v>
      </c>
    </row>
    <row r="385" spans="1:34" x14ac:dyDescent="0.25">
      <c r="A385" s="35">
        <v>1440</v>
      </c>
      <c r="B385" s="22" t="s">
        <v>1839</v>
      </c>
      <c r="C385" s="22" t="s">
        <v>1839</v>
      </c>
      <c r="D385" s="94" t="s">
        <v>1367</v>
      </c>
      <c r="E385" s="20" t="s">
        <v>2055</v>
      </c>
      <c r="F385" s="20" t="s">
        <v>1846</v>
      </c>
      <c r="G385" s="31" t="s">
        <v>40</v>
      </c>
      <c r="H385" s="32">
        <v>1</v>
      </c>
      <c r="J385" s="32">
        <v>1</v>
      </c>
      <c r="O385" s="20">
        <v>0</v>
      </c>
      <c r="P385" s="20">
        <v>1</v>
      </c>
      <c r="Q385" s="20">
        <v>0</v>
      </c>
      <c r="R385" s="20">
        <v>0</v>
      </c>
      <c r="X385" s="20">
        <v>1</v>
      </c>
      <c r="Z385" s="20" t="s">
        <v>1851</v>
      </c>
      <c r="AA385" s="20" t="s">
        <v>1861</v>
      </c>
      <c r="AB385" s="31">
        <f>VLOOKUP(AA385,Masters!$K$2:$L$183,2,FALSE)</f>
        <v>1003</v>
      </c>
      <c r="AC385" s="20" t="s">
        <v>2064</v>
      </c>
      <c r="AD385" s="20" t="s">
        <v>2061</v>
      </c>
      <c r="AE385" s="20">
        <v>19</v>
      </c>
      <c r="AF385" s="20">
        <v>5</v>
      </c>
      <c r="AG385" s="20">
        <v>2003</v>
      </c>
      <c r="AH385" s="21">
        <v>37760</v>
      </c>
    </row>
    <row r="386" spans="1:34" x14ac:dyDescent="0.25">
      <c r="A386" s="35">
        <v>1458</v>
      </c>
      <c r="B386" s="22" t="s">
        <v>1839</v>
      </c>
      <c r="C386" s="22" t="s">
        <v>1839</v>
      </c>
      <c r="D386" s="94" t="s">
        <v>1385</v>
      </c>
      <c r="E386" s="20" t="s">
        <v>2052</v>
      </c>
      <c r="F386" s="20" t="s">
        <v>1843</v>
      </c>
      <c r="G386" s="31" t="s">
        <v>40</v>
      </c>
      <c r="H386" s="32">
        <v>1</v>
      </c>
      <c r="J386" s="32">
        <v>1</v>
      </c>
      <c r="O386" s="20">
        <v>0</v>
      </c>
      <c r="P386" s="20">
        <v>1</v>
      </c>
      <c r="Q386" s="20">
        <v>0</v>
      </c>
      <c r="R386" s="20">
        <v>0</v>
      </c>
      <c r="X386" s="20">
        <v>1</v>
      </c>
      <c r="Z386" s="20" t="s">
        <v>1853</v>
      </c>
      <c r="AA386" s="20" t="s">
        <v>1860</v>
      </c>
      <c r="AB386" s="31">
        <f>VLOOKUP(AA386,Masters!$K$2:$L$183,2,FALSE)</f>
        <v>1002</v>
      </c>
      <c r="AC386" s="20" t="s">
        <v>2063</v>
      </c>
      <c r="AD386" s="20" t="s">
        <v>2060</v>
      </c>
      <c r="AE386" s="20">
        <v>23</v>
      </c>
      <c r="AF386" s="20">
        <v>2</v>
      </c>
      <c r="AG386" s="20">
        <v>2004</v>
      </c>
      <c r="AH386" s="21">
        <v>38040</v>
      </c>
    </row>
    <row r="387" spans="1:34" x14ac:dyDescent="0.25">
      <c r="A387" s="35">
        <v>1464</v>
      </c>
      <c r="B387" s="22" t="s">
        <v>1839</v>
      </c>
      <c r="C387" s="22" t="s">
        <v>1839</v>
      </c>
      <c r="D387" s="94" t="s">
        <v>1391</v>
      </c>
      <c r="E387" s="20" t="s">
        <v>2053</v>
      </c>
      <c r="F387" s="20" t="s">
        <v>1845</v>
      </c>
      <c r="G387" s="31" t="s">
        <v>40</v>
      </c>
      <c r="H387" s="32">
        <v>1</v>
      </c>
      <c r="J387" s="32">
        <v>1</v>
      </c>
      <c r="O387" s="20">
        <v>0</v>
      </c>
      <c r="P387" s="20">
        <v>1</v>
      </c>
      <c r="Q387" s="20">
        <v>0</v>
      </c>
      <c r="R387" s="20">
        <v>0</v>
      </c>
      <c r="X387" s="20">
        <v>1</v>
      </c>
      <c r="Z387" s="20" t="s">
        <v>1857</v>
      </c>
      <c r="AA387" s="20" t="s">
        <v>1863</v>
      </c>
      <c r="AB387" s="31">
        <f>VLOOKUP(AA387,Masters!$K$2:$L$183,2,FALSE)</f>
        <v>1005</v>
      </c>
      <c r="AC387" s="20" t="s">
        <v>2064</v>
      </c>
      <c r="AD387" s="20" t="s">
        <v>2061</v>
      </c>
      <c r="AE387" s="20">
        <v>6</v>
      </c>
      <c r="AF387" s="20">
        <v>9</v>
      </c>
      <c r="AG387" s="20">
        <v>2005</v>
      </c>
      <c r="AH387" s="21">
        <v>38601</v>
      </c>
    </row>
    <row r="388" spans="1:34" x14ac:dyDescent="0.25">
      <c r="A388" s="35">
        <v>1480</v>
      </c>
      <c r="B388" s="22" t="s">
        <v>1839</v>
      </c>
      <c r="C388" s="22" t="s">
        <v>1839</v>
      </c>
      <c r="D388" s="94" t="s">
        <v>1407</v>
      </c>
      <c r="E388" s="20" t="s">
        <v>2058</v>
      </c>
      <c r="F388" s="20" t="s">
        <v>1846</v>
      </c>
      <c r="G388" s="31" t="s">
        <v>40</v>
      </c>
      <c r="H388" s="32">
        <v>1</v>
      </c>
      <c r="J388" s="32">
        <v>1</v>
      </c>
      <c r="O388" s="20">
        <v>0</v>
      </c>
      <c r="P388" s="20">
        <v>1</v>
      </c>
      <c r="Q388" s="20">
        <v>0</v>
      </c>
      <c r="R388" s="20">
        <v>0</v>
      </c>
      <c r="X388" s="20">
        <v>1</v>
      </c>
      <c r="Z388" s="20" t="s">
        <v>78</v>
      </c>
      <c r="AA388" s="20" t="s">
        <v>1862</v>
      </c>
      <c r="AB388" s="31">
        <f>VLOOKUP(AA388,Masters!$K$2:$L$183,2,FALSE)</f>
        <v>1004</v>
      </c>
      <c r="AC388" s="20" t="s">
        <v>2063</v>
      </c>
      <c r="AD388" s="20" t="s">
        <v>2060</v>
      </c>
      <c r="AE388" s="20">
        <v>7</v>
      </c>
      <c r="AF388" s="20">
        <v>11</v>
      </c>
      <c r="AG388" s="20">
        <v>2002</v>
      </c>
      <c r="AH388" s="21">
        <v>37567</v>
      </c>
    </row>
    <row r="389" spans="1:34" x14ac:dyDescent="0.25">
      <c r="A389" s="35">
        <v>1523</v>
      </c>
      <c r="B389" s="22" t="s">
        <v>1839</v>
      </c>
      <c r="C389" s="22" t="s">
        <v>1839</v>
      </c>
      <c r="D389" s="94" t="s">
        <v>1450</v>
      </c>
      <c r="E389" s="20" t="s">
        <v>2055</v>
      </c>
      <c r="F389" s="20" t="s">
        <v>1847</v>
      </c>
      <c r="G389" s="31" t="s">
        <v>40</v>
      </c>
      <c r="H389" s="32">
        <v>1</v>
      </c>
      <c r="J389" s="32">
        <v>1</v>
      </c>
      <c r="O389" s="20">
        <v>0</v>
      </c>
      <c r="P389" s="20">
        <v>1</v>
      </c>
      <c r="Q389" s="20">
        <v>0</v>
      </c>
      <c r="R389" s="20">
        <v>0</v>
      </c>
      <c r="X389" s="20">
        <v>1</v>
      </c>
      <c r="Z389" s="20" t="s">
        <v>1853</v>
      </c>
      <c r="AA389" s="20" t="s">
        <v>1859</v>
      </c>
      <c r="AB389" s="31">
        <f>VLOOKUP(AA389,Masters!$K$2:$L$183,2,FALSE)</f>
        <v>1001</v>
      </c>
      <c r="AC389" s="20" t="s">
        <v>2063</v>
      </c>
      <c r="AD389" s="20" t="s">
        <v>2060</v>
      </c>
      <c r="AE389" s="20">
        <v>30</v>
      </c>
      <c r="AF389" s="20">
        <v>9</v>
      </c>
      <c r="AG389" s="20">
        <v>2000</v>
      </c>
      <c r="AH389" s="21">
        <v>36799</v>
      </c>
    </row>
    <row r="390" spans="1:34" x14ac:dyDescent="0.25">
      <c r="A390" s="35">
        <v>1547</v>
      </c>
      <c r="B390" s="22" t="s">
        <v>1839</v>
      </c>
      <c r="C390" s="22" t="s">
        <v>1839</v>
      </c>
      <c r="D390" s="94" t="s">
        <v>1474</v>
      </c>
      <c r="E390" s="20" t="s">
        <v>2053</v>
      </c>
      <c r="F390" s="20" t="s">
        <v>1846</v>
      </c>
      <c r="G390" s="31" t="s">
        <v>40</v>
      </c>
      <c r="H390" s="32">
        <v>1</v>
      </c>
      <c r="J390" s="32">
        <v>1</v>
      </c>
      <c r="O390" s="20">
        <v>0</v>
      </c>
      <c r="P390" s="20">
        <v>1</v>
      </c>
      <c r="Q390" s="20">
        <v>0</v>
      </c>
      <c r="R390" s="20">
        <v>0</v>
      </c>
      <c r="X390" s="20">
        <v>1</v>
      </c>
      <c r="Z390" s="20" t="s">
        <v>1855</v>
      </c>
      <c r="AA390" s="20" t="s">
        <v>1861</v>
      </c>
      <c r="AB390" s="31">
        <f>VLOOKUP(AA390,Masters!$K$2:$L$183,2,FALSE)</f>
        <v>1003</v>
      </c>
      <c r="AC390" s="20" t="s">
        <v>2063</v>
      </c>
      <c r="AD390" s="20" t="s">
        <v>2061</v>
      </c>
      <c r="AE390" s="20">
        <v>5</v>
      </c>
      <c r="AF390" s="20">
        <v>1</v>
      </c>
      <c r="AG390" s="20">
        <v>2000</v>
      </c>
      <c r="AH390" s="21">
        <v>36530</v>
      </c>
    </row>
    <row r="391" spans="1:34" x14ac:dyDescent="0.25">
      <c r="A391" s="35">
        <v>1581</v>
      </c>
      <c r="B391" s="22" t="s">
        <v>1839</v>
      </c>
      <c r="C391" s="22" t="s">
        <v>1839</v>
      </c>
      <c r="D391" s="94" t="s">
        <v>1508</v>
      </c>
      <c r="E391" s="20" t="s">
        <v>2054</v>
      </c>
      <c r="F391" s="20" t="s">
        <v>1843</v>
      </c>
      <c r="G391" s="31" t="s">
        <v>40</v>
      </c>
      <c r="H391" s="32">
        <v>1</v>
      </c>
      <c r="J391" s="32">
        <v>1</v>
      </c>
      <c r="O391" s="20">
        <v>0</v>
      </c>
      <c r="P391" s="20">
        <v>1</v>
      </c>
      <c r="Q391" s="20">
        <v>0</v>
      </c>
      <c r="R391" s="20">
        <v>0</v>
      </c>
      <c r="X391" s="20">
        <v>1</v>
      </c>
      <c r="Z391" s="20" t="s">
        <v>753</v>
      </c>
      <c r="AA391" s="20" t="s">
        <v>1861</v>
      </c>
      <c r="AB391" s="31">
        <f>VLOOKUP(AA391,Masters!$K$2:$L$183,2,FALSE)</f>
        <v>1003</v>
      </c>
      <c r="AC391" s="20" t="s">
        <v>2063</v>
      </c>
      <c r="AD391" s="20" t="s">
        <v>2060</v>
      </c>
      <c r="AE391" s="20">
        <v>6</v>
      </c>
      <c r="AF391" s="20">
        <v>4</v>
      </c>
      <c r="AG391" s="20">
        <v>2005</v>
      </c>
      <c r="AH391" s="21">
        <v>38448</v>
      </c>
    </row>
    <row r="392" spans="1:34" x14ac:dyDescent="0.25">
      <c r="A392" s="35">
        <v>1621</v>
      </c>
      <c r="B392" s="22" t="s">
        <v>1839</v>
      </c>
      <c r="C392" s="22" t="s">
        <v>1839</v>
      </c>
      <c r="D392" s="94" t="s">
        <v>1548</v>
      </c>
      <c r="E392" s="20" t="s">
        <v>2050</v>
      </c>
      <c r="F392" s="20" t="s">
        <v>1845</v>
      </c>
      <c r="G392" s="31" t="s">
        <v>40</v>
      </c>
      <c r="H392" s="32">
        <v>1</v>
      </c>
      <c r="J392" s="32">
        <v>1</v>
      </c>
      <c r="O392" s="20">
        <v>0</v>
      </c>
      <c r="P392" s="20">
        <v>1</v>
      </c>
      <c r="Q392" s="20">
        <v>0</v>
      </c>
      <c r="R392" s="20">
        <v>0</v>
      </c>
      <c r="X392" s="20">
        <v>1</v>
      </c>
      <c r="Z392" s="20" t="s">
        <v>1853</v>
      </c>
      <c r="AA392" s="20" t="s">
        <v>1863</v>
      </c>
      <c r="AB392" s="31">
        <f>VLOOKUP(AA392,Masters!$K$2:$L$183,2,FALSE)</f>
        <v>1005</v>
      </c>
      <c r="AC392" s="20" t="s">
        <v>2063</v>
      </c>
      <c r="AD392" s="20" t="s">
        <v>2061</v>
      </c>
      <c r="AE392" s="20">
        <v>4</v>
      </c>
      <c r="AF392" s="20">
        <v>3</v>
      </c>
      <c r="AG392" s="20">
        <v>2005</v>
      </c>
      <c r="AH392" s="21">
        <v>38415</v>
      </c>
    </row>
    <row r="393" spans="1:34" x14ac:dyDescent="0.25">
      <c r="A393" s="35">
        <v>1650</v>
      </c>
      <c r="B393" s="22" t="s">
        <v>1839</v>
      </c>
      <c r="C393" s="22" t="s">
        <v>1839</v>
      </c>
      <c r="D393" s="94" t="s">
        <v>1577</v>
      </c>
      <c r="E393" s="20" t="s">
        <v>2058</v>
      </c>
      <c r="F393" s="20" t="s">
        <v>1844</v>
      </c>
      <c r="G393" s="31" t="s">
        <v>40</v>
      </c>
      <c r="H393" s="32">
        <v>1</v>
      </c>
      <c r="J393" s="32">
        <v>1</v>
      </c>
      <c r="O393" s="20">
        <v>0</v>
      </c>
      <c r="P393" s="20">
        <v>1</v>
      </c>
      <c r="Q393" s="20">
        <v>0</v>
      </c>
      <c r="R393" s="20">
        <v>0</v>
      </c>
      <c r="X393" s="20">
        <v>1</v>
      </c>
      <c r="Z393" s="20" t="s">
        <v>1855</v>
      </c>
      <c r="AA393" s="20" t="s">
        <v>1862</v>
      </c>
      <c r="AB393" s="31">
        <f>VLOOKUP(AA393,Masters!$K$2:$L$183,2,FALSE)</f>
        <v>1004</v>
      </c>
      <c r="AC393" s="20" t="s">
        <v>2064</v>
      </c>
      <c r="AD393" s="20" t="s">
        <v>2061</v>
      </c>
      <c r="AE393" s="20">
        <v>2</v>
      </c>
      <c r="AF393" s="20">
        <v>10</v>
      </c>
      <c r="AG393" s="20">
        <v>2005</v>
      </c>
      <c r="AH393" s="21">
        <v>38627</v>
      </c>
    </row>
    <row r="394" spans="1:34" x14ac:dyDescent="0.25">
      <c r="A394" s="35">
        <v>1654</v>
      </c>
      <c r="B394" s="22" t="s">
        <v>1839</v>
      </c>
      <c r="C394" s="22" t="s">
        <v>1839</v>
      </c>
      <c r="D394" s="94" t="s">
        <v>1581</v>
      </c>
      <c r="E394" s="20" t="s">
        <v>2052</v>
      </c>
      <c r="F394" s="20" t="s">
        <v>1844</v>
      </c>
      <c r="G394" s="31" t="s">
        <v>40</v>
      </c>
      <c r="H394" s="32">
        <v>1</v>
      </c>
      <c r="J394" s="32">
        <v>1</v>
      </c>
      <c r="O394" s="20">
        <v>0</v>
      </c>
      <c r="P394" s="20">
        <v>1</v>
      </c>
      <c r="Q394" s="20">
        <v>0</v>
      </c>
      <c r="R394" s="20">
        <v>0</v>
      </c>
      <c r="X394" s="20">
        <v>1</v>
      </c>
      <c r="Z394" s="20" t="s">
        <v>1856</v>
      </c>
      <c r="AA394" s="20" t="s">
        <v>1862</v>
      </c>
      <c r="AB394" s="31">
        <f>VLOOKUP(AA394,Masters!$K$2:$L$183,2,FALSE)</f>
        <v>1004</v>
      </c>
      <c r="AC394" s="20" t="s">
        <v>2064</v>
      </c>
      <c r="AD394" s="20" t="s">
        <v>2061</v>
      </c>
      <c r="AE394" s="20">
        <v>13</v>
      </c>
      <c r="AF394" s="20">
        <v>4</v>
      </c>
      <c r="AG394" s="20">
        <v>2001</v>
      </c>
      <c r="AH394" s="21">
        <v>36994</v>
      </c>
    </row>
    <row r="395" spans="1:34" x14ac:dyDescent="0.25">
      <c r="A395" s="35">
        <v>1709</v>
      </c>
      <c r="B395" s="22" t="s">
        <v>1839</v>
      </c>
      <c r="C395" s="22" t="s">
        <v>1839</v>
      </c>
      <c r="D395" s="94" t="s">
        <v>1636</v>
      </c>
      <c r="E395" s="20" t="s">
        <v>2051</v>
      </c>
      <c r="F395" s="20" t="s">
        <v>1844</v>
      </c>
      <c r="G395" s="31" t="s">
        <v>40</v>
      </c>
      <c r="H395" s="32">
        <v>1</v>
      </c>
      <c r="J395" s="32">
        <v>1</v>
      </c>
      <c r="O395" s="20">
        <v>0</v>
      </c>
      <c r="P395" s="20">
        <v>1</v>
      </c>
      <c r="Q395" s="20">
        <v>0</v>
      </c>
      <c r="R395" s="20">
        <v>0</v>
      </c>
      <c r="X395" s="20">
        <v>1</v>
      </c>
      <c r="Z395" s="20" t="s">
        <v>58</v>
      </c>
      <c r="AA395" s="20" t="s">
        <v>1859</v>
      </c>
      <c r="AB395" s="31">
        <f>VLOOKUP(AA395,Masters!$K$2:$L$183,2,FALSE)</f>
        <v>1001</v>
      </c>
      <c r="AC395" s="20" t="s">
        <v>2063</v>
      </c>
      <c r="AD395" s="20" t="s">
        <v>2060</v>
      </c>
      <c r="AE395" s="20">
        <v>23</v>
      </c>
      <c r="AF395" s="20">
        <v>6</v>
      </c>
      <c r="AG395" s="20">
        <v>2002</v>
      </c>
      <c r="AH395" s="21">
        <v>37430</v>
      </c>
    </row>
    <row r="396" spans="1:34" x14ac:dyDescent="0.25">
      <c r="A396" s="35">
        <v>1722</v>
      </c>
      <c r="B396" s="20" t="s">
        <v>78</v>
      </c>
      <c r="C396" s="20" t="s">
        <v>78</v>
      </c>
      <c r="D396" s="94" t="s">
        <v>1649</v>
      </c>
      <c r="E396" s="20" t="s">
        <v>2056</v>
      </c>
      <c r="F396" s="20" t="s">
        <v>1845</v>
      </c>
      <c r="G396" s="31" t="s">
        <v>40</v>
      </c>
      <c r="H396" s="32">
        <v>1</v>
      </c>
      <c r="J396" s="32">
        <v>1</v>
      </c>
      <c r="O396" s="20">
        <v>0</v>
      </c>
      <c r="P396" s="20">
        <v>1</v>
      </c>
      <c r="Q396" s="20">
        <v>0</v>
      </c>
      <c r="R396" s="20">
        <v>0</v>
      </c>
      <c r="X396" s="20">
        <v>1</v>
      </c>
      <c r="Z396" s="20" t="s">
        <v>1851</v>
      </c>
      <c r="AA396" s="20" t="s">
        <v>1863</v>
      </c>
      <c r="AB396" s="31">
        <f>VLOOKUP(AA396,Masters!$K$2:$L$183,2,FALSE)</f>
        <v>1005</v>
      </c>
      <c r="AC396" s="20" t="s">
        <v>2064</v>
      </c>
      <c r="AD396" s="20" t="s">
        <v>2061</v>
      </c>
      <c r="AE396" s="20">
        <v>10</v>
      </c>
      <c r="AF396" s="20">
        <v>5</v>
      </c>
      <c r="AG396" s="20">
        <v>2002</v>
      </c>
      <c r="AH396" s="21">
        <v>37386</v>
      </c>
    </row>
    <row r="397" spans="1:34" x14ac:dyDescent="0.25">
      <c r="A397" s="35">
        <v>1736</v>
      </c>
      <c r="B397" s="20" t="s">
        <v>78</v>
      </c>
      <c r="C397" s="20" t="s">
        <v>78</v>
      </c>
      <c r="D397" s="94" t="s">
        <v>1663</v>
      </c>
      <c r="E397" s="20" t="s">
        <v>2050</v>
      </c>
      <c r="F397" s="20" t="s">
        <v>1845</v>
      </c>
      <c r="G397" s="31" t="s">
        <v>40</v>
      </c>
      <c r="H397" s="32">
        <v>1</v>
      </c>
      <c r="J397" s="32">
        <v>1</v>
      </c>
      <c r="O397" s="20">
        <v>0</v>
      </c>
      <c r="P397" s="20">
        <v>1</v>
      </c>
      <c r="Q397" s="20">
        <v>0</v>
      </c>
      <c r="R397" s="20">
        <v>0</v>
      </c>
      <c r="X397" s="20">
        <v>1</v>
      </c>
      <c r="Z397" s="20" t="s">
        <v>1850</v>
      </c>
      <c r="AA397" s="20" t="s">
        <v>1863</v>
      </c>
      <c r="AB397" s="31">
        <f>VLOOKUP(AA397,Masters!$K$2:$L$183,2,FALSE)</f>
        <v>1005</v>
      </c>
      <c r="AC397" s="20" t="s">
        <v>2064</v>
      </c>
      <c r="AD397" s="20" t="s">
        <v>2061</v>
      </c>
      <c r="AE397" s="20">
        <v>13</v>
      </c>
      <c r="AF397" s="20">
        <v>5</v>
      </c>
      <c r="AG397" s="20">
        <v>2001</v>
      </c>
      <c r="AH397" s="21">
        <v>37024</v>
      </c>
    </row>
    <row r="398" spans="1:34" x14ac:dyDescent="0.25">
      <c r="A398" s="35">
        <v>1801</v>
      </c>
      <c r="B398" s="20" t="s">
        <v>78</v>
      </c>
      <c r="C398" s="20" t="s">
        <v>78</v>
      </c>
      <c r="D398" s="94" t="s">
        <v>1728</v>
      </c>
      <c r="E398" s="20" t="s">
        <v>2053</v>
      </c>
      <c r="F398" s="20" t="s">
        <v>1845</v>
      </c>
      <c r="G398" s="31" t="s">
        <v>40</v>
      </c>
      <c r="H398" s="32">
        <v>1</v>
      </c>
      <c r="J398" s="32">
        <v>1</v>
      </c>
      <c r="O398" s="20">
        <v>0</v>
      </c>
      <c r="P398" s="20">
        <v>1</v>
      </c>
      <c r="Q398" s="20">
        <v>0</v>
      </c>
      <c r="R398" s="20">
        <v>0</v>
      </c>
      <c r="X398" s="20">
        <v>1</v>
      </c>
      <c r="Z398" s="20" t="s">
        <v>1850</v>
      </c>
      <c r="AA398" s="20" t="s">
        <v>1863</v>
      </c>
      <c r="AB398" s="31">
        <f>VLOOKUP(AA398,Masters!$K$2:$L$183,2,FALSE)</f>
        <v>1005</v>
      </c>
      <c r="AC398" s="20" t="s">
        <v>2064</v>
      </c>
      <c r="AD398" s="20" t="s">
        <v>2061</v>
      </c>
      <c r="AE398" s="20">
        <v>30</v>
      </c>
      <c r="AF398" s="20">
        <v>9</v>
      </c>
      <c r="AG398" s="20">
        <v>2004</v>
      </c>
      <c r="AH398" s="21">
        <v>38260</v>
      </c>
    </row>
    <row r="399" spans="1:34" x14ac:dyDescent="0.25">
      <c r="A399" s="35">
        <v>1811</v>
      </c>
      <c r="B399" s="20" t="s">
        <v>78</v>
      </c>
      <c r="C399" s="20" t="s">
        <v>78</v>
      </c>
      <c r="D399" s="94" t="s">
        <v>1738</v>
      </c>
      <c r="E399" s="20" t="s">
        <v>2053</v>
      </c>
      <c r="F399" s="20" t="s">
        <v>1845</v>
      </c>
      <c r="G399" s="31" t="s">
        <v>40</v>
      </c>
      <c r="H399" s="32">
        <v>1</v>
      </c>
      <c r="J399" s="32">
        <v>1</v>
      </c>
      <c r="O399" s="20">
        <v>0</v>
      </c>
      <c r="P399" s="20">
        <v>1</v>
      </c>
      <c r="Q399" s="20">
        <v>0</v>
      </c>
      <c r="R399" s="20">
        <v>0</v>
      </c>
      <c r="X399" s="20">
        <v>1</v>
      </c>
      <c r="Z399" s="20" t="s">
        <v>1852</v>
      </c>
      <c r="AA399" s="20" t="s">
        <v>1863</v>
      </c>
      <c r="AB399" s="31">
        <f>VLOOKUP(AA399,Masters!$K$2:$L$183,2,FALSE)</f>
        <v>1005</v>
      </c>
      <c r="AC399" s="20" t="s">
        <v>2063</v>
      </c>
      <c r="AD399" s="20" t="s">
        <v>2060</v>
      </c>
      <c r="AE399" s="20">
        <v>26</v>
      </c>
      <c r="AF399" s="20">
        <v>5</v>
      </c>
      <c r="AG399" s="20">
        <v>2004</v>
      </c>
      <c r="AH399" s="21">
        <v>38133</v>
      </c>
    </row>
    <row r="400" spans="1:34" x14ac:dyDescent="0.25">
      <c r="A400" s="35">
        <v>1816</v>
      </c>
      <c r="B400" s="20" t="s">
        <v>78</v>
      </c>
      <c r="C400" s="20" t="s">
        <v>78</v>
      </c>
      <c r="D400" s="94" t="s">
        <v>1743</v>
      </c>
      <c r="E400" s="20" t="s">
        <v>2051</v>
      </c>
      <c r="F400" s="20" t="s">
        <v>1846</v>
      </c>
      <c r="G400" s="31" t="s">
        <v>40</v>
      </c>
      <c r="H400" s="32">
        <v>1</v>
      </c>
      <c r="J400" s="32">
        <v>1</v>
      </c>
      <c r="O400" s="20">
        <v>0</v>
      </c>
      <c r="P400" s="20">
        <v>1</v>
      </c>
      <c r="Q400" s="20">
        <v>0</v>
      </c>
      <c r="R400" s="20">
        <v>0</v>
      </c>
      <c r="X400" s="20">
        <v>1</v>
      </c>
      <c r="Z400" s="20" t="s">
        <v>78</v>
      </c>
      <c r="AA400" s="20" t="s">
        <v>1862</v>
      </c>
      <c r="AB400" s="31">
        <f>VLOOKUP(AA400,Masters!$K$2:$L$183,2,FALSE)</f>
        <v>1004</v>
      </c>
      <c r="AC400" s="20" t="s">
        <v>2063</v>
      </c>
      <c r="AD400" s="20" t="s">
        <v>2060</v>
      </c>
      <c r="AE400" s="20">
        <v>15</v>
      </c>
      <c r="AF400" s="20">
        <v>9</v>
      </c>
      <c r="AG400" s="20">
        <v>2004</v>
      </c>
      <c r="AH400" s="21">
        <v>38245</v>
      </c>
    </row>
    <row r="401" spans="1:34" x14ac:dyDescent="0.25">
      <c r="A401" s="35">
        <v>1896</v>
      </c>
      <c r="B401" s="20" t="s">
        <v>78</v>
      </c>
      <c r="C401" s="20" t="s">
        <v>78</v>
      </c>
      <c r="D401" s="94" t="s">
        <v>1823</v>
      </c>
      <c r="E401" s="20" t="s">
        <v>2058</v>
      </c>
      <c r="F401" s="20" t="s">
        <v>1847</v>
      </c>
      <c r="G401" s="31" t="s">
        <v>40</v>
      </c>
      <c r="H401" s="32">
        <v>1</v>
      </c>
      <c r="J401" s="32">
        <v>1</v>
      </c>
      <c r="O401" s="20">
        <v>0</v>
      </c>
      <c r="P401" s="20">
        <v>1</v>
      </c>
      <c r="Q401" s="20">
        <v>0</v>
      </c>
      <c r="R401" s="20">
        <v>0</v>
      </c>
      <c r="X401" s="20">
        <v>1</v>
      </c>
      <c r="Z401" s="20" t="s">
        <v>78</v>
      </c>
      <c r="AA401" s="20" t="s">
        <v>1862</v>
      </c>
      <c r="AB401" s="31">
        <f>VLOOKUP(AA401,Masters!$K$2:$L$183,2,FALSE)</f>
        <v>1004</v>
      </c>
      <c r="AC401" s="20" t="s">
        <v>2063</v>
      </c>
      <c r="AD401" s="20" t="s">
        <v>2061</v>
      </c>
      <c r="AE401" s="20">
        <v>2</v>
      </c>
      <c r="AF401" s="20">
        <v>10</v>
      </c>
      <c r="AG401" s="20">
        <v>2002</v>
      </c>
      <c r="AH401" s="21">
        <v>37531</v>
      </c>
    </row>
    <row r="402" spans="1:34" x14ac:dyDescent="0.25">
      <c r="A402" s="35">
        <v>1921</v>
      </c>
      <c r="B402" s="20" t="s">
        <v>78</v>
      </c>
      <c r="C402" s="20" t="s">
        <v>78</v>
      </c>
      <c r="E402" s="20" t="s">
        <v>2058</v>
      </c>
      <c r="F402" s="20" t="s">
        <v>1846</v>
      </c>
      <c r="G402" s="31" t="s">
        <v>35</v>
      </c>
      <c r="I402" s="208">
        <v>1</v>
      </c>
      <c r="J402" s="208">
        <v>1</v>
      </c>
      <c r="K402" s="208"/>
      <c r="L402" s="209"/>
      <c r="M402" s="208"/>
      <c r="N402" s="208"/>
      <c r="O402" s="210">
        <v>0</v>
      </c>
      <c r="P402" s="210">
        <v>0</v>
      </c>
      <c r="Q402" s="210">
        <v>1</v>
      </c>
      <c r="R402" s="210">
        <v>0</v>
      </c>
      <c r="X402" s="20">
        <v>1</v>
      </c>
      <c r="Z402" s="20" t="s">
        <v>1856</v>
      </c>
      <c r="AA402" s="20" t="s">
        <v>1859</v>
      </c>
      <c r="AB402" s="31">
        <f>VLOOKUP(AA402,Masters!$K$2:$L$183,2,FALSE)</f>
        <v>1001</v>
      </c>
      <c r="AC402" s="20" t="s">
        <v>2063</v>
      </c>
      <c r="AE402" s="20">
        <v>25</v>
      </c>
      <c r="AF402" s="20">
        <v>4</v>
      </c>
      <c r="AG402" s="20">
        <v>2004</v>
      </c>
      <c r="AH402" s="21">
        <v>38102</v>
      </c>
    </row>
    <row r="403" spans="1:34" x14ac:dyDescent="0.25">
      <c r="A403" s="35">
        <v>1963</v>
      </c>
      <c r="B403" s="20" t="s">
        <v>78</v>
      </c>
      <c r="C403" s="20" t="s">
        <v>78</v>
      </c>
      <c r="E403" s="20" t="s">
        <v>2056</v>
      </c>
      <c r="F403" s="20" t="s">
        <v>1844</v>
      </c>
      <c r="G403" s="31" t="s">
        <v>35</v>
      </c>
      <c r="I403" s="208">
        <v>1</v>
      </c>
      <c r="J403" s="208">
        <v>1</v>
      </c>
      <c r="K403" s="208"/>
      <c r="L403" s="209"/>
      <c r="M403" s="208"/>
      <c r="N403" s="208"/>
      <c r="O403" s="210">
        <v>0</v>
      </c>
      <c r="P403" s="210">
        <v>0</v>
      </c>
      <c r="Q403" s="210">
        <v>1</v>
      </c>
      <c r="R403" s="210">
        <v>0</v>
      </c>
      <c r="X403" s="20">
        <v>1</v>
      </c>
      <c r="Z403" s="20" t="s">
        <v>1849</v>
      </c>
      <c r="AA403" s="20" t="s">
        <v>1859</v>
      </c>
      <c r="AB403" s="31">
        <f>VLOOKUP(AA403,Masters!$K$2:$L$183,2,FALSE)</f>
        <v>1001</v>
      </c>
      <c r="AC403" s="20" t="s">
        <v>2063</v>
      </c>
      <c r="AE403" s="20">
        <v>3</v>
      </c>
      <c r="AF403" s="20">
        <v>11</v>
      </c>
      <c r="AG403" s="20">
        <v>2003</v>
      </c>
      <c r="AH403" s="21">
        <v>37928</v>
      </c>
    </row>
    <row r="404" spans="1:34" x14ac:dyDescent="0.25">
      <c r="A404" s="35">
        <v>1008</v>
      </c>
      <c r="B404" s="20" t="s">
        <v>78</v>
      </c>
      <c r="C404" s="20" t="s">
        <v>78</v>
      </c>
      <c r="D404" s="94" t="s">
        <v>935</v>
      </c>
      <c r="E404" s="20" t="s">
        <v>135</v>
      </c>
      <c r="F404" s="20" t="s">
        <v>1844</v>
      </c>
      <c r="G404" s="35" t="s">
        <v>40</v>
      </c>
      <c r="H404" s="36">
        <v>1</v>
      </c>
      <c r="I404" s="36" t="s">
        <v>263</v>
      </c>
      <c r="J404" s="36">
        <v>1</v>
      </c>
      <c r="K404" s="37" t="s">
        <v>263</v>
      </c>
      <c r="L404" s="38" t="s">
        <v>263</v>
      </c>
      <c r="M404" s="36" t="s">
        <v>263</v>
      </c>
      <c r="N404" s="36" t="s">
        <v>263</v>
      </c>
      <c r="O404" s="22" t="s">
        <v>265</v>
      </c>
      <c r="P404" s="22" t="s">
        <v>264</v>
      </c>
      <c r="Q404" s="22" t="s">
        <v>265</v>
      </c>
      <c r="R404" s="22" t="s">
        <v>265</v>
      </c>
      <c r="S404" s="22" t="s">
        <v>263</v>
      </c>
      <c r="T404" s="22" t="s">
        <v>263</v>
      </c>
      <c r="U404" s="22" t="s">
        <v>263</v>
      </c>
      <c r="V404" s="22" t="s">
        <v>263</v>
      </c>
      <c r="X404" s="22" t="s">
        <v>264</v>
      </c>
      <c r="Y404" s="22" t="s">
        <v>263</v>
      </c>
      <c r="Z404" s="20" t="s">
        <v>753</v>
      </c>
      <c r="AA404" s="20" t="s">
        <v>1859</v>
      </c>
      <c r="AB404" s="31">
        <f>VLOOKUP(AA404,Masters!$K$2:$L$183,2,FALSE)</f>
        <v>1001</v>
      </c>
      <c r="AC404" s="22" t="s">
        <v>2064</v>
      </c>
      <c r="AD404" s="22" t="s">
        <v>2061</v>
      </c>
      <c r="AE404" s="20">
        <v>2</v>
      </c>
      <c r="AF404" s="20">
        <v>10</v>
      </c>
      <c r="AG404" s="20">
        <v>2000</v>
      </c>
      <c r="AH404" s="21">
        <v>36801</v>
      </c>
    </row>
    <row r="405" spans="1:34" x14ac:dyDescent="0.25">
      <c r="A405" s="35">
        <v>1016</v>
      </c>
      <c r="B405" s="20" t="s">
        <v>78</v>
      </c>
      <c r="C405" s="20" t="s">
        <v>78</v>
      </c>
      <c r="D405" s="94" t="s">
        <v>943</v>
      </c>
      <c r="E405" s="20" t="s">
        <v>2056</v>
      </c>
      <c r="F405" s="20" t="s">
        <v>1844</v>
      </c>
      <c r="G405" s="31" t="s">
        <v>40</v>
      </c>
      <c r="H405" s="32">
        <v>1</v>
      </c>
      <c r="J405" s="32">
        <v>1</v>
      </c>
      <c r="O405" s="20">
        <v>0</v>
      </c>
      <c r="P405" s="20">
        <v>1</v>
      </c>
      <c r="Q405" s="20">
        <v>0</v>
      </c>
      <c r="R405" s="20">
        <v>0</v>
      </c>
      <c r="X405" s="20">
        <v>1</v>
      </c>
      <c r="Z405" s="20" t="s">
        <v>78</v>
      </c>
      <c r="AA405" s="20" t="s">
        <v>1863</v>
      </c>
      <c r="AB405" s="31">
        <f>VLOOKUP(AA405,Masters!$K$2:$L$183,2,FALSE)</f>
        <v>1005</v>
      </c>
      <c r="AC405" s="20" t="s">
        <v>2063</v>
      </c>
      <c r="AD405" s="20" t="s">
        <v>2060</v>
      </c>
      <c r="AE405" s="20">
        <v>5</v>
      </c>
      <c r="AF405" s="20">
        <v>5</v>
      </c>
      <c r="AG405" s="20">
        <v>2002</v>
      </c>
      <c r="AH405" s="21">
        <v>37381</v>
      </c>
    </row>
    <row r="406" spans="1:34" x14ac:dyDescent="0.25">
      <c r="A406" s="35">
        <v>1018</v>
      </c>
      <c r="B406" s="20" t="s">
        <v>78</v>
      </c>
      <c r="C406" s="20" t="s">
        <v>78</v>
      </c>
      <c r="D406" s="94" t="s">
        <v>945</v>
      </c>
      <c r="E406" s="20" t="s">
        <v>2050</v>
      </c>
      <c r="F406" s="20" t="s">
        <v>1846</v>
      </c>
      <c r="G406" s="31" t="s">
        <v>40</v>
      </c>
      <c r="H406" s="32">
        <v>1</v>
      </c>
      <c r="J406" s="32">
        <v>1</v>
      </c>
      <c r="O406" s="20">
        <v>0</v>
      </c>
      <c r="P406" s="20">
        <v>1</v>
      </c>
      <c r="Q406" s="20">
        <v>0</v>
      </c>
      <c r="R406" s="20">
        <v>0</v>
      </c>
      <c r="X406" s="20">
        <v>1</v>
      </c>
      <c r="Z406" s="20" t="s">
        <v>753</v>
      </c>
      <c r="AA406" s="20" t="s">
        <v>1860</v>
      </c>
      <c r="AB406" s="31">
        <f>VLOOKUP(AA406,Masters!$K$2:$L$183,2,FALSE)</f>
        <v>1002</v>
      </c>
      <c r="AC406" s="20" t="s">
        <v>2064</v>
      </c>
      <c r="AD406" s="20" t="s">
        <v>2061</v>
      </c>
      <c r="AE406" s="20">
        <v>21</v>
      </c>
      <c r="AF406" s="20">
        <v>7</v>
      </c>
      <c r="AG406" s="20">
        <v>2004</v>
      </c>
      <c r="AH406" s="21">
        <v>38189</v>
      </c>
    </row>
    <row r="407" spans="1:34" x14ac:dyDescent="0.25">
      <c r="A407" s="35">
        <v>1033</v>
      </c>
      <c r="B407" s="20" t="s">
        <v>78</v>
      </c>
      <c r="C407" s="20" t="s">
        <v>78</v>
      </c>
      <c r="D407" s="94" t="s">
        <v>960</v>
      </c>
      <c r="E407" s="20" t="s">
        <v>2059</v>
      </c>
      <c r="F407" s="20" t="s">
        <v>1844</v>
      </c>
      <c r="G407" s="31" t="s">
        <v>40</v>
      </c>
      <c r="H407" s="32">
        <v>1</v>
      </c>
      <c r="J407" s="32">
        <v>1</v>
      </c>
      <c r="O407" s="20">
        <v>0</v>
      </c>
      <c r="P407" s="20">
        <v>1</v>
      </c>
      <c r="Q407" s="20">
        <v>0</v>
      </c>
      <c r="R407" s="20">
        <v>0</v>
      </c>
      <c r="X407" s="20">
        <v>1</v>
      </c>
      <c r="Z407" s="20" t="s">
        <v>1835</v>
      </c>
      <c r="AA407" s="20" t="s">
        <v>1859</v>
      </c>
      <c r="AB407" s="31">
        <f>VLOOKUP(AA407,Masters!$K$2:$L$183,2,FALSE)</f>
        <v>1001</v>
      </c>
      <c r="AC407" s="20" t="s">
        <v>2064</v>
      </c>
      <c r="AD407" s="20" t="s">
        <v>2061</v>
      </c>
      <c r="AE407" s="20">
        <v>9</v>
      </c>
      <c r="AF407" s="20">
        <v>8</v>
      </c>
      <c r="AG407" s="20">
        <v>2002</v>
      </c>
      <c r="AH407" s="21">
        <v>37477</v>
      </c>
    </row>
    <row r="408" spans="1:34" x14ac:dyDescent="0.25">
      <c r="A408" s="35">
        <v>1042</v>
      </c>
      <c r="B408" s="20" t="s">
        <v>78</v>
      </c>
      <c r="C408" s="20" t="s">
        <v>78</v>
      </c>
      <c r="D408" s="94" t="s">
        <v>969</v>
      </c>
      <c r="E408" s="20" t="s">
        <v>2057</v>
      </c>
      <c r="F408" s="20" t="s">
        <v>1844</v>
      </c>
      <c r="G408" s="31" t="s">
        <v>40</v>
      </c>
      <c r="H408" s="32">
        <v>1</v>
      </c>
      <c r="J408" s="32">
        <v>1</v>
      </c>
      <c r="O408" s="20">
        <v>0</v>
      </c>
      <c r="P408" s="20">
        <v>1</v>
      </c>
      <c r="Q408" s="20">
        <v>0</v>
      </c>
      <c r="R408" s="20">
        <v>0</v>
      </c>
      <c r="X408" s="20">
        <v>1</v>
      </c>
      <c r="Z408" s="20" t="s">
        <v>78</v>
      </c>
      <c r="AA408" s="20" t="s">
        <v>1861</v>
      </c>
      <c r="AB408" s="31">
        <f>VLOOKUP(AA408,Masters!$K$2:$L$183,2,FALSE)</f>
        <v>1003</v>
      </c>
      <c r="AC408" s="20" t="s">
        <v>2063</v>
      </c>
      <c r="AD408" s="20" t="s">
        <v>2061</v>
      </c>
      <c r="AE408" s="20">
        <v>16</v>
      </c>
      <c r="AF408" s="20">
        <v>10</v>
      </c>
      <c r="AG408" s="20">
        <v>2004</v>
      </c>
      <c r="AH408" s="21">
        <v>38276</v>
      </c>
    </row>
    <row r="409" spans="1:34" x14ac:dyDescent="0.25">
      <c r="A409" s="35">
        <v>1080</v>
      </c>
      <c r="B409" s="20" t="s">
        <v>78</v>
      </c>
      <c r="C409" s="20" t="s">
        <v>78</v>
      </c>
      <c r="D409" s="94" t="s">
        <v>1007</v>
      </c>
      <c r="E409" s="20" t="s">
        <v>2058</v>
      </c>
      <c r="F409" s="20" t="s">
        <v>1845</v>
      </c>
      <c r="G409" s="31" t="s">
        <v>40</v>
      </c>
      <c r="H409" s="32">
        <v>1</v>
      </c>
      <c r="J409" s="32">
        <v>1</v>
      </c>
      <c r="O409" s="20">
        <v>0</v>
      </c>
      <c r="P409" s="20">
        <v>1</v>
      </c>
      <c r="Q409" s="20">
        <v>0</v>
      </c>
      <c r="R409" s="20">
        <v>0</v>
      </c>
      <c r="X409" s="20">
        <v>1</v>
      </c>
      <c r="Z409" s="20" t="s">
        <v>100</v>
      </c>
      <c r="AA409" s="20" t="s">
        <v>1863</v>
      </c>
      <c r="AB409" s="31">
        <f>VLOOKUP(AA409,Masters!$K$2:$L$183,2,FALSE)</f>
        <v>1005</v>
      </c>
      <c r="AC409" s="20" t="s">
        <v>2063</v>
      </c>
      <c r="AD409" s="20" t="s">
        <v>2061</v>
      </c>
      <c r="AE409" s="20">
        <v>28</v>
      </c>
      <c r="AF409" s="20">
        <v>2</v>
      </c>
      <c r="AG409" s="20">
        <v>2000</v>
      </c>
      <c r="AH409" s="21">
        <v>36584</v>
      </c>
    </row>
    <row r="410" spans="1:34" x14ac:dyDescent="0.25">
      <c r="A410" s="35">
        <v>1099</v>
      </c>
      <c r="B410" s="20" t="s">
        <v>78</v>
      </c>
      <c r="C410" s="20" t="s">
        <v>78</v>
      </c>
      <c r="D410" s="94" t="s">
        <v>1026</v>
      </c>
      <c r="E410" s="20" t="s">
        <v>133</v>
      </c>
      <c r="F410" s="20" t="s">
        <v>1845</v>
      </c>
      <c r="G410" s="31" t="s">
        <v>40</v>
      </c>
      <c r="H410" s="32">
        <v>1</v>
      </c>
      <c r="J410" s="32">
        <v>1</v>
      </c>
      <c r="O410" s="20">
        <v>0</v>
      </c>
      <c r="P410" s="20">
        <v>1</v>
      </c>
      <c r="Q410" s="20">
        <v>0</v>
      </c>
      <c r="R410" s="20">
        <v>0</v>
      </c>
      <c r="X410" s="20">
        <v>1</v>
      </c>
      <c r="Z410" s="20" t="s">
        <v>1857</v>
      </c>
      <c r="AA410" s="20" t="s">
        <v>1859</v>
      </c>
      <c r="AB410" s="31">
        <f>VLOOKUP(AA410,Masters!$K$2:$L$183,2,FALSE)</f>
        <v>1001</v>
      </c>
      <c r="AC410" s="20" t="s">
        <v>2063</v>
      </c>
      <c r="AD410" s="20" t="s">
        <v>2060</v>
      </c>
      <c r="AE410" s="20">
        <v>6</v>
      </c>
      <c r="AF410" s="20">
        <v>5</v>
      </c>
      <c r="AG410" s="20">
        <v>2005</v>
      </c>
      <c r="AH410" s="21">
        <v>38478</v>
      </c>
    </row>
    <row r="411" spans="1:34" x14ac:dyDescent="0.25">
      <c r="A411" s="35">
        <v>1134</v>
      </c>
      <c r="B411" s="20" t="s">
        <v>78</v>
      </c>
      <c r="C411" s="20" t="s">
        <v>78</v>
      </c>
      <c r="D411" s="94" t="s">
        <v>1061</v>
      </c>
      <c r="E411" s="20" t="s">
        <v>2059</v>
      </c>
      <c r="F411" s="20" t="s">
        <v>1844</v>
      </c>
      <c r="G411" s="31" t="s">
        <v>40</v>
      </c>
      <c r="H411" s="32">
        <v>1</v>
      </c>
      <c r="J411" s="32">
        <v>1</v>
      </c>
      <c r="O411" s="20">
        <v>0</v>
      </c>
      <c r="P411" s="20">
        <v>1</v>
      </c>
      <c r="Q411" s="20">
        <v>0</v>
      </c>
      <c r="R411" s="20">
        <v>0</v>
      </c>
      <c r="X411" s="20">
        <v>1</v>
      </c>
      <c r="Z411" s="20" t="s">
        <v>753</v>
      </c>
      <c r="AA411" s="20" t="s">
        <v>1859</v>
      </c>
      <c r="AB411" s="31">
        <f>VLOOKUP(AA411,Masters!$K$2:$L$183,2,FALSE)</f>
        <v>1001</v>
      </c>
      <c r="AC411" s="20" t="s">
        <v>2063</v>
      </c>
      <c r="AD411" s="20" t="s">
        <v>2061</v>
      </c>
      <c r="AE411" s="20">
        <v>16</v>
      </c>
      <c r="AF411" s="20">
        <v>12</v>
      </c>
      <c r="AG411" s="20">
        <v>2003</v>
      </c>
      <c r="AH411" s="21">
        <v>37971</v>
      </c>
    </row>
    <row r="412" spans="1:34" x14ac:dyDescent="0.25">
      <c r="A412" s="35">
        <v>1137</v>
      </c>
      <c r="B412" s="20" t="s">
        <v>78</v>
      </c>
      <c r="C412" s="20" t="s">
        <v>78</v>
      </c>
      <c r="D412" s="94" t="s">
        <v>1064</v>
      </c>
      <c r="E412" s="20" t="s">
        <v>2050</v>
      </c>
      <c r="F412" s="20" t="s">
        <v>1845</v>
      </c>
      <c r="G412" s="31" t="s">
        <v>40</v>
      </c>
      <c r="H412" s="32">
        <v>1</v>
      </c>
      <c r="J412" s="32">
        <v>1</v>
      </c>
      <c r="O412" s="20">
        <v>0</v>
      </c>
      <c r="P412" s="20">
        <v>1</v>
      </c>
      <c r="Q412" s="20">
        <v>0</v>
      </c>
      <c r="R412" s="20">
        <v>0</v>
      </c>
      <c r="X412" s="20">
        <v>1</v>
      </c>
      <c r="Z412" s="20" t="s">
        <v>1853</v>
      </c>
      <c r="AA412" s="20" t="s">
        <v>1861</v>
      </c>
      <c r="AB412" s="31">
        <f>VLOOKUP(AA412,Masters!$K$2:$L$183,2,FALSE)</f>
        <v>1003</v>
      </c>
      <c r="AC412" s="20" t="s">
        <v>2064</v>
      </c>
      <c r="AD412" s="20" t="s">
        <v>2061</v>
      </c>
      <c r="AE412" s="20">
        <v>25</v>
      </c>
      <c r="AF412" s="20">
        <v>4</v>
      </c>
      <c r="AG412" s="20">
        <v>2005</v>
      </c>
      <c r="AH412" s="21">
        <v>38467</v>
      </c>
    </row>
    <row r="413" spans="1:34" x14ac:dyDescent="0.25">
      <c r="A413" s="35">
        <v>1149</v>
      </c>
      <c r="B413" s="20" t="s">
        <v>78</v>
      </c>
      <c r="C413" s="20" t="s">
        <v>78</v>
      </c>
      <c r="D413" s="94" t="s">
        <v>1076</v>
      </c>
      <c r="E413" s="20" t="s">
        <v>126</v>
      </c>
      <c r="F413" s="20" t="s">
        <v>1846</v>
      </c>
      <c r="G413" s="31" t="s">
        <v>40</v>
      </c>
      <c r="H413" s="32">
        <v>1</v>
      </c>
      <c r="J413" s="32">
        <v>1</v>
      </c>
      <c r="O413" s="20">
        <v>0</v>
      </c>
      <c r="P413" s="20">
        <v>1</v>
      </c>
      <c r="Q413" s="20">
        <v>0</v>
      </c>
      <c r="R413" s="20">
        <v>0</v>
      </c>
      <c r="X413" s="20">
        <v>1</v>
      </c>
      <c r="Z413" s="20" t="s">
        <v>1851</v>
      </c>
      <c r="AA413" s="20" t="s">
        <v>1862</v>
      </c>
      <c r="AB413" s="31">
        <f>VLOOKUP(AA413,Masters!$K$2:$L$183,2,FALSE)</f>
        <v>1004</v>
      </c>
      <c r="AC413" s="20" t="s">
        <v>2064</v>
      </c>
      <c r="AD413" s="20" t="s">
        <v>2061</v>
      </c>
      <c r="AE413" s="20">
        <v>3</v>
      </c>
      <c r="AF413" s="20">
        <v>8</v>
      </c>
      <c r="AG413" s="20">
        <v>2000</v>
      </c>
      <c r="AH413" s="21">
        <v>36741</v>
      </c>
    </row>
    <row r="414" spans="1:34" x14ac:dyDescent="0.25">
      <c r="A414" s="35">
        <v>1160</v>
      </c>
      <c r="B414" s="20" t="s">
        <v>78</v>
      </c>
      <c r="C414" s="20" t="s">
        <v>78</v>
      </c>
      <c r="D414" s="94" t="s">
        <v>1087</v>
      </c>
      <c r="E414" s="20" t="s">
        <v>2053</v>
      </c>
      <c r="F414" s="20" t="s">
        <v>1844</v>
      </c>
      <c r="G414" s="31" t="s">
        <v>40</v>
      </c>
      <c r="H414" s="32">
        <v>1</v>
      </c>
      <c r="J414" s="32">
        <v>1</v>
      </c>
      <c r="O414" s="20">
        <v>0</v>
      </c>
      <c r="P414" s="20">
        <v>1</v>
      </c>
      <c r="Q414" s="20">
        <v>0</v>
      </c>
      <c r="R414" s="20">
        <v>0</v>
      </c>
      <c r="X414" s="20">
        <v>1</v>
      </c>
      <c r="Z414" s="20" t="s">
        <v>1857</v>
      </c>
      <c r="AA414" s="20" t="s">
        <v>1859</v>
      </c>
      <c r="AB414" s="31">
        <f>VLOOKUP(AA414,Masters!$K$2:$L$183,2,FALSE)</f>
        <v>1001</v>
      </c>
      <c r="AC414" s="20" t="s">
        <v>2063</v>
      </c>
      <c r="AD414" s="20" t="s">
        <v>2061</v>
      </c>
      <c r="AE414" s="20">
        <v>18</v>
      </c>
      <c r="AF414" s="20">
        <v>7</v>
      </c>
      <c r="AG414" s="20">
        <v>2000</v>
      </c>
      <c r="AH414" s="21">
        <v>36725</v>
      </c>
    </row>
    <row r="415" spans="1:34" x14ac:dyDescent="0.25">
      <c r="A415" s="35">
        <v>1181</v>
      </c>
      <c r="B415" s="20" t="s">
        <v>78</v>
      </c>
      <c r="C415" s="20" t="s">
        <v>78</v>
      </c>
      <c r="D415" s="94" t="s">
        <v>1108</v>
      </c>
      <c r="E415" s="20" t="s">
        <v>2053</v>
      </c>
      <c r="F415" s="20" t="s">
        <v>1844</v>
      </c>
      <c r="G415" s="31" t="s">
        <v>40</v>
      </c>
      <c r="H415" s="32">
        <v>1</v>
      </c>
      <c r="J415" s="32">
        <v>1</v>
      </c>
      <c r="O415" s="20">
        <v>0</v>
      </c>
      <c r="P415" s="20">
        <v>1</v>
      </c>
      <c r="Q415" s="20">
        <v>0</v>
      </c>
      <c r="R415" s="20">
        <v>0</v>
      </c>
      <c r="X415" s="20">
        <v>1</v>
      </c>
      <c r="Z415" s="20" t="s">
        <v>1857</v>
      </c>
      <c r="AA415" s="20" t="s">
        <v>1862</v>
      </c>
      <c r="AB415" s="31">
        <f>VLOOKUP(AA415,Masters!$K$2:$L$183,2,FALSE)</f>
        <v>1004</v>
      </c>
      <c r="AC415" s="20" t="s">
        <v>2063</v>
      </c>
      <c r="AD415" s="20" t="s">
        <v>2060</v>
      </c>
      <c r="AE415" s="20">
        <v>30</v>
      </c>
      <c r="AF415" s="20">
        <v>3</v>
      </c>
      <c r="AG415" s="20">
        <v>2004</v>
      </c>
      <c r="AH415" s="21">
        <v>38076</v>
      </c>
    </row>
    <row r="416" spans="1:34" x14ac:dyDescent="0.25">
      <c r="A416" s="35">
        <v>1222</v>
      </c>
      <c r="B416" s="20" t="s">
        <v>78</v>
      </c>
      <c r="C416" s="20" t="s">
        <v>78</v>
      </c>
      <c r="D416" s="94" t="s">
        <v>1149</v>
      </c>
      <c r="E416" s="20" t="s">
        <v>2056</v>
      </c>
      <c r="F416" s="20" t="s">
        <v>1844</v>
      </c>
      <c r="G416" s="31" t="s">
        <v>40</v>
      </c>
      <c r="H416" s="32">
        <v>1</v>
      </c>
      <c r="J416" s="32">
        <v>1</v>
      </c>
      <c r="O416" s="20">
        <v>0</v>
      </c>
      <c r="P416" s="20">
        <v>1</v>
      </c>
      <c r="Q416" s="20">
        <v>0</v>
      </c>
      <c r="R416" s="20">
        <v>0</v>
      </c>
      <c r="X416" s="20">
        <v>1</v>
      </c>
      <c r="Z416" s="20" t="s">
        <v>1832</v>
      </c>
      <c r="AA416" s="20" t="s">
        <v>1861</v>
      </c>
      <c r="AB416" s="31">
        <f>VLOOKUP(AA416,Masters!$K$2:$L$183,2,FALSE)</f>
        <v>1003</v>
      </c>
      <c r="AC416" s="20" t="s">
        <v>2063</v>
      </c>
      <c r="AD416" s="20" t="s">
        <v>2060</v>
      </c>
      <c r="AE416" s="20">
        <v>20</v>
      </c>
      <c r="AF416" s="20">
        <v>8</v>
      </c>
      <c r="AG416" s="20">
        <v>2005</v>
      </c>
      <c r="AH416" s="21">
        <v>38584</v>
      </c>
    </row>
    <row r="417" spans="1:34" x14ac:dyDescent="0.25">
      <c r="A417" s="35">
        <v>1240</v>
      </c>
      <c r="B417" s="20" t="s">
        <v>1840</v>
      </c>
      <c r="C417" s="20" t="s">
        <v>1840</v>
      </c>
      <c r="D417" s="94" t="s">
        <v>1167</v>
      </c>
      <c r="E417" s="20" t="s">
        <v>2054</v>
      </c>
      <c r="F417" s="20" t="s">
        <v>1843</v>
      </c>
      <c r="G417" s="31" t="s">
        <v>40</v>
      </c>
      <c r="H417" s="32">
        <v>1</v>
      </c>
      <c r="J417" s="32">
        <v>1</v>
      </c>
      <c r="O417" s="20">
        <v>0</v>
      </c>
      <c r="P417" s="20">
        <v>1</v>
      </c>
      <c r="Q417" s="20">
        <v>0</v>
      </c>
      <c r="R417" s="20">
        <v>0</v>
      </c>
      <c r="X417" s="20">
        <v>1</v>
      </c>
      <c r="Z417" s="20" t="s">
        <v>34</v>
      </c>
      <c r="AA417" s="20" t="s">
        <v>1863</v>
      </c>
      <c r="AB417" s="31">
        <f>VLOOKUP(AA417,Masters!$K$2:$L$183,2,FALSE)</f>
        <v>1005</v>
      </c>
      <c r="AC417" s="20" t="s">
        <v>2063</v>
      </c>
      <c r="AD417" s="20" t="s">
        <v>2060</v>
      </c>
      <c r="AE417" s="20">
        <v>14</v>
      </c>
      <c r="AF417" s="20">
        <v>1</v>
      </c>
      <c r="AG417" s="20">
        <v>2001</v>
      </c>
      <c r="AH417" s="21">
        <v>36905</v>
      </c>
    </row>
    <row r="418" spans="1:34" x14ac:dyDescent="0.25">
      <c r="A418" s="35">
        <v>1328</v>
      </c>
      <c r="B418" s="20" t="s">
        <v>1840</v>
      </c>
      <c r="C418" s="20" t="s">
        <v>1840</v>
      </c>
      <c r="D418" s="94" t="s">
        <v>1255</v>
      </c>
      <c r="E418" s="20" t="s">
        <v>2056</v>
      </c>
      <c r="F418" s="20" t="s">
        <v>1844</v>
      </c>
      <c r="G418" s="31" t="s">
        <v>40</v>
      </c>
      <c r="H418" s="32">
        <v>1</v>
      </c>
      <c r="J418" s="32">
        <v>1</v>
      </c>
      <c r="O418" s="20">
        <v>0</v>
      </c>
      <c r="P418" s="20">
        <v>1</v>
      </c>
      <c r="Q418" s="20">
        <v>0</v>
      </c>
      <c r="R418" s="20">
        <v>0</v>
      </c>
      <c r="X418" s="20">
        <v>1</v>
      </c>
      <c r="Z418" s="20" t="s">
        <v>58</v>
      </c>
      <c r="AA418" s="20" t="s">
        <v>1860</v>
      </c>
      <c r="AB418" s="31">
        <f>VLOOKUP(AA418,Masters!$K$2:$L$183,2,FALSE)</f>
        <v>1002</v>
      </c>
      <c r="AC418" s="20" t="s">
        <v>2063</v>
      </c>
      <c r="AD418" s="20" t="s">
        <v>2061</v>
      </c>
      <c r="AE418" s="20">
        <v>16</v>
      </c>
      <c r="AF418" s="20">
        <v>2</v>
      </c>
      <c r="AG418" s="20">
        <v>2004</v>
      </c>
      <c r="AH418" s="21">
        <v>38033</v>
      </c>
    </row>
    <row r="419" spans="1:34" x14ac:dyDescent="0.25">
      <c r="A419" s="35">
        <v>1337</v>
      </c>
      <c r="B419" s="20" t="s">
        <v>1840</v>
      </c>
      <c r="C419" s="20" t="s">
        <v>1840</v>
      </c>
      <c r="D419" s="94" t="s">
        <v>1264</v>
      </c>
      <c r="E419" s="20" t="s">
        <v>2050</v>
      </c>
      <c r="F419" s="20" t="s">
        <v>1846</v>
      </c>
      <c r="G419" s="31" t="s">
        <v>40</v>
      </c>
      <c r="H419" s="32">
        <v>1</v>
      </c>
      <c r="J419" s="32">
        <v>1</v>
      </c>
      <c r="O419" s="20">
        <v>0</v>
      </c>
      <c r="P419" s="20">
        <v>1</v>
      </c>
      <c r="Q419" s="20">
        <v>0</v>
      </c>
      <c r="R419" s="20">
        <v>0</v>
      </c>
      <c r="X419" s="20">
        <v>1</v>
      </c>
      <c r="Z419" s="20" t="s">
        <v>753</v>
      </c>
      <c r="AA419" s="20" t="s">
        <v>1862</v>
      </c>
      <c r="AB419" s="31">
        <f>VLOOKUP(AA419,Masters!$K$2:$L$183,2,FALSE)</f>
        <v>1004</v>
      </c>
      <c r="AC419" s="20" t="s">
        <v>2063</v>
      </c>
      <c r="AD419" s="20" t="s">
        <v>2060</v>
      </c>
      <c r="AE419" s="20">
        <v>20</v>
      </c>
      <c r="AF419" s="20">
        <v>5</v>
      </c>
      <c r="AG419" s="20">
        <v>2001</v>
      </c>
      <c r="AH419" s="21">
        <v>37031</v>
      </c>
    </row>
    <row r="420" spans="1:34" x14ac:dyDescent="0.25">
      <c r="A420" s="35">
        <v>1377</v>
      </c>
      <c r="B420" s="20" t="s">
        <v>1840</v>
      </c>
      <c r="C420" s="20" t="s">
        <v>1840</v>
      </c>
      <c r="D420" s="94" t="s">
        <v>1304</v>
      </c>
      <c r="E420" s="20" t="s">
        <v>2058</v>
      </c>
      <c r="F420" s="20" t="s">
        <v>1845</v>
      </c>
      <c r="G420" s="31" t="s">
        <v>40</v>
      </c>
      <c r="H420" s="32">
        <v>1</v>
      </c>
      <c r="J420" s="32">
        <v>1</v>
      </c>
      <c r="O420" s="20">
        <v>0</v>
      </c>
      <c r="P420" s="20">
        <v>1</v>
      </c>
      <c r="Q420" s="20">
        <v>0</v>
      </c>
      <c r="R420" s="20">
        <v>0</v>
      </c>
      <c r="X420" s="20">
        <v>1</v>
      </c>
      <c r="Z420" s="20" t="s">
        <v>58</v>
      </c>
      <c r="AA420" s="20" t="s">
        <v>1862</v>
      </c>
      <c r="AB420" s="31">
        <f>VLOOKUP(AA420,Masters!$K$2:$L$183,2,FALSE)</f>
        <v>1004</v>
      </c>
      <c r="AC420" s="20" t="s">
        <v>2064</v>
      </c>
      <c r="AD420" s="20" t="s">
        <v>2061</v>
      </c>
      <c r="AE420" s="20">
        <v>29</v>
      </c>
      <c r="AF420" s="20">
        <v>11</v>
      </c>
      <c r="AG420" s="20">
        <v>2005</v>
      </c>
      <c r="AH420" s="21">
        <v>38685</v>
      </c>
    </row>
    <row r="421" spans="1:34" x14ac:dyDescent="0.25">
      <c r="A421" s="35">
        <v>1426</v>
      </c>
      <c r="B421" s="20" t="s">
        <v>1840</v>
      </c>
      <c r="C421" s="20" t="s">
        <v>1840</v>
      </c>
      <c r="D421" s="94" t="s">
        <v>1353</v>
      </c>
      <c r="E421" s="20" t="s">
        <v>2050</v>
      </c>
      <c r="F421" s="20" t="s">
        <v>1847</v>
      </c>
      <c r="G421" s="31" t="s">
        <v>40</v>
      </c>
      <c r="H421" s="32">
        <v>1</v>
      </c>
      <c r="J421" s="32">
        <v>1</v>
      </c>
      <c r="O421" s="20">
        <v>0</v>
      </c>
      <c r="P421" s="20">
        <v>1</v>
      </c>
      <c r="Q421" s="20">
        <v>0</v>
      </c>
      <c r="R421" s="20">
        <v>0</v>
      </c>
      <c r="X421" s="20">
        <v>1</v>
      </c>
      <c r="Z421" s="20" t="s">
        <v>1832</v>
      </c>
      <c r="AA421" s="20" t="s">
        <v>1860</v>
      </c>
      <c r="AB421" s="31">
        <f>VLOOKUP(AA421,Masters!$K$2:$L$183,2,FALSE)</f>
        <v>1002</v>
      </c>
      <c r="AC421" s="20" t="s">
        <v>2064</v>
      </c>
      <c r="AD421" s="20" t="s">
        <v>2061</v>
      </c>
      <c r="AE421" s="20">
        <v>9</v>
      </c>
      <c r="AF421" s="20">
        <v>9</v>
      </c>
      <c r="AG421" s="20">
        <v>2004</v>
      </c>
      <c r="AH421" s="21">
        <v>38239</v>
      </c>
    </row>
    <row r="422" spans="1:34" x14ac:dyDescent="0.25">
      <c r="A422" s="35">
        <v>1433</v>
      </c>
      <c r="B422" s="20" t="s">
        <v>1840</v>
      </c>
      <c r="C422" s="20" t="s">
        <v>1840</v>
      </c>
      <c r="D422" s="94" t="s">
        <v>1360</v>
      </c>
      <c r="E422" s="20" t="s">
        <v>2058</v>
      </c>
      <c r="F422" s="20" t="s">
        <v>1846</v>
      </c>
      <c r="G422" s="31" t="s">
        <v>40</v>
      </c>
      <c r="H422" s="32">
        <v>1</v>
      </c>
      <c r="J422" s="32">
        <v>1</v>
      </c>
      <c r="O422" s="20">
        <v>0</v>
      </c>
      <c r="P422" s="20">
        <v>1</v>
      </c>
      <c r="Q422" s="20">
        <v>0</v>
      </c>
      <c r="R422" s="20">
        <v>0</v>
      </c>
      <c r="X422" s="20">
        <v>1</v>
      </c>
      <c r="Z422" s="20" t="s">
        <v>1854</v>
      </c>
      <c r="AA422" s="20" t="s">
        <v>1861</v>
      </c>
      <c r="AB422" s="31">
        <f>VLOOKUP(AA422,Masters!$K$2:$L$183,2,FALSE)</f>
        <v>1003</v>
      </c>
      <c r="AC422" s="20" t="s">
        <v>2063</v>
      </c>
      <c r="AD422" s="20" t="s">
        <v>2060</v>
      </c>
      <c r="AE422" s="20">
        <v>15</v>
      </c>
      <c r="AF422" s="20">
        <v>10</v>
      </c>
      <c r="AG422" s="20">
        <v>2004</v>
      </c>
      <c r="AH422" s="21">
        <v>38275</v>
      </c>
    </row>
    <row r="423" spans="1:34" x14ac:dyDescent="0.25">
      <c r="A423" s="35">
        <v>1442</v>
      </c>
      <c r="B423" s="20" t="s">
        <v>1840</v>
      </c>
      <c r="C423" s="20" t="s">
        <v>1840</v>
      </c>
      <c r="D423" s="94" t="s">
        <v>1369</v>
      </c>
      <c r="E423" s="20" t="s">
        <v>2053</v>
      </c>
      <c r="F423" s="20" t="s">
        <v>1846</v>
      </c>
      <c r="G423" s="31" t="s">
        <v>40</v>
      </c>
      <c r="H423" s="32">
        <v>1</v>
      </c>
      <c r="J423" s="32">
        <v>1</v>
      </c>
      <c r="O423" s="20">
        <v>0</v>
      </c>
      <c r="P423" s="20">
        <v>1</v>
      </c>
      <c r="Q423" s="20">
        <v>0</v>
      </c>
      <c r="R423" s="20">
        <v>0</v>
      </c>
      <c r="X423" s="20">
        <v>1</v>
      </c>
      <c r="Z423" s="20" t="s">
        <v>1832</v>
      </c>
      <c r="AA423" s="20" t="s">
        <v>1862</v>
      </c>
      <c r="AB423" s="31">
        <f>VLOOKUP(AA423,Masters!$K$2:$L$183,2,FALSE)</f>
        <v>1004</v>
      </c>
      <c r="AC423" s="20" t="s">
        <v>2064</v>
      </c>
      <c r="AD423" s="20" t="s">
        <v>2061</v>
      </c>
      <c r="AE423" s="20">
        <v>10</v>
      </c>
      <c r="AF423" s="20">
        <v>3</v>
      </c>
      <c r="AG423" s="20">
        <v>2001</v>
      </c>
      <c r="AH423" s="21">
        <v>36960</v>
      </c>
    </row>
    <row r="424" spans="1:34" x14ac:dyDescent="0.25">
      <c r="A424" s="35">
        <v>1443</v>
      </c>
      <c r="B424" s="20" t="s">
        <v>1840</v>
      </c>
      <c r="C424" s="20" t="s">
        <v>1840</v>
      </c>
      <c r="D424" s="94" t="s">
        <v>1370</v>
      </c>
      <c r="E424" s="20" t="s">
        <v>2053</v>
      </c>
      <c r="F424" s="20" t="s">
        <v>1847</v>
      </c>
      <c r="G424" s="31" t="s">
        <v>40</v>
      </c>
      <c r="H424" s="32">
        <v>1</v>
      </c>
      <c r="J424" s="32">
        <v>1</v>
      </c>
      <c r="O424" s="20">
        <v>0</v>
      </c>
      <c r="P424" s="20">
        <v>1</v>
      </c>
      <c r="Q424" s="20">
        <v>0</v>
      </c>
      <c r="R424" s="20">
        <v>0</v>
      </c>
      <c r="X424" s="20">
        <v>1</v>
      </c>
      <c r="Z424" s="20" t="s">
        <v>1832</v>
      </c>
      <c r="AA424" s="20" t="s">
        <v>1861</v>
      </c>
      <c r="AB424" s="31">
        <f>VLOOKUP(AA424,Masters!$K$2:$L$183,2,FALSE)</f>
        <v>1003</v>
      </c>
      <c r="AC424" s="20" t="s">
        <v>2064</v>
      </c>
      <c r="AD424" s="20" t="s">
        <v>2061</v>
      </c>
      <c r="AE424" s="20">
        <v>1</v>
      </c>
      <c r="AF424" s="20">
        <v>6</v>
      </c>
      <c r="AG424" s="20">
        <v>2002</v>
      </c>
      <c r="AH424" s="21">
        <v>37408</v>
      </c>
    </row>
    <row r="425" spans="1:34" x14ac:dyDescent="0.25">
      <c r="A425" s="35">
        <v>1490</v>
      </c>
      <c r="B425" s="20" t="s">
        <v>1840</v>
      </c>
      <c r="C425" s="20" t="s">
        <v>1840</v>
      </c>
      <c r="D425" s="94" t="s">
        <v>1417</v>
      </c>
      <c r="E425" s="20" t="s">
        <v>2058</v>
      </c>
      <c r="F425" s="20" t="s">
        <v>1843</v>
      </c>
      <c r="G425" s="31" t="s">
        <v>40</v>
      </c>
      <c r="H425" s="32">
        <v>1</v>
      </c>
      <c r="J425" s="32">
        <v>1</v>
      </c>
      <c r="O425" s="20">
        <v>0</v>
      </c>
      <c r="P425" s="20">
        <v>1</v>
      </c>
      <c r="Q425" s="20">
        <v>0</v>
      </c>
      <c r="R425" s="20">
        <v>0</v>
      </c>
      <c r="X425" s="20">
        <v>1</v>
      </c>
      <c r="Z425" s="20" t="s">
        <v>1853</v>
      </c>
      <c r="AA425" s="20" t="s">
        <v>1860</v>
      </c>
      <c r="AB425" s="31">
        <f>VLOOKUP(AA425,Masters!$K$2:$L$183,2,FALSE)</f>
        <v>1002</v>
      </c>
      <c r="AC425" s="20" t="s">
        <v>2063</v>
      </c>
      <c r="AD425" s="20" t="s">
        <v>2060</v>
      </c>
      <c r="AE425" s="20">
        <v>14</v>
      </c>
      <c r="AF425" s="20">
        <v>3</v>
      </c>
      <c r="AG425" s="20">
        <v>2005</v>
      </c>
      <c r="AH425" s="21">
        <v>38425</v>
      </c>
    </row>
    <row r="426" spans="1:34" x14ac:dyDescent="0.25">
      <c r="A426" s="35">
        <v>1504</v>
      </c>
      <c r="B426" s="20" t="s">
        <v>1840</v>
      </c>
      <c r="C426" s="20" t="s">
        <v>1840</v>
      </c>
      <c r="D426" s="94" t="s">
        <v>1431</v>
      </c>
      <c r="E426" s="20" t="s">
        <v>2058</v>
      </c>
      <c r="F426" s="20" t="s">
        <v>1847</v>
      </c>
      <c r="G426" s="31" t="s">
        <v>40</v>
      </c>
      <c r="H426" s="32">
        <v>1</v>
      </c>
      <c r="J426" s="32">
        <v>1</v>
      </c>
      <c r="O426" s="20">
        <v>0</v>
      </c>
      <c r="P426" s="20">
        <v>1</v>
      </c>
      <c r="Q426" s="20">
        <v>0</v>
      </c>
      <c r="R426" s="20">
        <v>0</v>
      </c>
      <c r="X426" s="20">
        <v>1</v>
      </c>
      <c r="Z426" s="20" t="s">
        <v>58</v>
      </c>
      <c r="AA426" s="20" t="s">
        <v>1859</v>
      </c>
      <c r="AB426" s="31">
        <f>VLOOKUP(AA426,Masters!$K$2:$L$183,2,FALSE)</f>
        <v>1001</v>
      </c>
      <c r="AC426" s="20" t="s">
        <v>2063</v>
      </c>
      <c r="AD426" s="20" t="s">
        <v>2061</v>
      </c>
      <c r="AE426" s="20">
        <v>25</v>
      </c>
      <c r="AF426" s="20">
        <v>7</v>
      </c>
      <c r="AG426" s="20">
        <v>2003</v>
      </c>
      <c r="AH426" s="21">
        <v>37827</v>
      </c>
    </row>
    <row r="427" spans="1:34" x14ac:dyDescent="0.25">
      <c r="A427" s="35">
        <v>1516</v>
      </c>
      <c r="B427" s="20" t="s">
        <v>1840</v>
      </c>
      <c r="C427" s="20" t="s">
        <v>1840</v>
      </c>
      <c r="D427" s="94" t="s">
        <v>1443</v>
      </c>
      <c r="E427" s="20" t="s">
        <v>2051</v>
      </c>
      <c r="F427" s="20" t="s">
        <v>1846</v>
      </c>
      <c r="G427" s="31" t="s">
        <v>40</v>
      </c>
      <c r="H427" s="32">
        <v>1</v>
      </c>
      <c r="J427" s="32">
        <v>1</v>
      </c>
      <c r="O427" s="20">
        <v>0</v>
      </c>
      <c r="P427" s="20">
        <v>1</v>
      </c>
      <c r="Q427" s="20">
        <v>0</v>
      </c>
      <c r="R427" s="20">
        <v>0</v>
      </c>
      <c r="X427" s="20">
        <v>1</v>
      </c>
      <c r="Z427" s="20" t="s">
        <v>1832</v>
      </c>
      <c r="AA427" s="20" t="s">
        <v>1861</v>
      </c>
      <c r="AB427" s="31">
        <f>VLOOKUP(AA427,Masters!$K$2:$L$183,2,FALSE)</f>
        <v>1003</v>
      </c>
      <c r="AC427" s="20" t="s">
        <v>2063</v>
      </c>
      <c r="AD427" s="20" t="s">
        <v>2061</v>
      </c>
      <c r="AE427" s="20">
        <v>26</v>
      </c>
      <c r="AF427" s="20">
        <v>7</v>
      </c>
      <c r="AG427" s="20">
        <v>2004</v>
      </c>
      <c r="AH427" s="21">
        <v>38194</v>
      </c>
    </row>
    <row r="428" spans="1:34" x14ac:dyDescent="0.25">
      <c r="A428" s="35">
        <v>1593</v>
      </c>
      <c r="B428" s="20" t="s">
        <v>1840</v>
      </c>
      <c r="C428" s="20" t="s">
        <v>1840</v>
      </c>
      <c r="D428" s="94" t="s">
        <v>1520</v>
      </c>
      <c r="E428" s="20" t="s">
        <v>2058</v>
      </c>
      <c r="F428" s="20" t="s">
        <v>1845</v>
      </c>
      <c r="G428" s="31" t="s">
        <v>40</v>
      </c>
      <c r="H428" s="32">
        <v>1</v>
      </c>
      <c r="J428" s="32">
        <v>1</v>
      </c>
      <c r="O428" s="20">
        <v>0</v>
      </c>
      <c r="P428" s="20">
        <v>1</v>
      </c>
      <c r="Q428" s="20">
        <v>0</v>
      </c>
      <c r="R428" s="20">
        <v>0</v>
      </c>
      <c r="X428" s="20">
        <v>1</v>
      </c>
      <c r="Z428" s="20" t="s">
        <v>1854</v>
      </c>
      <c r="AA428" s="20" t="s">
        <v>1863</v>
      </c>
      <c r="AB428" s="31">
        <f>VLOOKUP(AA428,Masters!$K$2:$L$183,2,FALSE)</f>
        <v>1005</v>
      </c>
      <c r="AC428" s="20" t="s">
        <v>2063</v>
      </c>
      <c r="AD428" s="20" t="s">
        <v>2060</v>
      </c>
      <c r="AE428" s="20">
        <v>3</v>
      </c>
      <c r="AF428" s="20">
        <v>11</v>
      </c>
      <c r="AG428" s="20">
        <v>2002</v>
      </c>
      <c r="AH428" s="21">
        <v>37563</v>
      </c>
    </row>
    <row r="429" spans="1:34" x14ac:dyDescent="0.25">
      <c r="A429" s="35">
        <v>1601</v>
      </c>
      <c r="B429" s="20" t="s">
        <v>1840</v>
      </c>
      <c r="C429" s="20" t="s">
        <v>1840</v>
      </c>
      <c r="D429" s="94" t="s">
        <v>1528</v>
      </c>
      <c r="E429" s="20" t="s">
        <v>2050</v>
      </c>
      <c r="F429" s="20" t="s">
        <v>1845</v>
      </c>
      <c r="G429" s="31" t="s">
        <v>40</v>
      </c>
      <c r="H429" s="32">
        <v>1</v>
      </c>
      <c r="J429" s="32">
        <v>1</v>
      </c>
      <c r="O429" s="20">
        <v>0</v>
      </c>
      <c r="P429" s="20">
        <v>1</v>
      </c>
      <c r="Q429" s="20">
        <v>0</v>
      </c>
      <c r="R429" s="20">
        <v>0</v>
      </c>
      <c r="X429" s="20">
        <v>1</v>
      </c>
      <c r="Z429" s="20" t="s">
        <v>1849</v>
      </c>
      <c r="AA429" s="20" t="s">
        <v>1863</v>
      </c>
      <c r="AB429" s="31">
        <f>VLOOKUP(AA429,Masters!$K$2:$L$183,2,FALSE)</f>
        <v>1005</v>
      </c>
      <c r="AC429" s="20" t="s">
        <v>2063</v>
      </c>
      <c r="AD429" s="20" t="s">
        <v>2060</v>
      </c>
      <c r="AE429" s="20">
        <v>3</v>
      </c>
      <c r="AF429" s="20">
        <v>10</v>
      </c>
      <c r="AG429" s="20">
        <v>2000</v>
      </c>
      <c r="AH429" s="21">
        <v>36802</v>
      </c>
    </row>
    <row r="430" spans="1:34" x14ac:dyDescent="0.25">
      <c r="A430" s="35">
        <v>1748</v>
      </c>
      <c r="B430" s="20" t="s">
        <v>1840</v>
      </c>
      <c r="C430" s="20" t="s">
        <v>1840</v>
      </c>
      <c r="D430" s="94" t="s">
        <v>1675</v>
      </c>
      <c r="E430" s="20" t="s">
        <v>2053</v>
      </c>
      <c r="F430" s="20" t="s">
        <v>1845</v>
      </c>
      <c r="G430" s="31" t="s">
        <v>40</v>
      </c>
      <c r="H430" s="32">
        <v>1</v>
      </c>
      <c r="J430" s="32">
        <v>1</v>
      </c>
      <c r="O430" s="20">
        <v>0</v>
      </c>
      <c r="P430" s="20">
        <v>1</v>
      </c>
      <c r="Q430" s="20">
        <v>0</v>
      </c>
      <c r="R430" s="20">
        <v>0</v>
      </c>
      <c r="X430" s="20">
        <v>1</v>
      </c>
      <c r="Z430" s="20" t="s">
        <v>1856</v>
      </c>
      <c r="AA430" s="20" t="s">
        <v>1861</v>
      </c>
      <c r="AB430" s="31">
        <f>VLOOKUP(AA430,Masters!$K$2:$L$183,2,FALSE)</f>
        <v>1003</v>
      </c>
      <c r="AC430" s="20" t="s">
        <v>2064</v>
      </c>
      <c r="AD430" s="20" t="s">
        <v>2061</v>
      </c>
      <c r="AE430" s="20">
        <v>25</v>
      </c>
      <c r="AF430" s="20">
        <v>3</v>
      </c>
      <c r="AG430" s="20">
        <v>2003</v>
      </c>
      <c r="AH430" s="21">
        <v>37705</v>
      </c>
    </row>
    <row r="431" spans="1:34" x14ac:dyDescent="0.25">
      <c r="A431" s="35">
        <v>1778</v>
      </c>
      <c r="B431" s="20" t="s">
        <v>1840</v>
      </c>
      <c r="C431" s="20" t="s">
        <v>1840</v>
      </c>
      <c r="D431" s="94" t="s">
        <v>1705</v>
      </c>
      <c r="E431" s="20" t="s">
        <v>2053</v>
      </c>
      <c r="F431" s="20" t="s">
        <v>1844</v>
      </c>
      <c r="G431" s="31" t="s">
        <v>40</v>
      </c>
      <c r="H431" s="32">
        <v>1</v>
      </c>
      <c r="J431" s="32">
        <v>1</v>
      </c>
      <c r="O431" s="20">
        <v>0</v>
      </c>
      <c r="P431" s="20">
        <v>1</v>
      </c>
      <c r="Q431" s="20">
        <v>0</v>
      </c>
      <c r="R431" s="20">
        <v>0</v>
      </c>
      <c r="X431" s="20">
        <v>1</v>
      </c>
      <c r="Z431" s="20" t="s">
        <v>1852</v>
      </c>
      <c r="AA431" s="20" t="s">
        <v>1860</v>
      </c>
      <c r="AB431" s="31">
        <f>VLOOKUP(AA431,Masters!$K$2:$L$183,2,FALSE)</f>
        <v>1002</v>
      </c>
      <c r="AC431" s="20" t="s">
        <v>2063</v>
      </c>
      <c r="AD431" s="20" t="s">
        <v>2060</v>
      </c>
      <c r="AE431" s="20">
        <v>6</v>
      </c>
      <c r="AF431" s="20">
        <v>1</v>
      </c>
      <c r="AG431" s="20">
        <v>2004</v>
      </c>
      <c r="AH431" s="21">
        <v>37992</v>
      </c>
    </row>
    <row r="432" spans="1:34" x14ac:dyDescent="0.25">
      <c r="A432" s="35">
        <v>1821</v>
      </c>
      <c r="B432" s="20" t="s">
        <v>1840</v>
      </c>
      <c r="C432" s="20" t="s">
        <v>1840</v>
      </c>
      <c r="D432" s="94" t="s">
        <v>1748</v>
      </c>
      <c r="E432" s="20" t="s">
        <v>2058</v>
      </c>
      <c r="F432" s="20" t="s">
        <v>1844</v>
      </c>
      <c r="G432" s="31" t="s">
        <v>40</v>
      </c>
      <c r="H432" s="32">
        <v>1</v>
      </c>
      <c r="J432" s="32">
        <v>1</v>
      </c>
      <c r="O432" s="20">
        <v>0</v>
      </c>
      <c r="P432" s="20">
        <v>1</v>
      </c>
      <c r="Q432" s="20">
        <v>0</v>
      </c>
      <c r="R432" s="20">
        <v>0</v>
      </c>
      <c r="X432" s="20">
        <v>1</v>
      </c>
      <c r="Z432" s="20" t="s">
        <v>1849</v>
      </c>
      <c r="AA432" s="20" t="s">
        <v>1862</v>
      </c>
      <c r="AB432" s="31">
        <f>VLOOKUP(AA432,Masters!$K$2:$L$183,2,FALSE)</f>
        <v>1004</v>
      </c>
      <c r="AC432" s="20" t="s">
        <v>2063</v>
      </c>
      <c r="AD432" s="20" t="s">
        <v>2061</v>
      </c>
      <c r="AE432" s="20">
        <v>3</v>
      </c>
      <c r="AF432" s="20">
        <v>5</v>
      </c>
      <c r="AG432" s="20">
        <v>2000</v>
      </c>
      <c r="AH432" s="21">
        <v>36649</v>
      </c>
    </row>
    <row r="433" spans="1:34" x14ac:dyDescent="0.25">
      <c r="A433" s="35">
        <v>1826</v>
      </c>
      <c r="B433" s="20" t="s">
        <v>1840</v>
      </c>
      <c r="C433" s="20" t="s">
        <v>1840</v>
      </c>
      <c r="D433" s="94" t="s">
        <v>1753</v>
      </c>
      <c r="E433" s="20" t="s">
        <v>2052</v>
      </c>
      <c r="F433" s="20" t="s">
        <v>1845</v>
      </c>
      <c r="G433" s="31" t="s">
        <v>40</v>
      </c>
      <c r="H433" s="32">
        <v>1</v>
      </c>
      <c r="J433" s="32">
        <v>1</v>
      </c>
      <c r="O433" s="20">
        <v>0</v>
      </c>
      <c r="P433" s="20">
        <v>1</v>
      </c>
      <c r="Q433" s="20">
        <v>0</v>
      </c>
      <c r="R433" s="20">
        <v>0</v>
      </c>
      <c r="X433" s="20">
        <v>1</v>
      </c>
      <c r="Z433" s="20" t="s">
        <v>1856</v>
      </c>
      <c r="AA433" s="20" t="s">
        <v>1859</v>
      </c>
      <c r="AB433" s="31">
        <f>VLOOKUP(AA433,Masters!$K$2:$L$183,2,FALSE)</f>
        <v>1001</v>
      </c>
      <c r="AC433" s="20" t="s">
        <v>2064</v>
      </c>
      <c r="AD433" s="20" t="s">
        <v>2061</v>
      </c>
      <c r="AE433" s="20">
        <v>26</v>
      </c>
      <c r="AF433" s="20">
        <v>9</v>
      </c>
      <c r="AG433" s="20">
        <v>2000</v>
      </c>
      <c r="AH433" s="21">
        <v>36795</v>
      </c>
    </row>
    <row r="434" spans="1:34" x14ac:dyDescent="0.25">
      <c r="A434" s="35">
        <v>1923</v>
      </c>
      <c r="B434" s="20" t="s">
        <v>1840</v>
      </c>
      <c r="C434" s="20" t="s">
        <v>1840</v>
      </c>
      <c r="E434" s="20" t="s">
        <v>2056</v>
      </c>
      <c r="F434" s="20" t="s">
        <v>1844</v>
      </c>
      <c r="G434" s="31" t="s">
        <v>35</v>
      </c>
      <c r="I434" s="208">
        <v>1</v>
      </c>
      <c r="J434" s="208">
        <v>1</v>
      </c>
      <c r="K434" s="208"/>
      <c r="L434" s="209"/>
      <c r="M434" s="208"/>
      <c r="N434" s="208"/>
      <c r="O434" s="210">
        <v>0</v>
      </c>
      <c r="P434" s="210">
        <v>0</v>
      </c>
      <c r="Q434" s="210">
        <v>1</v>
      </c>
      <c r="R434" s="210">
        <v>0</v>
      </c>
      <c r="X434" s="20">
        <v>1</v>
      </c>
      <c r="Z434" s="20" t="s">
        <v>1849</v>
      </c>
      <c r="AA434" s="20" t="s">
        <v>1862</v>
      </c>
      <c r="AB434" s="31">
        <f>VLOOKUP(AA434,Masters!$K$2:$L$183,2,FALSE)</f>
        <v>1004</v>
      </c>
      <c r="AC434" s="20" t="s">
        <v>2063</v>
      </c>
      <c r="AE434" s="20">
        <v>6</v>
      </c>
      <c r="AF434" s="20">
        <v>7</v>
      </c>
      <c r="AG434" s="20">
        <v>2005</v>
      </c>
      <c r="AH434" s="21">
        <v>38539</v>
      </c>
    </row>
    <row r="435" spans="1:34" x14ac:dyDescent="0.25">
      <c r="A435" s="35">
        <v>1924</v>
      </c>
      <c r="B435" s="20" t="s">
        <v>1840</v>
      </c>
      <c r="C435" s="20" t="s">
        <v>1840</v>
      </c>
      <c r="E435" s="20" t="s">
        <v>126</v>
      </c>
      <c r="F435" s="20" t="s">
        <v>1843</v>
      </c>
      <c r="G435" s="31" t="s">
        <v>35</v>
      </c>
      <c r="I435" s="208">
        <v>1</v>
      </c>
      <c r="J435" s="208">
        <v>1</v>
      </c>
      <c r="K435" s="208"/>
      <c r="L435" s="209"/>
      <c r="M435" s="208"/>
      <c r="N435" s="208"/>
      <c r="O435" s="210">
        <v>0</v>
      </c>
      <c r="P435" s="210">
        <v>0</v>
      </c>
      <c r="Q435" s="210">
        <v>1</v>
      </c>
      <c r="R435" s="210">
        <v>0</v>
      </c>
      <c r="X435" s="20">
        <v>1</v>
      </c>
      <c r="Z435" s="20" t="s">
        <v>1856</v>
      </c>
      <c r="AA435" s="20" t="s">
        <v>1861</v>
      </c>
      <c r="AB435" s="31">
        <f>VLOOKUP(AA435,Masters!$K$2:$L$183,2,FALSE)</f>
        <v>1003</v>
      </c>
      <c r="AC435" s="20" t="s">
        <v>2063</v>
      </c>
      <c r="AE435" s="20">
        <v>24</v>
      </c>
      <c r="AF435" s="20">
        <v>8</v>
      </c>
      <c r="AG435" s="20">
        <v>2005</v>
      </c>
      <c r="AH435" s="21">
        <v>38588</v>
      </c>
    </row>
    <row r="436" spans="1:34" x14ac:dyDescent="0.25">
      <c r="A436" s="35">
        <v>1925</v>
      </c>
      <c r="B436" s="20" t="s">
        <v>1840</v>
      </c>
      <c r="C436" s="20" t="s">
        <v>1840</v>
      </c>
      <c r="E436" s="20" t="s">
        <v>2057</v>
      </c>
      <c r="F436" s="20" t="s">
        <v>1847</v>
      </c>
      <c r="G436" s="31" t="s">
        <v>35</v>
      </c>
      <c r="I436" s="208">
        <v>1</v>
      </c>
      <c r="J436" s="208">
        <v>1</v>
      </c>
      <c r="K436" s="208"/>
      <c r="L436" s="209"/>
      <c r="M436" s="208"/>
      <c r="N436" s="208"/>
      <c r="O436" s="210">
        <v>0</v>
      </c>
      <c r="P436" s="210">
        <v>0</v>
      </c>
      <c r="Q436" s="210">
        <v>1</v>
      </c>
      <c r="R436" s="210">
        <v>0</v>
      </c>
      <c r="X436" s="20">
        <v>1</v>
      </c>
      <c r="Z436" s="20" t="s">
        <v>34</v>
      </c>
      <c r="AA436" s="20" t="s">
        <v>1861</v>
      </c>
      <c r="AB436" s="31">
        <f>VLOOKUP(AA436,Masters!$K$2:$L$183,2,FALSE)</f>
        <v>1003</v>
      </c>
      <c r="AC436" s="20" t="s">
        <v>2063</v>
      </c>
      <c r="AE436" s="20">
        <v>28</v>
      </c>
      <c r="AF436" s="20">
        <v>8</v>
      </c>
      <c r="AG436" s="20">
        <v>2000</v>
      </c>
      <c r="AH436" s="21">
        <v>36766</v>
      </c>
    </row>
    <row r="437" spans="1:34" x14ac:dyDescent="0.25">
      <c r="A437" s="35">
        <v>1964</v>
      </c>
      <c r="B437" s="20" t="s">
        <v>1840</v>
      </c>
      <c r="C437" s="20" t="s">
        <v>1840</v>
      </c>
      <c r="E437" s="20" t="s">
        <v>2050</v>
      </c>
      <c r="F437" s="20" t="s">
        <v>1846</v>
      </c>
      <c r="G437" s="31" t="s">
        <v>35</v>
      </c>
      <c r="I437" s="208">
        <v>1</v>
      </c>
      <c r="J437" s="208">
        <v>1</v>
      </c>
      <c r="K437" s="208"/>
      <c r="L437" s="209"/>
      <c r="M437" s="208"/>
      <c r="N437" s="208"/>
      <c r="O437" s="210">
        <v>0</v>
      </c>
      <c r="P437" s="210">
        <v>0</v>
      </c>
      <c r="Q437" s="210">
        <v>1</v>
      </c>
      <c r="R437" s="210">
        <v>0</v>
      </c>
      <c r="X437" s="20">
        <v>1</v>
      </c>
      <c r="Z437" s="20" t="s">
        <v>58</v>
      </c>
      <c r="AA437" s="20" t="s">
        <v>1861</v>
      </c>
      <c r="AB437" s="31">
        <f>VLOOKUP(AA437,Masters!$K$2:$L$183,2,FALSE)</f>
        <v>1003</v>
      </c>
      <c r="AC437" s="20" t="s">
        <v>2063</v>
      </c>
      <c r="AE437" s="20">
        <v>30</v>
      </c>
      <c r="AF437" s="20">
        <v>6</v>
      </c>
      <c r="AG437" s="20">
        <v>2000</v>
      </c>
      <c r="AH437" s="21">
        <v>36707</v>
      </c>
    </row>
    <row r="438" spans="1:34" x14ac:dyDescent="0.25">
      <c r="A438" s="35">
        <v>1002</v>
      </c>
      <c r="B438" s="20" t="s">
        <v>1840</v>
      </c>
      <c r="C438" s="20" t="s">
        <v>1840</v>
      </c>
      <c r="D438" s="94" t="s">
        <v>929</v>
      </c>
      <c r="E438" s="20" t="s">
        <v>2053</v>
      </c>
      <c r="F438" s="20" t="s">
        <v>1844</v>
      </c>
      <c r="G438" s="35" t="s">
        <v>40</v>
      </c>
      <c r="H438" s="36">
        <v>1</v>
      </c>
      <c r="I438" s="36" t="s">
        <v>263</v>
      </c>
      <c r="J438" s="41">
        <v>1</v>
      </c>
      <c r="K438" s="37" t="s">
        <v>263</v>
      </c>
      <c r="L438" s="37" t="s">
        <v>263</v>
      </c>
      <c r="M438" s="37" t="s">
        <v>263</v>
      </c>
      <c r="N438" s="36" t="s">
        <v>265</v>
      </c>
      <c r="O438" s="39" t="s">
        <v>265</v>
      </c>
      <c r="P438" s="40" t="s">
        <v>264</v>
      </c>
      <c r="Q438" s="36" t="s">
        <v>265</v>
      </c>
      <c r="R438" s="24" t="s">
        <v>265</v>
      </c>
      <c r="S438" s="24" t="s">
        <v>263</v>
      </c>
      <c r="T438" s="24" t="s">
        <v>263</v>
      </c>
      <c r="U438" s="24" t="s">
        <v>263</v>
      </c>
      <c r="V438" s="24" t="s">
        <v>263</v>
      </c>
      <c r="X438" s="24" t="s">
        <v>264</v>
      </c>
      <c r="Y438" s="24" t="s">
        <v>263</v>
      </c>
      <c r="Z438" s="20" t="s">
        <v>100</v>
      </c>
      <c r="AA438" s="20" t="s">
        <v>1859</v>
      </c>
      <c r="AB438" s="31">
        <f>VLOOKUP(AA438,Masters!$K$2:$L$183,2,FALSE)</f>
        <v>1001</v>
      </c>
      <c r="AC438" s="24" t="s">
        <v>2063</v>
      </c>
      <c r="AD438" s="24" t="s">
        <v>2061</v>
      </c>
      <c r="AE438" s="20">
        <v>7</v>
      </c>
      <c r="AF438" s="20">
        <v>10</v>
      </c>
      <c r="AG438" s="20">
        <v>2004</v>
      </c>
      <c r="AH438" s="21">
        <v>38267</v>
      </c>
    </row>
    <row r="439" spans="1:34" x14ac:dyDescent="0.25">
      <c r="A439" s="35">
        <v>1003</v>
      </c>
      <c r="B439" s="20" t="s">
        <v>1840</v>
      </c>
      <c r="C439" s="20" t="s">
        <v>1840</v>
      </c>
      <c r="D439" s="94" t="s">
        <v>930</v>
      </c>
      <c r="E439" s="20" t="s">
        <v>2056</v>
      </c>
      <c r="F439" s="20" t="s">
        <v>1845</v>
      </c>
      <c r="G439" s="35" t="s">
        <v>40</v>
      </c>
      <c r="H439" s="36">
        <v>1</v>
      </c>
      <c r="I439" s="36" t="s">
        <v>263</v>
      </c>
      <c r="J439" s="41">
        <v>1</v>
      </c>
      <c r="K439" s="37" t="s">
        <v>263</v>
      </c>
      <c r="L439" s="37" t="s">
        <v>263</v>
      </c>
      <c r="M439" s="37" t="s">
        <v>263</v>
      </c>
      <c r="N439" s="36" t="s">
        <v>263</v>
      </c>
      <c r="O439" s="39" t="s">
        <v>265</v>
      </c>
      <c r="P439" s="40" t="s">
        <v>264</v>
      </c>
      <c r="Q439" s="36" t="s">
        <v>265</v>
      </c>
      <c r="R439" s="24" t="s">
        <v>265</v>
      </c>
      <c r="S439" s="24" t="s">
        <v>263</v>
      </c>
      <c r="T439" s="24" t="s">
        <v>263</v>
      </c>
      <c r="U439" s="24" t="s">
        <v>263</v>
      </c>
      <c r="V439" s="24" t="s">
        <v>263</v>
      </c>
      <c r="X439" s="24" t="s">
        <v>264</v>
      </c>
      <c r="Y439" s="24" t="s">
        <v>263</v>
      </c>
      <c r="Z439" s="20" t="s">
        <v>1857</v>
      </c>
      <c r="AA439" s="20" t="s">
        <v>1860</v>
      </c>
      <c r="AB439" s="31">
        <f>VLOOKUP(AA439,Masters!$K$2:$L$183,2,FALSE)</f>
        <v>1002</v>
      </c>
      <c r="AC439" s="24" t="s">
        <v>2063</v>
      </c>
      <c r="AD439" s="24" t="s">
        <v>2061</v>
      </c>
      <c r="AE439" s="20">
        <v>23</v>
      </c>
      <c r="AF439" s="20">
        <v>12</v>
      </c>
      <c r="AG439" s="20">
        <v>2002</v>
      </c>
      <c r="AH439" s="21">
        <v>37613</v>
      </c>
    </row>
    <row r="440" spans="1:34" x14ac:dyDescent="0.25">
      <c r="A440" s="35">
        <v>1006</v>
      </c>
      <c r="B440" s="20" t="s">
        <v>1840</v>
      </c>
      <c r="C440" s="20" t="s">
        <v>1840</v>
      </c>
      <c r="D440" s="94" t="s">
        <v>933</v>
      </c>
      <c r="E440" s="20" t="s">
        <v>2051</v>
      </c>
      <c r="F440" s="20" t="s">
        <v>1845</v>
      </c>
      <c r="G440" s="35" t="s">
        <v>40</v>
      </c>
      <c r="H440" s="36">
        <v>1</v>
      </c>
      <c r="I440" s="36" t="s">
        <v>263</v>
      </c>
      <c r="J440" s="41">
        <v>1</v>
      </c>
      <c r="K440" s="37" t="s">
        <v>263</v>
      </c>
      <c r="L440" s="37" t="s">
        <v>263</v>
      </c>
      <c r="M440" s="37" t="s">
        <v>263</v>
      </c>
      <c r="N440" s="36" t="s">
        <v>263</v>
      </c>
      <c r="O440" s="39" t="s">
        <v>265</v>
      </c>
      <c r="P440" s="40" t="s">
        <v>264</v>
      </c>
      <c r="Q440" s="36" t="s">
        <v>265</v>
      </c>
      <c r="R440" s="24" t="s">
        <v>265</v>
      </c>
      <c r="S440" s="24" t="s">
        <v>263</v>
      </c>
      <c r="T440" s="24" t="s">
        <v>263</v>
      </c>
      <c r="U440" s="24" t="s">
        <v>263</v>
      </c>
      <c r="V440" s="24" t="s">
        <v>263</v>
      </c>
      <c r="X440" s="24" t="s">
        <v>264</v>
      </c>
      <c r="Y440" s="24" t="s">
        <v>263</v>
      </c>
      <c r="Z440" s="20" t="s">
        <v>1854</v>
      </c>
      <c r="AA440" s="20" t="s">
        <v>1862</v>
      </c>
      <c r="AB440" s="31">
        <f>VLOOKUP(AA440,Masters!$K$2:$L$183,2,FALSE)</f>
        <v>1004</v>
      </c>
      <c r="AC440" s="24" t="s">
        <v>2063</v>
      </c>
      <c r="AD440" s="24" t="s">
        <v>2061</v>
      </c>
      <c r="AE440" s="20">
        <v>27</v>
      </c>
      <c r="AF440" s="20">
        <v>2</v>
      </c>
      <c r="AG440" s="20">
        <v>2005</v>
      </c>
      <c r="AH440" s="21">
        <v>38410</v>
      </c>
    </row>
    <row r="441" spans="1:34" x14ac:dyDescent="0.25">
      <c r="A441" s="35">
        <v>1007</v>
      </c>
      <c r="B441" s="20" t="s">
        <v>1840</v>
      </c>
      <c r="C441" s="20" t="s">
        <v>1840</v>
      </c>
      <c r="D441" s="94" t="s">
        <v>934</v>
      </c>
      <c r="E441" s="20" t="s">
        <v>2056</v>
      </c>
      <c r="F441" s="20" t="s">
        <v>1844</v>
      </c>
      <c r="G441" s="35" t="s">
        <v>40</v>
      </c>
      <c r="H441" s="36">
        <v>1</v>
      </c>
      <c r="I441" s="36" t="s">
        <v>263</v>
      </c>
      <c r="J441" s="41">
        <v>1</v>
      </c>
      <c r="K441" s="37" t="s">
        <v>263</v>
      </c>
      <c r="L441" s="37" t="s">
        <v>263</v>
      </c>
      <c r="M441" s="37" t="s">
        <v>263</v>
      </c>
      <c r="N441" s="36" t="s">
        <v>263</v>
      </c>
      <c r="O441" s="39" t="s">
        <v>265</v>
      </c>
      <c r="P441" s="40" t="s">
        <v>264</v>
      </c>
      <c r="Q441" s="36" t="s">
        <v>265</v>
      </c>
      <c r="R441" s="24" t="s">
        <v>265</v>
      </c>
      <c r="S441" s="24" t="s">
        <v>263</v>
      </c>
      <c r="T441" s="24" t="s">
        <v>263</v>
      </c>
      <c r="U441" s="24" t="s">
        <v>263</v>
      </c>
      <c r="V441" s="24" t="s">
        <v>263</v>
      </c>
      <c r="X441" s="24" t="s">
        <v>264</v>
      </c>
      <c r="Y441" s="24" t="s">
        <v>263</v>
      </c>
      <c r="Z441" s="20" t="s">
        <v>1832</v>
      </c>
      <c r="AA441" s="20" t="s">
        <v>1862</v>
      </c>
      <c r="AB441" s="31">
        <f>VLOOKUP(AA441,Masters!$K$2:$L$183,2,FALSE)</f>
        <v>1004</v>
      </c>
      <c r="AC441" s="24" t="s">
        <v>2063</v>
      </c>
      <c r="AD441" s="24" t="s">
        <v>2061</v>
      </c>
      <c r="AE441" s="20">
        <v>17</v>
      </c>
      <c r="AF441" s="20">
        <v>1</v>
      </c>
      <c r="AG441" s="20">
        <v>2002</v>
      </c>
      <c r="AH441" s="21">
        <v>37273</v>
      </c>
    </row>
    <row r="442" spans="1:34" x14ac:dyDescent="0.25">
      <c r="A442" s="35">
        <v>1011</v>
      </c>
      <c r="B442" s="20" t="s">
        <v>1840</v>
      </c>
      <c r="C442" s="20" t="s">
        <v>1840</v>
      </c>
      <c r="D442" s="94" t="s">
        <v>938</v>
      </c>
      <c r="E442" s="20" t="s">
        <v>2054</v>
      </c>
      <c r="F442" s="20" t="s">
        <v>1843</v>
      </c>
      <c r="G442" s="35" t="s">
        <v>40</v>
      </c>
      <c r="H442" s="36">
        <v>1</v>
      </c>
      <c r="I442" s="36"/>
      <c r="J442" s="36">
        <v>1</v>
      </c>
      <c r="K442" s="37"/>
      <c r="L442" s="38"/>
      <c r="M442" s="36"/>
      <c r="N442" s="36"/>
      <c r="O442" s="22">
        <v>0</v>
      </c>
      <c r="P442" s="22">
        <v>1</v>
      </c>
      <c r="Q442" s="22">
        <v>0</v>
      </c>
      <c r="R442" s="22">
        <v>0</v>
      </c>
      <c r="S442" s="22"/>
      <c r="T442" s="22"/>
      <c r="U442" s="22"/>
      <c r="V442" s="22"/>
      <c r="X442" s="22">
        <v>1</v>
      </c>
      <c r="Y442" s="22"/>
      <c r="Z442" s="20" t="s">
        <v>753</v>
      </c>
      <c r="AA442" s="20" t="s">
        <v>1859</v>
      </c>
      <c r="AB442" s="31">
        <f>VLOOKUP(AA442,Masters!$K$2:$L$183,2,FALSE)</f>
        <v>1001</v>
      </c>
      <c r="AC442" s="22" t="s">
        <v>2063</v>
      </c>
      <c r="AD442" s="22" t="s">
        <v>2061</v>
      </c>
      <c r="AE442" s="20">
        <v>29</v>
      </c>
      <c r="AF442" s="20">
        <v>11</v>
      </c>
      <c r="AG442" s="20">
        <v>2005</v>
      </c>
      <c r="AH442" s="21">
        <v>38685</v>
      </c>
    </row>
    <row r="443" spans="1:34" x14ac:dyDescent="0.25">
      <c r="A443" s="35">
        <v>1017</v>
      </c>
      <c r="B443" s="20" t="s">
        <v>1840</v>
      </c>
      <c r="C443" s="20" t="s">
        <v>1840</v>
      </c>
      <c r="D443" s="94" t="s">
        <v>944</v>
      </c>
      <c r="E443" s="20" t="s">
        <v>2054</v>
      </c>
      <c r="F443" s="20" t="s">
        <v>1845</v>
      </c>
      <c r="G443" s="31" t="s">
        <v>40</v>
      </c>
      <c r="H443" s="32">
        <v>1</v>
      </c>
      <c r="J443" s="32">
        <v>1</v>
      </c>
      <c r="O443" s="20">
        <v>0</v>
      </c>
      <c r="P443" s="20">
        <v>1</v>
      </c>
      <c r="Q443" s="20">
        <v>0</v>
      </c>
      <c r="R443" s="20">
        <v>0</v>
      </c>
      <c r="X443" s="20">
        <v>1</v>
      </c>
      <c r="Z443" s="20" t="s">
        <v>1857</v>
      </c>
      <c r="AA443" s="20" t="s">
        <v>1862</v>
      </c>
      <c r="AB443" s="31">
        <f>VLOOKUP(AA443,Masters!$K$2:$L$183,2,FALSE)</f>
        <v>1004</v>
      </c>
      <c r="AC443" s="20" t="s">
        <v>2064</v>
      </c>
      <c r="AD443" s="20" t="s">
        <v>2061</v>
      </c>
      <c r="AE443" s="20">
        <v>20</v>
      </c>
      <c r="AF443" s="20">
        <v>8</v>
      </c>
      <c r="AG443" s="20">
        <v>2000</v>
      </c>
      <c r="AH443" s="21">
        <v>36758</v>
      </c>
    </row>
    <row r="444" spans="1:34" x14ac:dyDescent="0.25">
      <c r="A444" s="35">
        <v>1020</v>
      </c>
      <c r="B444" s="20" t="s">
        <v>1840</v>
      </c>
      <c r="C444" s="20" t="s">
        <v>1840</v>
      </c>
      <c r="D444" s="94" t="s">
        <v>947</v>
      </c>
      <c r="E444" s="20" t="s">
        <v>126</v>
      </c>
      <c r="F444" s="20" t="s">
        <v>1846</v>
      </c>
      <c r="G444" s="31" t="s">
        <v>40</v>
      </c>
      <c r="H444" s="32">
        <v>1</v>
      </c>
      <c r="J444" s="32">
        <v>1</v>
      </c>
      <c r="O444" s="20">
        <v>0</v>
      </c>
      <c r="P444" s="20">
        <v>1</v>
      </c>
      <c r="Q444" s="20">
        <v>0</v>
      </c>
      <c r="R444" s="20">
        <v>0</v>
      </c>
      <c r="X444" s="20">
        <v>1</v>
      </c>
      <c r="Z444" s="20" t="s">
        <v>1853</v>
      </c>
      <c r="AA444" s="20" t="s">
        <v>1863</v>
      </c>
      <c r="AB444" s="31">
        <f>VLOOKUP(AA444,Masters!$K$2:$L$183,2,FALSE)</f>
        <v>1005</v>
      </c>
      <c r="AC444" s="20" t="s">
        <v>2064</v>
      </c>
      <c r="AD444" s="20" t="s">
        <v>2061</v>
      </c>
      <c r="AE444" s="20">
        <v>19</v>
      </c>
      <c r="AF444" s="20">
        <v>11</v>
      </c>
      <c r="AG444" s="20">
        <v>2005</v>
      </c>
      <c r="AH444" s="21">
        <v>38675</v>
      </c>
    </row>
    <row r="445" spans="1:34" x14ac:dyDescent="0.25">
      <c r="A445" s="35">
        <v>1023</v>
      </c>
      <c r="B445" s="20" t="s">
        <v>1840</v>
      </c>
      <c r="C445" s="20" t="s">
        <v>1840</v>
      </c>
      <c r="D445" s="94" t="s">
        <v>950</v>
      </c>
      <c r="E445" s="20" t="s">
        <v>2057</v>
      </c>
      <c r="F445" s="20" t="s">
        <v>1845</v>
      </c>
      <c r="G445" s="31" t="s">
        <v>40</v>
      </c>
      <c r="H445" s="32">
        <v>1</v>
      </c>
      <c r="J445" s="32">
        <v>1</v>
      </c>
      <c r="O445" s="20">
        <v>0</v>
      </c>
      <c r="P445" s="20">
        <v>1</v>
      </c>
      <c r="Q445" s="20">
        <v>0</v>
      </c>
      <c r="R445" s="20">
        <v>0</v>
      </c>
      <c r="X445" s="20">
        <v>1</v>
      </c>
      <c r="Z445" s="20" t="s">
        <v>100</v>
      </c>
      <c r="AA445" s="20" t="s">
        <v>1861</v>
      </c>
      <c r="AB445" s="31">
        <f>VLOOKUP(AA445,Masters!$K$2:$L$183,2,FALSE)</f>
        <v>1003</v>
      </c>
      <c r="AC445" s="20" t="s">
        <v>2063</v>
      </c>
      <c r="AD445" s="20" t="s">
        <v>2061</v>
      </c>
      <c r="AE445" s="20">
        <v>21</v>
      </c>
      <c r="AF445" s="20">
        <v>3</v>
      </c>
      <c r="AG445" s="20">
        <v>2004</v>
      </c>
      <c r="AH445" s="21">
        <v>38067</v>
      </c>
    </row>
    <row r="446" spans="1:34" x14ac:dyDescent="0.25">
      <c r="A446" s="35">
        <v>1025</v>
      </c>
      <c r="B446" s="20" t="s">
        <v>1840</v>
      </c>
      <c r="C446" s="20" t="s">
        <v>1840</v>
      </c>
      <c r="D446" s="94" t="s">
        <v>952</v>
      </c>
      <c r="E446" s="20" t="s">
        <v>2050</v>
      </c>
      <c r="F446" s="20" t="s">
        <v>1846</v>
      </c>
      <c r="G446" s="31" t="s">
        <v>40</v>
      </c>
      <c r="H446" s="32">
        <v>1</v>
      </c>
      <c r="J446" s="32">
        <v>1</v>
      </c>
      <c r="O446" s="20">
        <v>0</v>
      </c>
      <c r="P446" s="20">
        <v>1</v>
      </c>
      <c r="Q446" s="20">
        <v>0</v>
      </c>
      <c r="R446" s="20">
        <v>0</v>
      </c>
      <c r="X446" s="20">
        <v>1</v>
      </c>
      <c r="Z446" s="20" t="s">
        <v>100</v>
      </c>
      <c r="AA446" s="20" t="s">
        <v>1862</v>
      </c>
      <c r="AB446" s="31">
        <f>VLOOKUP(AA446,Masters!$K$2:$L$183,2,FALSE)</f>
        <v>1004</v>
      </c>
      <c r="AC446" s="20" t="s">
        <v>2063</v>
      </c>
      <c r="AD446" s="20" t="s">
        <v>2061</v>
      </c>
      <c r="AE446" s="20">
        <v>21</v>
      </c>
      <c r="AF446" s="20">
        <v>2</v>
      </c>
      <c r="AG446" s="20">
        <v>2000</v>
      </c>
      <c r="AH446" s="21">
        <v>36577</v>
      </c>
    </row>
    <row r="447" spans="1:34" x14ac:dyDescent="0.25">
      <c r="A447" s="35">
        <v>1032</v>
      </c>
      <c r="B447" s="20" t="s">
        <v>1840</v>
      </c>
      <c r="C447" s="20" t="s">
        <v>1840</v>
      </c>
      <c r="D447" s="94" t="s">
        <v>959</v>
      </c>
      <c r="E447" s="20" t="s">
        <v>2054</v>
      </c>
      <c r="F447" s="20" t="s">
        <v>1846</v>
      </c>
      <c r="G447" s="31" t="s">
        <v>40</v>
      </c>
      <c r="H447" s="32">
        <v>1</v>
      </c>
      <c r="J447" s="32">
        <v>1</v>
      </c>
      <c r="O447" s="20">
        <v>0</v>
      </c>
      <c r="P447" s="20">
        <v>1</v>
      </c>
      <c r="Q447" s="20">
        <v>0</v>
      </c>
      <c r="R447" s="20">
        <v>0</v>
      </c>
      <c r="X447" s="20">
        <v>1</v>
      </c>
      <c r="Z447" s="20" t="s">
        <v>1858</v>
      </c>
      <c r="AA447" s="20" t="s">
        <v>1863</v>
      </c>
      <c r="AB447" s="31">
        <f>VLOOKUP(AA447,Masters!$K$2:$L$183,2,FALSE)</f>
        <v>1005</v>
      </c>
      <c r="AC447" s="20" t="s">
        <v>2064</v>
      </c>
      <c r="AD447" s="20" t="s">
        <v>2061</v>
      </c>
      <c r="AE447" s="20">
        <v>5</v>
      </c>
      <c r="AF447" s="20">
        <v>4</v>
      </c>
      <c r="AG447" s="20">
        <v>2005</v>
      </c>
      <c r="AH447" s="21">
        <v>38447</v>
      </c>
    </row>
    <row r="448" spans="1:34" x14ac:dyDescent="0.25">
      <c r="A448" s="35">
        <v>1034</v>
      </c>
      <c r="B448" s="20" t="s">
        <v>1840</v>
      </c>
      <c r="C448" s="20" t="s">
        <v>1840</v>
      </c>
      <c r="D448" s="94" t="s">
        <v>961</v>
      </c>
      <c r="E448" s="20" t="s">
        <v>2054</v>
      </c>
      <c r="F448" s="20" t="s">
        <v>1843</v>
      </c>
      <c r="G448" s="31" t="s">
        <v>40</v>
      </c>
      <c r="H448" s="32">
        <v>1</v>
      </c>
      <c r="J448" s="32">
        <v>1</v>
      </c>
      <c r="O448" s="20">
        <v>0</v>
      </c>
      <c r="P448" s="20">
        <v>1</v>
      </c>
      <c r="Q448" s="20">
        <v>0</v>
      </c>
      <c r="R448" s="20">
        <v>0</v>
      </c>
      <c r="X448" s="20">
        <v>1</v>
      </c>
      <c r="Z448" s="20" t="s">
        <v>100</v>
      </c>
      <c r="AA448" s="20" t="s">
        <v>1860</v>
      </c>
      <c r="AB448" s="31">
        <f>VLOOKUP(AA448,Masters!$K$2:$L$183,2,FALSE)</f>
        <v>1002</v>
      </c>
      <c r="AC448" s="20" t="s">
        <v>2063</v>
      </c>
      <c r="AD448" s="20" t="s">
        <v>2061</v>
      </c>
      <c r="AE448" s="20">
        <v>16</v>
      </c>
      <c r="AF448" s="20">
        <v>2</v>
      </c>
      <c r="AG448" s="20">
        <v>2003</v>
      </c>
      <c r="AH448" s="21">
        <v>37668</v>
      </c>
    </row>
    <row r="449" spans="1:34" x14ac:dyDescent="0.25">
      <c r="A449" s="35">
        <v>1039</v>
      </c>
      <c r="B449" s="20" t="s">
        <v>1840</v>
      </c>
      <c r="C449" s="20" t="s">
        <v>1840</v>
      </c>
      <c r="D449" s="94" t="s">
        <v>966</v>
      </c>
      <c r="E449" s="20" t="s">
        <v>2056</v>
      </c>
      <c r="F449" s="20" t="s">
        <v>1843</v>
      </c>
      <c r="G449" s="31" t="s">
        <v>40</v>
      </c>
      <c r="H449" s="32">
        <v>1</v>
      </c>
      <c r="I449" s="32" t="s">
        <v>263</v>
      </c>
      <c r="J449" s="33">
        <v>1</v>
      </c>
      <c r="K449" s="34" t="s">
        <v>263</v>
      </c>
      <c r="L449" s="32" t="s">
        <v>263</v>
      </c>
      <c r="M449" s="32" t="s">
        <v>263</v>
      </c>
      <c r="N449" s="20" t="s">
        <v>263</v>
      </c>
      <c r="O449" s="20" t="s">
        <v>265</v>
      </c>
      <c r="P449" s="20" t="s">
        <v>264</v>
      </c>
      <c r="Q449" s="20" t="s">
        <v>265</v>
      </c>
      <c r="R449" s="20" t="s">
        <v>265</v>
      </c>
      <c r="S449" s="20" t="s">
        <v>263</v>
      </c>
      <c r="T449" s="20" t="s">
        <v>263</v>
      </c>
      <c r="U449" s="20" t="s">
        <v>263</v>
      </c>
      <c r="V449" s="21" t="s">
        <v>263</v>
      </c>
      <c r="W449" s="20"/>
      <c r="X449" s="20" t="s">
        <v>264</v>
      </c>
      <c r="Y449" s="20" t="s">
        <v>263</v>
      </c>
      <c r="Z449" s="20" t="s">
        <v>1850</v>
      </c>
      <c r="AA449" s="20" t="s">
        <v>1861</v>
      </c>
      <c r="AB449" s="31">
        <f>VLOOKUP(AA449,Masters!$K$2:$L$183,2,FALSE)</f>
        <v>1003</v>
      </c>
      <c r="AC449" s="20" t="s">
        <v>2063</v>
      </c>
      <c r="AD449" s="20" t="s">
        <v>2061</v>
      </c>
      <c r="AE449" s="20">
        <v>25</v>
      </c>
      <c r="AF449" s="20">
        <v>5</v>
      </c>
      <c r="AG449" s="20">
        <v>2002</v>
      </c>
      <c r="AH449" s="21">
        <v>37401</v>
      </c>
    </row>
    <row r="450" spans="1:34" x14ac:dyDescent="0.25">
      <c r="A450" s="35">
        <v>1040</v>
      </c>
      <c r="B450" s="20" t="s">
        <v>1840</v>
      </c>
      <c r="C450" s="20" t="s">
        <v>1840</v>
      </c>
      <c r="D450" s="94" t="s">
        <v>967</v>
      </c>
      <c r="E450" s="20" t="s">
        <v>2051</v>
      </c>
      <c r="F450" s="20" t="s">
        <v>1846</v>
      </c>
      <c r="G450" s="31" t="s">
        <v>40</v>
      </c>
      <c r="H450" s="32">
        <v>1</v>
      </c>
      <c r="J450" s="32">
        <v>1</v>
      </c>
      <c r="O450" s="20">
        <v>0</v>
      </c>
      <c r="P450" s="20">
        <v>1</v>
      </c>
      <c r="Q450" s="20">
        <v>0</v>
      </c>
      <c r="R450" s="20">
        <v>0</v>
      </c>
      <c r="X450" s="20">
        <v>1</v>
      </c>
      <c r="Z450" s="20" t="s">
        <v>78</v>
      </c>
      <c r="AA450" s="20" t="s">
        <v>1863</v>
      </c>
      <c r="AB450" s="31">
        <f>VLOOKUP(AA450,Masters!$K$2:$L$183,2,FALSE)</f>
        <v>1005</v>
      </c>
      <c r="AC450" s="20" t="s">
        <v>2064</v>
      </c>
      <c r="AD450" s="20" t="s">
        <v>2061</v>
      </c>
      <c r="AE450" s="20">
        <v>25</v>
      </c>
      <c r="AF450" s="20">
        <v>2</v>
      </c>
      <c r="AG450" s="20">
        <v>2004</v>
      </c>
      <c r="AH450" s="21">
        <v>38042</v>
      </c>
    </row>
    <row r="451" spans="1:34" x14ac:dyDescent="0.25">
      <c r="A451" s="35">
        <v>1043</v>
      </c>
      <c r="B451" s="20" t="s">
        <v>1840</v>
      </c>
      <c r="C451" s="20" t="s">
        <v>1840</v>
      </c>
      <c r="D451" s="94" t="s">
        <v>970</v>
      </c>
      <c r="E451" s="20" t="s">
        <v>126</v>
      </c>
      <c r="F451" s="20" t="s">
        <v>1844</v>
      </c>
      <c r="G451" s="31" t="s">
        <v>40</v>
      </c>
      <c r="H451" s="32">
        <v>1</v>
      </c>
      <c r="J451" s="32">
        <v>1</v>
      </c>
      <c r="O451" s="20">
        <v>0</v>
      </c>
      <c r="P451" s="20">
        <v>1</v>
      </c>
      <c r="Q451" s="20">
        <v>0</v>
      </c>
      <c r="R451" s="20">
        <v>0</v>
      </c>
      <c r="X451" s="20">
        <v>1</v>
      </c>
      <c r="Z451" s="20" t="s">
        <v>1854</v>
      </c>
      <c r="AA451" s="20" t="s">
        <v>1863</v>
      </c>
      <c r="AB451" s="31">
        <f>VLOOKUP(AA451,Masters!$K$2:$L$183,2,FALSE)</f>
        <v>1005</v>
      </c>
      <c r="AC451" s="20" t="s">
        <v>2063</v>
      </c>
      <c r="AD451" s="20" t="s">
        <v>2061</v>
      </c>
      <c r="AE451" s="20">
        <v>29</v>
      </c>
      <c r="AF451" s="20">
        <v>8</v>
      </c>
      <c r="AG451" s="20">
        <v>2000</v>
      </c>
      <c r="AH451" s="21">
        <v>36767</v>
      </c>
    </row>
    <row r="452" spans="1:34" x14ac:dyDescent="0.25">
      <c r="A452" s="35">
        <v>1045</v>
      </c>
      <c r="B452" s="20" t="s">
        <v>1840</v>
      </c>
      <c r="C452" s="20" t="s">
        <v>1840</v>
      </c>
      <c r="D452" s="94" t="s">
        <v>972</v>
      </c>
      <c r="E452" s="20" t="s">
        <v>2057</v>
      </c>
      <c r="F452" s="20" t="s">
        <v>1843</v>
      </c>
      <c r="G452" s="31" t="s">
        <v>40</v>
      </c>
      <c r="H452" s="32">
        <v>1</v>
      </c>
      <c r="J452" s="32">
        <v>1</v>
      </c>
      <c r="O452" s="20">
        <v>0</v>
      </c>
      <c r="P452" s="20">
        <v>1</v>
      </c>
      <c r="Q452" s="20">
        <v>0</v>
      </c>
      <c r="R452" s="20">
        <v>0</v>
      </c>
      <c r="X452" s="20">
        <v>1</v>
      </c>
      <c r="Z452" s="20" t="s">
        <v>1856</v>
      </c>
      <c r="AA452" s="20" t="s">
        <v>1860</v>
      </c>
      <c r="AB452" s="31">
        <f>VLOOKUP(AA452,Masters!$K$2:$L$183,2,FALSE)</f>
        <v>1002</v>
      </c>
      <c r="AC452" s="20" t="s">
        <v>2063</v>
      </c>
      <c r="AD452" s="20" t="s">
        <v>2060</v>
      </c>
      <c r="AE452" s="20">
        <v>29</v>
      </c>
      <c r="AF452" s="20">
        <v>1</v>
      </c>
      <c r="AG452" s="20">
        <v>2004</v>
      </c>
      <c r="AH452" s="21">
        <v>38015</v>
      </c>
    </row>
    <row r="453" spans="1:34" x14ac:dyDescent="0.25">
      <c r="A453" s="35">
        <v>1049</v>
      </c>
      <c r="B453" s="20" t="s">
        <v>1840</v>
      </c>
      <c r="C453" s="20" t="s">
        <v>1840</v>
      </c>
      <c r="D453" s="94" t="s">
        <v>976</v>
      </c>
      <c r="E453" s="20" t="s">
        <v>2051</v>
      </c>
      <c r="F453" s="20" t="s">
        <v>1847</v>
      </c>
      <c r="G453" s="31" t="s">
        <v>40</v>
      </c>
      <c r="H453" s="32">
        <v>1</v>
      </c>
      <c r="J453" s="32">
        <v>1</v>
      </c>
      <c r="O453" s="20">
        <v>0</v>
      </c>
      <c r="P453" s="20">
        <v>1</v>
      </c>
      <c r="Q453" s="20">
        <v>0</v>
      </c>
      <c r="R453" s="20">
        <v>0</v>
      </c>
      <c r="X453" s="20">
        <v>1</v>
      </c>
      <c r="Z453" s="20" t="s">
        <v>1853</v>
      </c>
      <c r="AA453" s="20" t="s">
        <v>1860</v>
      </c>
      <c r="AB453" s="31">
        <f>VLOOKUP(AA453,Masters!$K$2:$L$183,2,FALSE)</f>
        <v>1002</v>
      </c>
      <c r="AC453" s="20" t="s">
        <v>2063</v>
      </c>
      <c r="AD453" s="20" t="s">
        <v>2061</v>
      </c>
      <c r="AE453" s="20">
        <v>10</v>
      </c>
      <c r="AF453" s="20">
        <v>1</v>
      </c>
      <c r="AG453" s="20">
        <v>2000</v>
      </c>
      <c r="AH453" s="21">
        <v>36535</v>
      </c>
    </row>
    <row r="454" spans="1:34" x14ac:dyDescent="0.25">
      <c r="A454" s="35">
        <v>1052</v>
      </c>
      <c r="B454" s="20" t="s">
        <v>1840</v>
      </c>
      <c r="C454" s="20" t="s">
        <v>1840</v>
      </c>
      <c r="D454" s="94" t="s">
        <v>979</v>
      </c>
      <c r="E454" s="20" t="s">
        <v>2055</v>
      </c>
      <c r="F454" s="20" t="s">
        <v>1845</v>
      </c>
      <c r="G454" s="31" t="s">
        <v>40</v>
      </c>
      <c r="H454" s="32">
        <v>1</v>
      </c>
      <c r="J454" s="32">
        <v>1</v>
      </c>
      <c r="O454" s="20">
        <v>0</v>
      </c>
      <c r="P454" s="20">
        <v>1</v>
      </c>
      <c r="Q454" s="20">
        <v>0</v>
      </c>
      <c r="R454" s="20">
        <v>0</v>
      </c>
      <c r="X454" s="20">
        <v>1</v>
      </c>
      <c r="Z454" s="20" t="s">
        <v>1853</v>
      </c>
      <c r="AA454" s="20" t="s">
        <v>1860</v>
      </c>
      <c r="AB454" s="31">
        <f>VLOOKUP(AA454,Masters!$K$2:$L$183,2,FALSE)</f>
        <v>1002</v>
      </c>
      <c r="AC454" s="20" t="s">
        <v>2063</v>
      </c>
      <c r="AD454" s="20" t="s">
        <v>2061</v>
      </c>
      <c r="AE454" s="20">
        <v>10</v>
      </c>
      <c r="AF454" s="20">
        <v>10</v>
      </c>
      <c r="AG454" s="20">
        <v>2003</v>
      </c>
      <c r="AH454" s="21">
        <v>37904</v>
      </c>
    </row>
    <row r="455" spans="1:34" x14ac:dyDescent="0.25">
      <c r="A455" s="35">
        <v>1053</v>
      </c>
      <c r="B455" s="20" t="s">
        <v>1840</v>
      </c>
      <c r="C455" s="20" t="s">
        <v>1840</v>
      </c>
      <c r="D455" s="94" t="s">
        <v>980</v>
      </c>
      <c r="E455" s="20" t="s">
        <v>2053</v>
      </c>
      <c r="F455" s="20" t="s">
        <v>1845</v>
      </c>
      <c r="G455" s="31" t="s">
        <v>40</v>
      </c>
      <c r="H455" s="32">
        <v>1</v>
      </c>
      <c r="J455" s="32">
        <v>1</v>
      </c>
      <c r="O455" s="20">
        <v>0</v>
      </c>
      <c r="P455" s="20">
        <v>1</v>
      </c>
      <c r="Q455" s="20">
        <v>0</v>
      </c>
      <c r="R455" s="20">
        <v>0</v>
      </c>
      <c r="X455" s="20">
        <v>1</v>
      </c>
      <c r="Z455" s="20" t="s">
        <v>1858</v>
      </c>
      <c r="AA455" s="20" t="s">
        <v>1862</v>
      </c>
      <c r="AB455" s="31">
        <f>VLOOKUP(AA455,Masters!$K$2:$L$183,2,FALSE)</f>
        <v>1004</v>
      </c>
      <c r="AC455" s="20" t="s">
        <v>2064</v>
      </c>
      <c r="AD455" s="20" t="s">
        <v>2061</v>
      </c>
      <c r="AE455" s="20">
        <v>12</v>
      </c>
      <c r="AF455" s="20">
        <v>11</v>
      </c>
      <c r="AG455" s="20">
        <v>2000</v>
      </c>
      <c r="AH455" s="21">
        <v>36842</v>
      </c>
    </row>
    <row r="456" spans="1:34" x14ac:dyDescent="0.25">
      <c r="A456" s="35">
        <v>1058</v>
      </c>
      <c r="B456" s="20" t="s">
        <v>1840</v>
      </c>
      <c r="C456" s="20" t="s">
        <v>1840</v>
      </c>
      <c r="D456" s="94" t="s">
        <v>985</v>
      </c>
      <c r="E456" s="20" t="s">
        <v>2058</v>
      </c>
      <c r="F456" s="20" t="s">
        <v>1847</v>
      </c>
      <c r="G456" s="31" t="s">
        <v>40</v>
      </c>
      <c r="H456" s="32">
        <v>1</v>
      </c>
      <c r="J456" s="32">
        <v>1</v>
      </c>
      <c r="O456" s="20">
        <v>0</v>
      </c>
      <c r="P456" s="20">
        <v>1</v>
      </c>
      <c r="Q456" s="20">
        <v>0</v>
      </c>
      <c r="R456" s="20">
        <v>0</v>
      </c>
      <c r="X456" s="20">
        <v>1</v>
      </c>
      <c r="Z456" s="20" t="s">
        <v>1849</v>
      </c>
      <c r="AA456" s="20" t="s">
        <v>1863</v>
      </c>
      <c r="AB456" s="31">
        <f>VLOOKUP(AA456,Masters!$K$2:$L$183,2,FALSE)</f>
        <v>1005</v>
      </c>
      <c r="AC456" s="20" t="s">
        <v>2063</v>
      </c>
      <c r="AD456" s="20" t="s">
        <v>2061</v>
      </c>
      <c r="AE456" s="20">
        <v>11</v>
      </c>
      <c r="AF456" s="20">
        <v>1</v>
      </c>
      <c r="AG456" s="20">
        <v>2004</v>
      </c>
      <c r="AH456" s="21">
        <v>37997</v>
      </c>
    </row>
    <row r="457" spans="1:34" x14ac:dyDescent="0.25">
      <c r="A457" s="35">
        <v>1060</v>
      </c>
      <c r="B457" s="20" t="s">
        <v>1840</v>
      </c>
      <c r="C457" s="20" t="s">
        <v>1840</v>
      </c>
      <c r="D457" s="94" t="s">
        <v>987</v>
      </c>
      <c r="E457" s="20" t="s">
        <v>2053</v>
      </c>
      <c r="F457" s="20" t="s">
        <v>1846</v>
      </c>
      <c r="G457" s="31" t="s">
        <v>40</v>
      </c>
      <c r="H457" s="32">
        <v>1</v>
      </c>
      <c r="J457" s="32">
        <v>1</v>
      </c>
      <c r="O457" s="20">
        <v>0</v>
      </c>
      <c r="P457" s="20">
        <v>1</v>
      </c>
      <c r="Q457" s="20">
        <v>0</v>
      </c>
      <c r="R457" s="20">
        <v>0</v>
      </c>
      <c r="X457" s="20">
        <v>1</v>
      </c>
      <c r="Z457" s="20" t="s">
        <v>1853</v>
      </c>
      <c r="AA457" s="20" t="s">
        <v>1863</v>
      </c>
      <c r="AB457" s="31">
        <f>VLOOKUP(AA457,Masters!$K$2:$L$183,2,FALSE)</f>
        <v>1005</v>
      </c>
      <c r="AC457" s="20" t="s">
        <v>2063</v>
      </c>
      <c r="AD457" s="20" t="s">
        <v>2060</v>
      </c>
      <c r="AE457" s="20">
        <v>1</v>
      </c>
      <c r="AF457" s="20">
        <v>10</v>
      </c>
      <c r="AG457" s="20">
        <v>2005</v>
      </c>
      <c r="AH457" s="21">
        <v>38626</v>
      </c>
    </row>
    <row r="458" spans="1:34" x14ac:dyDescent="0.25">
      <c r="A458" s="35">
        <v>1063</v>
      </c>
      <c r="B458" s="20" t="s">
        <v>1840</v>
      </c>
      <c r="C458" s="20" t="s">
        <v>1840</v>
      </c>
      <c r="D458" s="94" t="s">
        <v>990</v>
      </c>
      <c r="E458" s="20" t="s">
        <v>2052</v>
      </c>
      <c r="F458" s="20" t="s">
        <v>1846</v>
      </c>
      <c r="G458" s="31" t="s">
        <v>40</v>
      </c>
      <c r="H458" s="32">
        <v>1</v>
      </c>
      <c r="J458" s="32">
        <v>1</v>
      </c>
      <c r="O458" s="20">
        <v>0</v>
      </c>
      <c r="P458" s="20">
        <v>1</v>
      </c>
      <c r="Q458" s="20">
        <v>0</v>
      </c>
      <c r="R458" s="20">
        <v>0</v>
      </c>
      <c r="X458" s="20">
        <v>1</v>
      </c>
      <c r="Z458" s="20" t="s">
        <v>1851</v>
      </c>
      <c r="AA458" s="20" t="s">
        <v>1859</v>
      </c>
      <c r="AB458" s="31">
        <f>VLOOKUP(AA458,Masters!$K$2:$L$183,2,FALSE)</f>
        <v>1001</v>
      </c>
      <c r="AC458" s="20" t="s">
        <v>2063</v>
      </c>
      <c r="AD458" s="20" t="s">
        <v>2060</v>
      </c>
      <c r="AE458" s="20">
        <v>7</v>
      </c>
      <c r="AF458" s="20">
        <v>7</v>
      </c>
      <c r="AG458" s="20">
        <v>2000</v>
      </c>
      <c r="AH458" s="21">
        <v>36714</v>
      </c>
    </row>
    <row r="459" spans="1:34" x14ac:dyDescent="0.25">
      <c r="A459" s="35">
        <v>1067</v>
      </c>
      <c r="B459" s="20" t="s">
        <v>1840</v>
      </c>
      <c r="C459" s="20" t="s">
        <v>1840</v>
      </c>
      <c r="D459" s="94" t="s">
        <v>994</v>
      </c>
      <c r="E459" s="20" t="s">
        <v>2051</v>
      </c>
      <c r="F459" s="20" t="s">
        <v>1843</v>
      </c>
      <c r="G459" s="31" t="s">
        <v>40</v>
      </c>
      <c r="H459" s="32">
        <v>1</v>
      </c>
      <c r="J459" s="32">
        <v>1</v>
      </c>
      <c r="O459" s="20">
        <v>0</v>
      </c>
      <c r="P459" s="20">
        <v>1</v>
      </c>
      <c r="Q459" s="20">
        <v>0</v>
      </c>
      <c r="R459" s="20">
        <v>0</v>
      </c>
      <c r="X459" s="20">
        <v>1</v>
      </c>
      <c r="Z459" s="20" t="s">
        <v>1852</v>
      </c>
      <c r="AA459" s="20" t="s">
        <v>1859</v>
      </c>
      <c r="AB459" s="31">
        <f>VLOOKUP(AA459,Masters!$K$2:$L$183,2,FALSE)</f>
        <v>1001</v>
      </c>
      <c r="AC459" s="20" t="s">
        <v>2064</v>
      </c>
      <c r="AD459" s="20" t="s">
        <v>2061</v>
      </c>
      <c r="AE459" s="20">
        <v>27</v>
      </c>
      <c r="AF459" s="20">
        <v>5</v>
      </c>
      <c r="AG459" s="20">
        <v>2001</v>
      </c>
      <c r="AH459" s="21">
        <v>37038</v>
      </c>
    </row>
    <row r="460" spans="1:34" x14ac:dyDescent="0.25">
      <c r="A460" s="35">
        <v>1078</v>
      </c>
      <c r="B460" s="20" t="s">
        <v>1840</v>
      </c>
      <c r="C460" s="20" t="s">
        <v>1840</v>
      </c>
      <c r="D460" s="94" t="s">
        <v>1005</v>
      </c>
      <c r="E460" s="20" t="s">
        <v>2051</v>
      </c>
      <c r="F460" s="20" t="s">
        <v>1847</v>
      </c>
      <c r="G460" s="31" t="s">
        <v>40</v>
      </c>
      <c r="H460" s="32">
        <v>1</v>
      </c>
      <c r="J460" s="32">
        <v>1</v>
      </c>
      <c r="O460" s="20">
        <v>0</v>
      </c>
      <c r="P460" s="20">
        <v>1</v>
      </c>
      <c r="Q460" s="20">
        <v>0</v>
      </c>
      <c r="R460" s="20">
        <v>0</v>
      </c>
      <c r="X460" s="20">
        <v>1</v>
      </c>
      <c r="Z460" s="20" t="s">
        <v>753</v>
      </c>
      <c r="AA460" s="20" t="s">
        <v>1859</v>
      </c>
      <c r="AB460" s="31">
        <f>VLOOKUP(AA460,Masters!$K$2:$L$183,2,FALSE)</f>
        <v>1001</v>
      </c>
      <c r="AC460" s="20" t="s">
        <v>2063</v>
      </c>
      <c r="AD460" s="20" t="s">
        <v>2061</v>
      </c>
      <c r="AE460" s="20">
        <v>9</v>
      </c>
      <c r="AF460" s="20">
        <v>3</v>
      </c>
      <c r="AG460" s="20">
        <v>2002</v>
      </c>
      <c r="AH460" s="21">
        <v>37324</v>
      </c>
    </row>
    <row r="461" spans="1:34" x14ac:dyDescent="0.25">
      <c r="A461" s="35">
        <v>1085</v>
      </c>
      <c r="B461" s="20" t="s">
        <v>1840</v>
      </c>
      <c r="C461" s="20" t="s">
        <v>1840</v>
      </c>
      <c r="D461" s="94" t="s">
        <v>1012</v>
      </c>
      <c r="E461" s="20" t="s">
        <v>133</v>
      </c>
      <c r="F461" s="20" t="s">
        <v>1847</v>
      </c>
      <c r="G461" s="31" t="s">
        <v>40</v>
      </c>
      <c r="H461" s="32">
        <v>1</v>
      </c>
      <c r="J461" s="32">
        <v>1</v>
      </c>
      <c r="O461" s="20">
        <v>0</v>
      </c>
      <c r="P461" s="20">
        <v>1</v>
      </c>
      <c r="Q461" s="20">
        <v>0</v>
      </c>
      <c r="R461" s="20">
        <v>0</v>
      </c>
      <c r="X461" s="20">
        <v>1</v>
      </c>
      <c r="Z461" s="20" t="s">
        <v>1853</v>
      </c>
      <c r="AA461" s="20" t="s">
        <v>1861</v>
      </c>
      <c r="AB461" s="31">
        <f>VLOOKUP(AA461,Masters!$K$2:$L$183,2,FALSE)</f>
        <v>1003</v>
      </c>
      <c r="AC461" s="20" t="s">
        <v>2063</v>
      </c>
      <c r="AD461" s="20" t="s">
        <v>2061</v>
      </c>
      <c r="AE461" s="20">
        <v>23</v>
      </c>
      <c r="AF461" s="20">
        <v>2</v>
      </c>
      <c r="AG461" s="20">
        <v>2005</v>
      </c>
      <c r="AH461" s="21">
        <v>38406</v>
      </c>
    </row>
    <row r="462" spans="1:34" x14ac:dyDescent="0.25">
      <c r="A462" s="35">
        <v>1089</v>
      </c>
      <c r="B462" s="20" t="s">
        <v>1840</v>
      </c>
      <c r="C462" s="20" t="s">
        <v>1840</v>
      </c>
      <c r="D462" s="94" t="s">
        <v>1016</v>
      </c>
      <c r="E462" s="20" t="s">
        <v>2053</v>
      </c>
      <c r="F462" s="20" t="s">
        <v>1847</v>
      </c>
      <c r="G462" s="31" t="s">
        <v>40</v>
      </c>
      <c r="H462" s="32">
        <v>1</v>
      </c>
      <c r="J462" s="32">
        <v>1</v>
      </c>
      <c r="O462" s="20">
        <v>0</v>
      </c>
      <c r="P462" s="20">
        <v>1</v>
      </c>
      <c r="Q462" s="20">
        <v>0</v>
      </c>
      <c r="R462" s="20">
        <v>0</v>
      </c>
      <c r="X462" s="20">
        <v>1</v>
      </c>
      <c r="Z462" s="20" t="s">
        <v>1858</v>
      </c>
      <c r="AA462" s="20" t="s">
        <v>1862</v>
      </c>
      <c r="AB462" s="31">
        <f>VLOOKUP(AA462,Masters!$K$2:$L$183,2,FALSE)</f>
        <v>1004</v>
      </c>
      <c r="AC462" s="20" t="s">
        <v>2063</v>
      </c>
      <c r="AD462" s="20" t="s">
        <v>2060</v>
      </c>
      <c r="AE462" s="20">
        <v>16</v>
      </c>
      <c r="AF462" s="20">
        <v>10</v>
      </c>
      <c r="AG462" s="20">
        <v>2003</v>
      </c>
      <c r="AH462" s="21">
        <v>37910</v>
      </c>
    </row>
    <row r="463" spans="1:34" x14ac:dyDescent="0.25">
      <c r="A463" s="35">
        <v>1093</v>
      </c>
      <c r="B463" s="20" t="s">
        <v>1840</v>
      </c>
      <c r="C463" s="20" t="s">
        <v>1840</v>
      </c>
      <c r="D463" s="94" t="s">
        <v>1020</v>
      </c>
      <c r="E463" s="20" t="s">
        <v>2052</v>
      </c>
      <c r="F463" s="20" t="s">
        <v>1846</v>
      </c>
      <c r="G463" s="31" t="s">
        <v>40</v>
      </c>
      <c r="H463" s="32">
        <v>1</v>
      </c>
      <c r="J463" s="32">
        <v>1</v>
      </c>
      <c r="O463" s="20">
        <v>0</v>
      </c>
      <c r="P463" s="20">
        <v>1</v>
      </c>
      <c r="Q463" s="20">
        <v>0</v>
      </c>
      <c r="R463" s="20">
        <v>0</v>
      </c>
      <c r="X463" s="20">
        <v>1</v>
      </c>
      <c r="Z463" s="20" t="s">
        <v>1855</v>
      </c>
      <c r="AA463" s="20" t="s">
        <v>1863</v>
      </c>
      <c r="AB463" s="31">
        <f>VLOOKUP(AA463,Masters!$K$2:$L$183,2,FALSE)</f>
        <v>1005</v>
      </c>
      <c r="AC463" s="20" t="s">
        <v>2064</v>
      </c>
      <c r="AD463" s="20" t="s">
        <v>2061</v>
      </c>
      <c r="AE463" s="20">
        <v>28</v>
      </c>
      <c r="AF463" s="20">
        <v>4</v>
      </c>
      <c r="AG463" s="20">
        <v>2004</v>
      </c>
      <c r="AH463" s="21">
        <v>38105</v>
      </c>
    </row>
    <row r="464" spans="1:34" x14ac:dyDescent="0.25">
      <c r="A464" s="35">
        <v>1102</v>
      </c>
      <c r="B464" s="20" t="s">
        <v>1840</v>
      </c>
      <c r="C464" s="20" t="s">
        <v>1840</v>
      </c>
      <c r="D464" s="94" t="s">
        <v>1029</v>
      </c>
      <c r="E464" s="20" t="s">
        <v>2052</v>
      </c>
      <c r="F464" s="20" t="s">
        <v>1844</v>
      </c>
      <c r="G464" s="31" t="s">
        <v>40</v>
      </c>
      <c r="H464" s="32">
        <v>1</v>
      </c>
      <c r="J464" s="32">
        <v>1</v>
      </c>
      <c r="O464" s="20">
        <v>0</v>
      </c>
      <c r="P464" s="20">
        <v>1</v>
      </c>
      <c r="Q464" s="20">
        <v>0</v>
      </c>
      <c r="R464" s="20">
        <v>0</v>
      </c>
      <c r="X464" s="20">
        <v>1</v>
      </c>
      <c r="Z464" s="20" t="s">
        <v>1849</v>
      </c>
      <c r="AA464" s="20" t="s">
        <v>1859</v>
      </c>
      <c r="AB464" s="31">
        <f>VLOOKUP(AA464,Masters!$K$2:$L$183,2,FALSE)</f>
        <v>1001</v>
      </c>
      <c r="AC464" s="20" t="s">
        <v>2063</v>
      </c>
      <c r="AD464" s="20" t="s">
        <v>2060</v>
      </c>
      <c r="AE464" s="20">
        <v>29</v>
      </c>
      <c r="AF464" s="20">
        <v>12</v>
      </c>
      <c r="AG464" s="20">
        <v>2005</v>
      </c>
      <c r="AH464" s="21">
        <v>38715</v>
      </c>
    </row>
    <row r="465" spans="1:34" x14ac:dyDescent="0.25">
      <c r="A465" s="35">
        <v>1108</v>
      </c>
      <c r="B465" s="20" t="s">
        <v>1840</v>
      </c>
      <c r="C465" s="20" t="s">
        <v>1840</v>
      </c>
      <c r="D465" s="94" t="s">
        <v>1035</v>
      </c>
      <c r="E465" s="20" t="s">
        <v>135</v>
      </c>
      <c r="F465" s="20" t="s">
        <v>1843</v>
      </c>
      <c r="G465" s="31" t="s">
        <v>40</v>
      </c>
      <c r="H465" s="32">
        <v>1</v>
      </c>
      <c r="J465" s="32">
        <v>1</v>
      </c>
      <c r="O465" s="20">
        <v>0</v>
      </c>
      <c r="P465" s="20">
        <v>1</v>
      </c>
      <c r="Q465" s="20">
        <v>0</v>
      </c>
      <c r="R465" s="20">
        <v>0</v>
      </c>
      <c r="X465" s="20">
        <v>1</v>
      </c>
      <c r="Z465" s="20" t="s">
        <v>201</v>
      </c>
      <c r="AA465" s="20" t="s">
        <v>1862</v>
      </c>
      <c r="AB465" s="31">
        <f>VLOOKUP(AA465,Masters!$K$2:$L$183,2,FALSE)</f>
        <v>1004</v>
      </c>
      <c r="AC465" s="20" t="s">
        <v>2063</v>
      </c>
      <c r="AD465" s="20" t="s">
        <v>2060</v>
      </c>
      <c r="AE465" s="20">
        <v>20</v>
      </c>
      <c r="AF465" s="20">
        <v>12</v>
      </c>
      <c r="AG465" s="20">
        <v>2004</v>
      </c>
      <c r="AH465" s="21">
        <v>38341</v>
      </c>
    </row>
    <row r="466" spans="1:34" x14ac:dyDescent="0.25">
      <c r="A466" s="35">
        <v>1113</v>
      </c>
      <c r="B466" s="20" t="s">
        <v>1840</v>
      </c>
      <c r="C466" s="20" t="s">
        <v>1840</v>
      </c>
      <c r="D466" s="94" t="s">
        <v>1040</v>
      </c>
      <c r="E466" s="20" t="s">
        <v>2051</v>
      </c>
      <c r="F466" s="20" t="s">
        <v>1846</v>
      </c>
      <c r="G466" s="31" t="s">
        <v>40</v>
      </c>
      <c r="H466" s="32">
        <v>1</v>
      </c>
      <c r="J466" s="32">
        <v>1</v>
      </c>
      <c r="O466" s="20">
        <v>0</v>
      </c>
      <c r="P466" s="20">
        <v>1</v>
      </c>
      <c r="Q466" s="20">
        <v>0</v>
      </c>
      <c r="R466" s="20">
        <v>0</v>
      </c>
      <c r="X466" s="20">
        <v>1</v>
      </c>
      <c r="Z466" s="20" t="s">
        <v>1857</v>
      </c>
      <c r="AA466" s="20" t="s">
        <v>1860</v>
      </c>
      <c r="AB466" s="31">
        <f>VLOOKUP(AA466,Masters!$K$2:$L$183,2,FALSE)</f>
        <v>1002</v>
      </c>
      <c r="AC466" s="20" t="s">
        <v>2064</v>
      </c>
      <c r="AD466" s="20" t="s">
        <v>2061</v>
      </c>
      <c r="AE466" s="20">
        <v>12</v>
      </c>
      <c r="AF466" s="20">
        <v>10</v>
      </c>
      <c r="AG466" s="20">
        <v>2005</v>
      </c>
      <c r="AH466" s="21">
        <v>38637</v>
      </c>
    </row>
    <row r="467" spans="1:34" x14ac:dyDescent="0.25">
      <c r="A467" s="35">
        <v>1120</v>
      </c>
      <c r="B467" s="20" t="s">
        <v>1840</v>
      </c>
      <c r="C467" s="20" t="s">
        <v>1840</v>
      </c>
      <c r="D467" s="94" t="s">
        <v>1047</v>
      </c>
      <c r="E467" s="20" t="s">
        <v>2059</v>
      </c>
      <c r="F467" s="20" t="s">
        <v>1845</v>
      </c>
      <c r="G467" s="31" t="s">
        <v>40</v>
      </c>
      <c r="H467" s="32">
        <v>1</v>
      </c>
      <c r="J467" s="32">
        <v>1</v>
      </c>
      <c r="O467" s="20">
        <v>0</v>
      </c>
      <c r="P467" s="20">
        <v>1</v>
      </c>
      <c r="Q467" s="20">
        <v>0</v>
      </c>
      <c r="R467" s="20">
        <v>0</v>
      </c>
      <c r="X467" s="20">
        <v>1</v>
      </c>
      <c r="Z467" s="20" t="s">
        <v>1832</v>
      </c>
      <c r="AA467" s="20" t="s">
        <v>1860</v>
      </c>
      <c r="AB467" s="31">
        <f>VLOOKUP(AA467,Masters!$K$2:$L$183,2,FALSE)</f>
        <v>1002</v>
      </c>
      <c r="AC467" s="20" t="s">
        <v>2063</v>
      </c>
      <c r="AD467" s="20" t="s">
        <v>2060</v>
      </c>
      <c r="AE467" s="20">
        <v>17</v>
      </c>
      <c r="AF467" s="20">
        <v>2</v>
      </c>
      <c r="AG467" s="20">
        <v>2002</v>
      </c>
      <c r="AH467" s="21">
        <v>37304</v>
      </c>
    </row>
    <row r="468" spans="1:34" x14ac:dyDescent="0.25">
      <c r="A468" s="35">
        <v>1127</v>
      </c>
      <c r="B468" s="20" t="s">
        <v>1840</v>
      </c>
      <c r="C468" s="20" t="s">
        <v>1840</v>
      </c>
      <c r="D468" s="94" t="s">
        <v>1054</v>
      </c>
      <c r="E468" s="20" t="s">
        <v>135</v>
      </c>
      <c r="F468" s="20" t="s">
        <v>1843</v>
      </c>
      <c r="G468" s="31" t="s">
        <v>40</v>
      </c>
      <c r="H468" s="32">
        <v>1</v>
      </c>
      <c r="J468" s="32">
        <v>1</v>
      </c>
      <c r="O468" s="20">
        <v>0</v>
      </c>
      <c r="P468" s="20">
        <v>1</v>
      </c>
      <c r="Q468" s="20">
        <v>0</v>
      </c>
      <c r="R468" s="20">
        <v>0</v>
      </c>
      <c r="X468" s="20">
        <v>1</v>
      </c>
      <c r="Z468" s="20" t="s">
        <v>1848</v>
      </c>
      <c r="AA468" s="20" t="s">
        <v>1862</v>
      </c>
      <c r="AB468" s="31">
        <f>VLOOKUP(AA468,Masters!$K$2:$L$183,2,FALSE)</f>
        <v>1004</v>
      </c>
      <c r="AC468" s="20" t="s">
        <v>2063</v>
      </c>
      <c r="AD468" s="20" t="s">
        <v>2061</v>
      </c>
      <c r="AE468" s="20">
        <v>18</v>
      </c>
      <c r="AF468" s="20">
        <v>7</v>
      </c>
      <c r="AG468" s="20">
        <v>2004</v>
      </c>
      <c r="AH468" s="21">
        <v>38186</v>
      </c>
    </row>
    <row r="469" spans="1:34" x14ac:dyDescent="0.25">
      <c r="A469" s="35">
        <v>1129</v>
      </c>
      <c r="B469" s="20" t="s">
        <v>1840</v>
      </c>
      <c r="C469" s="20" t="s">
        <v>1840</v>
      </c>
      <c r="D469" s="94" t="s">
        <v>1056</v>
      </c>
      <c r="E469" s="20" t="s">
        <v>2058</v>
      </c>
      <c r="F469" s="20" t="s">
        <v>1847</v>
      </c>
      <c r="G469" s="31" t="s">
        <v>40</v>
      </c>
      <c r="H469" s="32">
        <v>1</v>
      </c>
      <c r="J469" s="32">
        <v>1</v>
      </c>
      <c r="O469" s="20">
        <v>0</v>
      </c>
      <c r="P469" s="20">
        <v>1</v>
      </c>
      <c r="Q469" s="20">
        <v>0</v>
      </c>
      <c r="R469" s="20">
        <v>0</v>
      </c>
      <c r="X469" s="20">
        <v>1</v>
      </c>
      <c r="Z469" s="20" t="s">
        <v>58</v>
      </c>
      <c r="AA469" s="20" t="s">
        <v>1860</v>
      </c>
      <c r="AB469" s="31">
        <f>VLOOKUP(AA469,Masters!$K$2:$L$183,2,FALSE)</f>
        <v>1002</v>
      </c>
      <c r="AC469" s="20" t="s">
        <v>2063</v>
      </c>
      <c r="AD469" s="20" t="s">
        <v>2061</v>
      </c>
      <c r="AE469" s="20">
        <v>29</v>
      </c>
      <c r="AF469" s="20">
        <v>4</v>
      </c>
      <c r="AG469" s="20">
        <v>2000</v>
      </c>
      <c r="AH469" s="21">
        <v>36645</v>
      </c>
    </row>
    <row r="470" spans="1:34" x14ac:dyDescent="0.25">
      <c r="A470" s="35">
        <v>1140</v>
      </c>
      <c r="B470" s="20" t="s">
        <v>1840</v>
      </c>
      <c r="C470" s="20" t="s">
        <v>1840</v>
      </c>
      <c r="D470" s="94" t="s">
        <v>1067</v>
      </c>
      <c r="E470" s="20" t="s">
        <v>2052</v>
      </c>
      <c r="F470" s="20" t="s">
        <v>1844</v>
      </c>
      <c r="G470" s="31" t="s">
        <v>40</v>
      </c>
      <c r="H470" s="32">
        <v>1</v>
      </c>
      <c r="J470" s="32">
        <v>1</v>
      </c>
      <c r="O470" s="20">
        <v>0</v>
      </c>
      <c r="P470" s="20">
        <v>1</v>
      </c>
      <c r="Q470" s="20">
        <v>0</v>
      </c>
      <c r="R470" s="20">
        <v>0</v>
      </c>
      <c r="X470" s="20">
        <v>1</v>
      </c>
      <c r="Z470" s="20" t="s">
        <v>1858</v>
      </c>
      <c r="AA470" s="20" t="s">
        <v>1860</v>
      </c>
      <c r="AB470" s="31">
        <f>VLOOKUP(AA470,Masters!$K$2:$L$183,2,FALSE)</f>
        <v>1002</v>
      </c>
      <c r="AC470" s="20" t="s">
        <v>2063</v>
      </c>
      <c r="AD470" s="20" t="s">
        <v>2061</v>
      </c>
      <c r="AE470" s="20">
        <v>3</v>
      </c>
      <c r="AF470" s="20">
        <v>4</v>
      </c>
      <c r="AG470" s="20">
        <v>2005</v>
      </c>
      <c r="AH470" s="21">
        <v>38445</v>
      </c>
    </row>
    <row r="471" spans="1:34" x14ac:dyDescent="0.25">
      <c r="A471" s="35">
        <v>1145</v>
      </c>
      <c r="B471" s="20" t="s">
        <v>1840</v>
      </c>
      <c r="C471" s="20" t="s">
        <v>1840</v>
      </c>
      <c r="D471" s="94" t="s">
        <v>1072</v>
      </c>
      <c r="E471" s="20" t="s">
        <v>2056</v>
      </c>
      <c r="F471" s="20" t="s">
        <v>1844</v>
      </c>
      <c r="G471" s="31" t="s">
        <v>40</v>
      </c>
      <c r="H471" s="32">
        <v>1</v>
      </c>
      <c r="J471" s="32">
        <v>1</v>
      </c>
      <c r="O471" s="20">
        <v>0</v>
      </c>
      <c r="P471" s="20">
        <v>1</v>
      </c>
      <c r="Q471" s="20">
        <v>0</v>
      </c>
      <c r="R471" s="20">
        <v>0</v>
      </c>
      <c r="X471" s="20">
        <v>1</v>
      </c>
      <c r="Z471" s="20" t="s">
        <v>1850</v>
      </c>
      <c r="AA471" s="20" t="s">
        <v>1860</v>
      </c>
      <c r="AB471" s="31">
        <f>VLOOKUP(AA471,Masters!$K$2:$L$183,2,FALSE)</f>
        <v>1002</v>
      </c>
      <c r="AC471" s="20" t="s">
        <v>2063</v>
      </c>
      <c r="AD471" s="20" t="s">
        <v>2060</v>
      </c>
      <c r="AE471" s="20">
        <v>27</v>
      </c>
      <c r="AF471" s="20">
        <v>2</v>
      </c>
      <c r="AG471" s="20">
        <v>2004</v>
      </c>
      <c r="AH471" s="21">
        <v>38044</v>
      </c>
    </row>
    <row r="472" spans="1:34" x14ac:dyDescent="0.25">
      <c r="A472" s="35">
        <v>1151</v>
      </c>
      <c r="B472" s="20" t="s">
        <v>1840</v>
      </c>
      <c r="C472" s="20" t="s">
        <v>1840</v>
      </c>
      <c r="D472" s="94" t="s">
        <v>1078</v>
      </c>
      <c r="E472" s="20" t="s">
        <v>2057</v>
      </c>
      <c r="F472" s="20" t="s">
        <v>1843</v>
      </c>
      <c r="G472" s="31" t="s">
        <v>40</v>
      </c>
      <c r="H472" s="32">
        <v>1</v>
      </c>
      <c r="J472" s="32">
        <v>1</v>
      </c>
      <c r="O472" s="20">
        <v>0</v>
      </c>
      <c r="P472" s="20">
        <v>1</v>
      </c>
      <c r="Q472" s="20">
        <v>0</v>
      </c>
      <c r="R472" s="20">
        <v>0</v>
      </c>
      <c r="X472" s="20">
        <v>1</v>
      </c>
      <c r="Z472" s="20" t="s">
        <v>100</v>
      </c>
      <c r="AA472" s="20" t="s">
        <v>1862</v>
      </c>
      <c r="AB472" s="31">
        <f>VLOOKUP(AA472,Masters!$K$2:$L$183,2,FALSE)</f>
        <v>1004</v>
      </c>
      <c r="AC472" s="20" t="s">
        <v>2064</v>
      </c>
      <c r="AD472" s="20" t="s">
        <v>2061</v>
      </c>
      <c r="AE472" s="20">
        <v>18</v>
      </c>
      <c r="AF472" s="20">
        <v>10</v>
      </c>
      <c r="AG472" s="20">
        <v>2004</v>
      </c>
      <c r="AH472" s="21">
        <v>38278</v>
      </c>
    </row>
    <row r="473" spans="1:34" x14ac:dyDescent="0.25">
      <c r="A473" s="35">
        <v>1152</v>
      </c>
      <c r="B473" s="20" t="s">
        <v>1840</v>
      </c>
      <c r="C473" s="20" t="s">
        <v>1840</v>
      </c>
      <c r="D473" s="94" t="s">
        <v>1079</v>
      </c>
      <c r="E473" s="20" t="s">
        <v>2055</v>
      </c>
      <c r="F473" s="20" t="s">
        <v>1845</v>
      </c>
      <c r="G473" s="31" t="s">
        <v>40</v>
      </c>
      <c r="H473" s="32">
        <v>1</v>
      </c>
      <c r="J473" s="32">
        <v>1</v>
      </c>
      <c r="O473" s="20">
        <v>0</v>
      </c>
      <c r="P473" s="20">
        <v>1</v>
      </c>
      <c r="Q473" s="20">
        <v>0</v>
      </c>
      <c r="R473" s="20">
        <v>0</v>
      </c>
      <c r="X473" s="20">
        <v>1</v>
      </c>
      <c r="Z473" s="20" t="s">
        <v>1832</v>
      </c>
      <c r="AA473" s="20" t="s">
        <v>1860</v>
      </c>
      <c r="AB473" s="31">
        <f>VLOOKUP(AA473,Masters!$K$2:$L$183,2,FALSE)</f>
        <v>1002</v>
      </c>
      <c r="AC473" s="20" t="s">
        <v>2063</v>
      </c>
      <c r="AD473" s="20" t="s">
        <v>2061</v>
      </c>
      <c r="AE473" s="20">
        <v>18</v>
      </c>
      <c r="AF473" s="20">
        <v>8</v>
      </c>
      <c r="AG473" s="20">
        <v>2003</v>
      </c>
      <c r="AH473" s="21">
        <v>37851</v>
      </c>
    </row>
    <row r="474" spans="1:34" x14ac:dyDescent="0.25">
      <c r="A474" s="35">
        <v>1179</v>
      </c>
      <c r="B474" s="20" t="s">
        <v>1840</v>
      </c>
      <c r="C474" s="20" t="s">
        <v>1840</v>
      </c>
      <c r="D474" s="94" t="s">
        <v>1106</v>
      </c>
      <c r="E474" s="20" t="s">
        <v>135</v>
      </c>
      <c r="F474" s="20" t="s">
        <v>1843</v>
      </c>
      <c r="G474" s="31" t="s">
        <v>40</v>
      </c>
      <c r="H474" s="32">
        <v>1</v>
      </c>
      <c r="J474" s="32">
        <v>1</v>
      </c>
      <c r="O474" s="20">
        <v>0</v>
      </c>
      <c r="P474" s="20">
        <v>1</v>
      </c>
      <c r="Q474" s="20">
        <v>0</v>
      </c>
      <c r="R474" s="20">
        <v>0</v>
      </c>
      <c r="X474" s="20">
        <v>1</v>
      </c>
      <c r="Z474" s="20" t="s">
        <v>1852</v>
      </c>
      <c r="AA474" s="20" t="s">
        <v>1860</v>
      </c>
      <c r="AB474" s="31">
        <f>VLOOKUP(AA474,Masters!$K$2:$L$183,2,FALSE)</f>
        <v>1002</v>
      </c>
      <c r="AC474" s="20" t="s">
        <v>2063</v>
      </c>
      <c r="AD474" s="20" t="s">
        <v>2061</v>
      </c>
      <c r="AE474" s="20">
        <v>8</v>
      </c>
      <c r="AF474" s="20">
        <v>6</v>
      </c>
      <c r="AG474" s="20">
        <v>2001</v>
      </c>
      <c r="AH474" s="21">
        <v>37050</v>
      </c>
    </row>
    <row r="475" spans="1:34" x14ac:dyDescent="0.25">
      <c r="A475" s="35">
        <v>1187</v>
      </c>
      <c r="B475" s="20" t="s">
        <v>1840</v>
      </c>
      <c r="C475" s="20" t="s">
        <v>1840</v>
      </c>
      <c r="D475" s="94" t="s">
        <v>1114</v>
      </c>
      <c r="E475" s="20" t="s">
        <v>2058</v>
      </c>
      <c r="F475" s="20" t="s">
        <v>1844</v>
      </c>
      <c r="G475" s="31" t="s">
        <v>40</v>
      </c>
      <c r="H475" s="32">
        <v>1</v>
      </c>
      <c r="J475" s="32">
        <v>1</v>
      </c>
      <c r="O475" s="20">
        <v>0</v>
      </c>
      <c r="P475" s="20">
        <v>1</v>
      </c>
      <c r="Q475" s="20">
        <v>0</v>
      </c>
      <c r="R475" s="20">
        <v>0</v>
      </c>
      <c r="X475" s="20">
        <v>1</v>
      </c>
      <c r="Z475" s="20" t="s">
        <v>201</v>
      </c>
      <c r="AA475" s="20" t="s">
        <v>1859</v>
      </c>
      <c r="AB475" s="31">
        <f>VLOOKUP(AA475,Masters!$K$2:$L$183,2,FALSE)</f>
        <v>1001</v>
      </c>
      <c r="AC475" s="20" t="s">
        <v>2063</v>
      </c>
      <c r="AD475" s="20" t="s">
        <v>2060</v>
      </c>
      <c r="AE475" s="20">
        <v>5</v>
      </c>
      <c r="AF475" s="20">
        <v>12</v>
      </c>
      <c r="AG475" s="20">
        <v>2000</v>
      </c>
      <c r="AH475" s="21">
        <v>36865</v>
      </c>
    </row>
    <row r="476" spans="1:34" x14ac:dyDescent="0.25">
      <c r="A476" s="35">
        <v>1188</v>
      </c>
      <c r="B476" s="20" t="s">
        <v>1840</v>
      </c>
      <c r="C476" s="20" t="s">
        <v>1840</v>
      </c>
      <c r="D476" s="94" t="s">
        <v>1115</v>
      </c>
      <c r="E476" s="20" t="s">
        <v>2052</v>
      </c>
      <c r="F476" s="20" t="s">
        <v>1843</v>
      </c>
      <c r="G476" s="31" t="s">
        <v>40</v>
      </c>
      <c r="H476" s="32">
        <v>1</v>
      </c>
      <c r="J476" s="32">
        <v>1</v>
      </c>
      <c r="O476" s="20">
        <v>0</v>
      </c>
      <c r="P476" s="20">
        <v>1</v>
      </c>
      <c r="Q476" s="20">
        <v>0</v>
      </c>
      <c r="R476" s="20">
        <v>0</v>
      </c>
      <c r="X476" s="20">
        <v>1</v>
      </c>
      <c r="Z476" s="20" t="s">
        <v>58</v>
      </c>
      <c r="AA476" s="20" t="s">
        <v>1863</v>
      </c>
      <c r="AB476" s="31">
        <f>VLOOKUP(AA476,Masters!$K$2:$L$183,2,FALSE)</f>
        <v>1005</v>
      </c>
      <c r="AC476" s="20" t="s">
        <v>2063</v>
      </c>
      <c r="AD476" s="20" t="s">
        <v>2061</v>
      </c>
      <c r="AE476" s="20">
        <v>4</v>
      </c>
      <c r="AF476" s="20">
        <v>9</v>
      </c>
      <c r="AG476" s="20">
        <v>2002</v>
      </c>
      <c r="AH476" s="21">
        <v>37503</v>
      </c>
    </row>
    <row r="477" spans="1:34" x14ac:dyDescent="0.25">
      <c r="A477" s="35">
        <v>1193</v>
      </c>
      <c r="B477" s="20" t="s">
        <v>1840</v>
      </c>
      <c r="C477" s="20" t="s">
        <v>1840</v>
      </c>
      <c r="D477" s="94" t="s">
        <v>1120</v>
      </c>
      <c r="E477" s="20" t="s">
        <v>2053</v>
      </c>
      <c r="F477" s="20" t="s">
        <v>1845</v>
      </c>
      <c r="G477" s="31" t="s">
        <v>40</v>
      </c>
      <c r="H477" s="32">
        <v>1</v>
      </c>
      <c r="J477" s="32">
        <v>1</v>
      </c>
      <c r="O477" s="20">
        <v>0</v>
      </c>
      <c r="P477" s="20">
        <v>1</v>
      </c>
      <c r="Q477" s="20">
        <v>0</v>
      </c>
      <c r="R477" s="20">
        <v>0</v>
      </c>
      <c r="X477" s="20">
        <v>1</v>
      </c>
      <c r="Z477" s="20" t="s">
        <v>78</v>
      </c>
      <c r="AA477" s="20" t="s">
        <v>1862</v>
      </c>
      <c r="AB477" s="31">
        <f>VLOOKUP(AA477,Masters!$K$2:$L$183,2,FALSE)</f>
        <v>1004</v>
      </c>
      <c r="AC477" s="20" t="s">
        <v>2064</v>
      </c>
      <c r="AD477" s="20" t="s">
        <v>2061</v>
      </c>
      <c r="AE477" s="20">
        <v>14</v>
      </c>
      <c r="AF477" s="20">
        <v>10</v>
      </c>
      <c r="AG477" s="20">
        <v>2003</v>
      </c>
      <c r="AH477" s="21">
        <v>37908</v>
      </c>
    </row>
    <row r="478" spans="1:34" x14ac:dyDescent="0.25">
      <c r="A478" s="35">
        <v>1195</v>
      </c>
      <c r="B478" s="20" t="s">
        <v>1840</v>
      </c>
      <c r="C478" s="20" t="s">
        <v>1840</v>
      </c>
      <c r="D478" s="94" t="s">
        <v>1122</v>
      </c>
      <c r="E478" s="20" t="s">
        <v>2059</v>
      </c>
      <c r="F478" s="20" t="s">
        <v>1843</v>
      </c>
      <c r="G478" s="31" t="s">
        <v>40</v>
      </c>
      <c r="H478" s="32">
        <v>1</v>
      </c>
      <c r="J478" s="32">
        <v>1</v>
      </c>
      <c r="O478" s="20">
        <v>0</v>
      </c>
      <c r="P478" s="20">
        <v>1</v>
      </c>
      <c r="Q478" s="20">
        <v>0</v>
      </c>
      <c r="R478" s="20">
        <v>0</v>
      </c>
      <c r="X478" s="20">
        <v>1</v>
      </c>
      <c r="Z478" s="20" t="s">
        <v>1852</v>
      </c>
      <c r="AA478" s="20" t="s">
        <v>1863</v>
      </c>
      <c r="AB478" s="31">
        <f>VLOOKUP(AA478,Masters!$K$2:$L$183,2,FALSE)</f>
        <v>1005</v>
      </c>
      <c r="AC478" s="20" t="s">
        <v>2064</v>
      </c>
      <c r="AD478" s="20" t="s">
        <v>2061</v>
      </c>
      <c r="AE478" s="20">
        <v>21</v>
      </c>
      <c r="AF478" s="20">
        <v>8</v>
      </c>
      <c r="AG478" s="20">
        <v>2002</v>
      </c>
      <c r="AH478" s="21">
        <v>37489</v>
      </c>
    </row>
    <row r="479" spans="1:34" x14ac:dyDescent="0.25">
      <c r="A479" s="35">
        <v>1204</v>
      </c>
      <c r="B479" s="20" t="s">
        <v>1840</v>
      </c>
      <c r="C479" s="20" t="s">
        <v>1840</v>
      </c>
      <c r="D479" s="94" t="s">
        <v>1131</v>
      </c>
      <c r="E479" s="20" t="s">
        <v>126</v>
      </c>
      <c r="F479" s="20" t="s">
        <v>1843</v>
      </c>
      <c r="G479" s="31" t="s">
        <v>40</v>
      </c>
      <c r="H479" s="32">
        <v>1</v>
      </c>
      <c r="J479" s="32">
        <v>1</v>
      </c>
      <c r="O479" s="20">
        <v>0</v>
      </c>
      <c r="P479" s="20">
        <v>1</v>
      </c>
      <c r="Q479" s="20">
        <v>0</v>
      </c>
      <c r="R479" s="20">
        <v>0</v>
      </c>
      <c r="X479" s="20">
        <v>1</v>
      </c>
      <c r="Z479" s="20" t="s">
        <v>34</v>
      </c>
      <c r="AA479" s="20" t="s">
        <v>1863</v>
      </c>
      <c r="AB479" s="31">
        <f>VLOOKUP(AA479,Masters!$K$2:$L$183,2,FALSE)</f>
        <v>1005</v>
      </c>
      <c r="AC479" s="20" t="s">
        <v>2063</v>
      </c>
      <c r="AD479" s="20" t="s">
        <v>2060</v>
      </c>
      <c r="AE479" s="20">
        <v>13</v>
      </c>
      <c r="AF479" s="20">
        <v>9</v>
      </c>
      <c r="AG479" s="20">
        <v>2005</v>
      </c>
      <c r="AH479" s="21">
        <v>38608</v>
      </c>
    </row>
    <row r="480" spans="1:34" x14ac:dyDescent="0.25">
      <c r="A480" s="35">
        <v>1212</v>
      </c>
      <c r="B480" s="20" t="s">
        <v>1840</v>
      </c>
      <c r="C480" s="20" t="s">
        <v>1840</v>
      </c>
      <c r="D480" s="94" t="s">
        <v>1139</v>
      </c>
      <c r="E480" s="20" t="s">
        <v>2057</v>
      </c>
      <c r="F480" s="20" t="s">
        <v>1846</v>
      </c>
      <c r="G480" s="31" t="s">
        <v>40</v>
      </c>
      <c r="H480" s="32">
        <v>1</v>
      </c>
      <c r="J480" s="32">
        <v>1</v>
      </c>
      <c r="O480" s="20">
        <v>0</v>
      </c>
      <c r="P480" s="20">
        <v>1</v>
      </c>
      <c r="Q480" s="20">
        <v>0</v>
      </c>
      <c r="R480" s="20">
        <v>0</v>
      </c>
      <c r="X480" s="20">
        <v>1</v>
      </c>
      <c r="Z480" s="20" t="s">
        <v>1849</v>
      </c>
      <c r="AA480" s="20" t="s">
        <v>1860</v>
      </c>
      <c r="AB480" s="31">
        <f>VLOOKUP(AA480,Masters!$K$2:$L$183,2,FALSE)</f>
        <v>1002</v>
      </c>
      <c r="AC480" s="20" t="s">
        <v>2063</v>
      </c>
      <c r="AD480" s="20" t="s">
        <v>2060</v>
      </c>
      <c r="AE480" s="20">
        <v>30</v>
      </c>
      <c r="AF480" s="20">
        <v>1</v>
      </c>
      <c r="AG480" s="20">
        <v>2004</v>
      </c>
      <c r="AH480" s="21">
        <v>38016</v>
      </c>
    </row>
    <row r="481" spans="1:34" x14ac:dyDescent="0.25">
      <c r="A481" s="35">
        <v>1214</v>
      </c>
      <c r="B481" s="20" t="s">
        <v>1840</v>
      </c>
      <c r="C481" s="20" t="s">
        <v>1840</v>
      </c>
      <c r="D481" s="94" t="s">
        <v>1141</v>
      </c>
      <c r="E481" s="20" t="s">
        <v>135</v>
      </c>
      <c r="F481" s="20" t="s">
        <v>1847</v>
      </c>
      <c r="G481" s="31" t="s">
        <v>40</v>
      </c>
      <c r="H481" s="32">
        <v>1</v>
      </c>
      <c r="J481" s="32">
        <v>1</v>
      </c>
      <c r="O481" s="20">
        <v>0</v>
      </c>
      <c r="P481" s="20">
        <v>1</v>
      </c>
      <c r="Q481" s="20">
        <v>0</v>
      </c>
      <c r="R481" s="20">
        <v>0</v>
      </c>
      <c r="X481" s="20">
        <v>1</v>
      </c>
      <c r="Z481" s="20" t="s">
        <v>201</v>
      </c>
      <c r="AA481" s="20" t="s">
        <v>1860</v>
      </c>
      <c r="AB481" s="31">
        <f>VLOOKUP(AA481,Masters!$K$2:$L$183,2,FALSE)</f>
        <v>1002</v>
      </c>
      <c r="AC481" s="20" t="s">
        <v>2063</v>
      </c>
      <c r="AD481" s="20" t="s">
        <v>2061</v>
      </c>
      <c r="AE481" s="20">
        <v>8</v>
      </c>
      <c r="AF481" s="20">
        <v>5</v>
      </c>
      <c r="AG481" s="20">
        <v>2000</v>
      </c>
      <c r="AH481" s="21">
        <v>36654</v>
      </c>
    </row>
    <row r="482" spans="1:34" x14ac:dyDescent="0.25">
      <c r="A482" s="35">
        <v>1215</v>
      </c>
      <c r="B482" s="20" t="s">
        <v>1840</v>
      </c>
      <c r="C482" s="20" t="s">
        <v>1840</v>
      </c>
      <c r="D482" s="94" t="s">
        <v>1142</v>
      </c>
      <c r="E482" s="20" t="s">
        <v>2050</v>
      </c>
      <c r="F482" s="20" t="s">
        <v>1847</v>
      </c>
      <c r="G482" s="31" t="s">
        <v>40</v>
      </c>
      <c r="H482" s="32">
        <v>1</v>
      </c>
      <c r="J482" s="32">
        <v>1</v>
      </c>
      <c r="O482" s="20">
        <v>0</v>
      </c>
      <c r="P482" s="20">
        <v>1</v>
      </c>
      <c r="Q482" s="20">
        <v>0</v>
      </c>
      <c r="R482" s="20">
        <v>0</v>
      </c>
      <c r="X482" s="20">
        <v>1</v>
      </c>
      <c r="Z482" s="20" t="s">
        <v>34</v>
      </c>
      <c r="AA482" s="20" t="s">
        <v>1860</v>
      </c>
      <c r="AB482" s="31">
        <f>VLOOKUP(AA482,Masters!$K$2:$L$183,2,FALSE)</f>
        <v>1002</v>
      </c>
      <c r="AC482" s="20" t="s">
        <v>2063</v>
      </c>
      <c r="AD482" s="20" t="s">
        <v>2061</v>
      </c>
      <c r="AE482" s="20">
        <v>17</v>
      </c>
      <c r="AF482" s="20">
        <v>1</v>
      </c>
      <c r="AG482" s="20">
        <v>2004</v>
      </c>
      <c r="AH482" s="21">
        <v>38003</v>
      </c>
    </row>
    <row r="483" spans="1:34" x14ac:dyDescent="0.25">
      <c r="A483" s="35">
        <v>1232</v>
      </c>
      <c r="B483" s="20" t="s">
        <v>1840</v>
      </c>
      <c r="C483" s="20" t="s">
        <v>1840</v>
      </c>
      <c r="D483" s="94" t="s">
        <v>1159</v>
      </c>
      <c r="E483" s="20" t="s">
        <v>2051</v>
      </c>
      <c r="F483" s="20" t="s">
        <v>1843</v>
      </c>
      <c r="G483" s="31" t="s">
        <v>40</v>
      </c>
      <c r="H483" s="32">
        <v>1</v>
      </c>
      <c r="J483" s="32">
        <v>1</v>
      </c>
      <c r="O483" s="20">
        <v>0</v>
      </c>
      <c r="P483" s="20">
        <v>1</v>
      </c>
      <c r="Q483" s="20">
        <v>0</v>
      </c>
      <c r="R483" s="20">
        <v>0</v>
      </c>
      <c r="X483" s="20">
        <v>1</v>
      </c>
      <c r="Z483" s="20" t="s">
        <v>1849</v>
      </c>
      <c r="AA483" s="20" t="s">
        <v>1859</v>
      </c>
      <c r="AB483" s="31">
        <f>VLOOKUP(AA483,Masters!$K$2:$L$183,2,FALSE)</f>
        <v>1001</v>
      </c>
      <c r="AC483" s="20" t="s">
        <v>2064</v>
      </c>
      <c r="AD483" s="20" t="s">
        <v>2061</v>
      </c>
      <c r="AE483" s="20">
        <v>6</v>
      </c>
      <c r="AF483" s="20">
        <v>5</v>
      </c>
      <c r="AG483" s="20">
        <v>2005</v>
      </c>
      <c r="AH483" s="21">
        <v>38478</v>
      </c>
    </row>
    <row r="484" spans="1:34" x14ac:dyDescent="0.25">
      <c r="A484" s="35">
        <v>1243</v>
      </c>
      <c r="B484" s="20" t="s">
        <v>1840</v>
      </c>
      <c r="C484" s="20" t="s">
        <v>1840</v>
      </c>
      <c r="D484" s="94" t="s">
        <v>1170</v>
      </c>
      <c r="E484" s="20" t="s">
        <v>2056</v>
      </c>
      <c r="F484" s="20" t="s">
        <v>1844</v>
      </c>
      <c r="G484" s="31" t="s">
        <v>40</v>
      </c>
      <c r="H484" s="32">
        <v>1</v>
      </c>
      <c r="J484" s="32">
        <v>1</v>
      </c>
      <c r="O484" s="20">
        <v>0</v>
      </c>
      <c r="P484" s="20">
        <v>1</v>
      </c>
      <c r="Q484" s="20">
        <v>0</v>
      </c>
      <c r="R484" s="20">
        <v>0</v>
      </c>
      <c r="X484" s="20">
        <v>1</v>
      </c>
      <c r="Z484" s="20" t="s">
        <v>1858</v>
      </c>
      <c r="AA484" s="20" t="s">
        <v>1860</v>
      </c>
      <c r="AB484" s="31">
        <f>VLOOKUP(AA484,Masters!$K$2:$L$183,2,FALSE)</f>
        <v>1002</v>
      </c>
      <c r="AC484" s="20" t="s">
        <v>2063</v>
      </c>
      <c r="AD484" s="20" t="s">
        <v>2060</v>
      </c>
      <c r="AE484" s="20">
        <v>2</v>
      </c>
      <c r="AF484" s="20">
        <v>10</v>
      </c>
      <c r="AG484" s="20">
        <v>2001</v>
      </c>
      <c r="AH484" s="21">
        <v>37166</v>
      </c>
    </row>
    <row r="485" spans="1:34" x14ac:dyDescent="0.25">
      <c r="A485" s="35">
        <v>1244</v>
      </c>
      <c r="B485" s="20" t="s">
        <v>1840</v>
      </c>
      <c r="C485" s="20" t="s">
        <v>1840</v>
      </c>
      <c r="D485" s="94" t="s">
        <v>1171</v>
      </c>
      <c r="E485" s="20" t="s">
        <v>135</v>
      </c>
      <c r="F485" s="20" t="s">
        <v>1846</v>
      </c>
      <c r="G485" s="31" t="s">
        <v>40</v>
      </c>
      <c r="H485" s="32">
        <v>1</v>
      </c>
      <c r="J485" s="32">
        <v>1</v>
      </c>
      <c r="O485" s="20">
        <v>0</v>
      </c>
      <c r="P485" s="20">
        <v>1</v>
      </c>
      <c r="Q485" s="20">
        <v>0</v>
      </c>
      <c r="R485" s="20">
        <v>0</v>
      </c>
      <c r="X485" s="20">
        <v>1</v>
      </c>
      <c r="Z485" s="20" t="s">
        <v>78</v>
      </c>
      <c r="AA485" s="20" t="s">
        <v>1859</v>
      </c>
      <c r="AB485" s="31">
        <f>VLOOKUP(AA485,Masters!$K$2:$L$183,2,FALSE)</f>
        <v>1001</v>
      </c>
      <c r="AC485" s="20" t="s">
        <v>2063</v>
      </c>
      <c r="AD485" s="20" t="s">
        <v>2060</v>
      </c>
      <c r="AE485" s="20">
        <v>4</v>
      </c>
      <c r="AF485" s="20">
        <v>7</v>
      </c>
      <c r="AG485" s="20">
        <v>2000</v>
      </c>
      <c r="AH485" s="21">
        <v>36711</v>
      </c>
    </row>
    <row r="486" spans="1:34" x14ac:dyDescent="0.25">
      <c r="A486" s="35">
        <v>1252</v>
      </c>
      <c r="B486" s="20" t="s">
        <v>1840</v>
      </c>
      <c r="C486" s="20" t="s">
        <v>1840</v>
      </c>
      <c r="D486" s="94" t="s">
        <v>1179</v>
      </c>
      <c r="E486" s="20" t="s">
        <v>2052</v>
      </c>
      <c r="F486" s="20" t="s">
        <v>1847</v>
      </c>
      <c r="G486" s="31" t="s">
        <v>40</v>
      </c>
      <c r="H486" s="32">
        <v>1</v>
      </c>
      <c r="J486" s="32">
        <v>1</v>
      </c>
      <c r="O486" s="20">
        <v>0</v>
      </c>
      <c r="P486" s="20">
        <v>1</v>
      </c>
      <c r="Q486" s="20">
        <v>0</v>
      </c>
      <c r="R486" s="20">
        <v>0</v>
      </c>
      <c r="X486" s="20">
        <v>1</v>
      </c>
      <c r="Z486" s="20" t="s">
        <v>1835</v>
      </c>
      <c r="AA486" s="20" t="s">
        <v>1859</v>
      </c>
      <c r="AB486" s="31">
        <f>VLOOKUP(AA486,Masters!$K$2:$L$183,2,FALSE)</f>
        <v>1001</v>
      </c>
      <c r="AC486" s="20" t="s">
        <v>2064</v>
      </c>
      <c r="AD486" s="20" t="s">
        <v>2061</v>
      </c>
      <c r="AE486" s="20">
        <v>21</v>
      </c>
      <c r="AF486" s="20">
        <v>2</v>
      </c>
      <c r="AG486" s="20">
        <v>2002</v>
      </c>
      <c r="AH486" s="21">
        <v>37308</v>
      </c>
    </row>
    <row r="487" spans="1:34" x14ac:dyDescent="0.25">
      <c r="A487" s="35">
        <v>1265</v>
      </c>
      <c r="B487" s="20" t="s">
        <v>1840</v>
      </c>
      <c r="C487" s="20" t="s">
        <v>1840</v>
      </c>
      <c r="D487" s="94" t="s">
        <v>1192</v>
      </c>
      <c r="E487" s="20" t="s">
        <v>2052</v>
      </c>
      <c r="F487" s="20" t="s">
        <v>1843</v>
      </c>
      <c r="G487" s="31" t="s">
        <v>40</v>
      </c>
      <c r="H487" s="32">
        <v>1</v>
      </c>
      <c r="J487" s="32">
        <v>1</v>
      </c>
      <c r="O487" s="20">
        <v>0</v>
      </c>
      <c r="P487" s="20">
        <v>1</v>
      </c>
      <c r="Q487" s="20">
        <v>0</v>
      </c>
      <c r="R487" s="20">
        <v>0</v>
      </c>
      <c r="X487" s="20">
        <v>1</v>
      </c>
      <c r="Z487" s="20" t="s">
        <v>1856</v>
      </c>
      <c r="AA487" s="20" t="s">
        <v>1862</v>
      </c>
      <c r="AB487" s="31">
        <f>VLOOKUP(AA487,Masters!$K$2:$L$183,2,FALSE)</f>
        <v>1004</v>
      </c>
      <c r="AC487" s="20" t="s">
        <v>2063</v>
      </c>
      <c r="AD487" s="20" t="s">
        <v>2060</v>
      </c>
      <c r="AE487" s="20">
        <v>3</v>
      </c>
      <c r="AF487" s="20">
        <v>3</v>
      </c>
      <c r="AG487" s="20">
        <v>2002</v>
      </c>
      <c r="AH487" s="21">
        <v>37318</v>
      </c>
    </row>
    <row r="488" spans="1:34" x14ac:dyDescent="0.25">
      <c r="A488" s="35">
        <v>1266</v>
      </c>
      <c r="B488" s="20" t="s">
        <v>1840</v>
      </c>
      <c r="C488" s="20" t="s">
        <v>1840</v>
      </c>
      <c r="D488" s="94" t="s">
        <v>1193</v>
      </c>
      <c r="E488" s="20" t="s">
        <v>2050</v>
      </c>
      <c r="F488" s="20" t="s">
        <v>1843</v>
      </c>
      <c r="G488" s="31" t="s">
        <v>40</v>
      </c>
      <c r="H488" s="32">
        <v>1</v>
      </c>
      <c r="J488" s="32">
        <v>1</v>
      </c>
      <c r="O488" s="20">
        <v>0</v>
      </c>
      <c r="P488" s="20">
        <v>1</v>
      </c>
      <c r="Q488" s="20">
        <v>0</v>
      </c>
      <c r="R488" s="20">
        <v>0</v>
      </c>
      <c r="X488" s="20">
        <v>1</v>
      </c>
      <c r="Z488" s="20" t="s">
        <v>1856</v>
      </c>
      <c r="AA488" s="20" t="s">
        <v>1861</v>
      </c>
      <c r="AB488" s="31">
        <f>VLOOKUP(AA488,Masters!$K$2:$L$183,2,FALSE)</f>
        <v>1003</v>
      </c>
      <c r="AC488" s="20" t="s">
        <v>2064</v>
      </c>
      <c r="AD488" s="20" t="s">
        <v>2061</v>
      </c>
      <c r="AE488" s="20">
        <v>10</v>
      </c>
      <c r="AF488" s="20">
        <v>5</v>
      </c>
      <c r="AG488" s="20">
        <v>2004</v>
      </c>
      <c r="AH488" s="21">
        <v>38117</v>
      </c>
    </row>
    <row r="489" spans="1:34" x14ac:dyDescent="0.25">
      <c r="A489" s="35">
        <v>1268</v>
      </c>
      <c r="B489" s="20" t="s">
        <v>1840</v>
      </c>
      <c r="C489" s="20" t="s">
        <v>1840</v>
      </c>
      <c r="D489" s="94" t="s">
        <v>1195</v>
      </c>
      <c r="E489" s="20" t="s">
        <v>2053</v>
      </c>
      <c r="F489" s="20" t="s">
        <v>1847</v>
      </c>
      <c r="G489" s="31" t="s">
        <v>40</v>
      </c>
      <c r="H489" s="32">
        <v>1</v>
      </c>
      <c r="J489" s="32">
        <v>1</v>
      </c>
      <c r="O489" s="20">
        <v>0</v>
      </c>
      <c r="P489" s="20">
        <v>1</v>
      </c>
      <c r="Q489" s="20">
        <v>0</v>
      </c>
      <c r="R489" s="20">
        <v>0</v>
      </c>
      <c r="X489" s="20">
        <v>1</v>
      </c>
      <c r="Z489" s="20" t="s">
        <v>1835</v>
      </c>
      <c r="AA489" s="20" t="s">
        <v>1863</v>
      </c>
      <c r="AB489" s="31">
        <f>VLOOKUP(AA489,Masters!$K$2:$L$183,2,FALSE)</f>
        <v>1005</v>
      </c>
      <c r="AC489" s="20" t="s">
        <v>2063</v>
      </c>
      <c r="AD489" s="20" t="s">
        <v>2060</v>
      </c>
      <c r="AE489" s="20">
        <v>2</v>
      </c>
      <c r="AF489" s="20">
        <v>7</v>
      </c>
      <c r="AG489" s="20">
        <v>2000</v>
      </c>
      <c r="AH489" s="21">
        <v>36709</v>
      </c>
    </row>
    <row r="490" spans="1:34" x14ac:dyDescent="0.25">
      <c r="A490" s="35">
        <v>1271</v>
      </c>
      <c r="B490" s="20" t="s">
        <v>1840</v>
      </c>
      <c r="C490" s="20" t="s">
        <v>1840</v>
      </c>
      <c r="D490" s="94" t="s">
        <v>1198</v>
      </c>
      <c r="E490" s="20" t="s">
        <v>2056</v>
      </c>
      <c r="F490" s="20" t="s">
        <v>1843</v>
      </c>
      <c r="G490" s="31" t="s">
        <v>40</v>
      </c>
      <c r="H490" s="32">
        <v>1</v>
      </c>
      <c r="J490" s="32">
        <v>1</v>
      </c>
      <c r="O490" s="20">
        <v>0</v>
      </c>
      <c r="P490" s="20">
        <v>1</v>
      </c>
      <c r="Q490" s="20">
        <v>0</v>
      </c>
      <c r="R490" s="20">
        <v>0</v>
      </c>
      <c r="X490" s="20">
        <v>1</v>
      </c>
      <c r="Z490" s="20" t="s">
        <v>78</v>
      </c>
      <c r="AA490" s="20" t="s">
        <v>1860</v>
      </c>
      <c r="AB490" s="31">
        <f>VLOOKUP(AA490,Masters!$K$2:$L$183,2,FALSE)</f>
        <v>1002</v>
      </c>
      <c r="AC490" s="20" t="s">
        <v>2064</v>
      </c>
      <c r="AD490" s="20" t="s">
        <v>2061</v>
      </c>
      <c r="AE490" s="20">
        <v>22</v>
      </c>
      <c r="AF490" s="20">
        <v>12</v>
      </c>
      <c r="AG490" s="20">
        <v>2005</v>
      </c>
      <c r="AH490" s="21">
        <v>38708</v>
      </c>
    </row>
    <row r="491" spans="1:34" x14ac:dyDescent="0.25">
      <c r="A491" s="35">
        <v>1282</v>
      </c>
      <c r="B491" s="20" t="s">
        <v>1840</v>
      </c>
      <c r="C491" s="20" t="s">
        <v>1840</v>
      </c>
      <c r="D491" s="94" t="s">
        <v>1209</v>
      </c>
      <c r="E491" s="20" t="s">
        <v>2058</v>
      </c>
      <c r="F491" s="20" t="s">
        <v>1843</v>
      </c>
      <c r="G491" s="31" t="s">
        <v>40</v>
      </c>
      <c r="H491" s="32">
        <v>1</v>
      </c>
      <c r="J491" s="32">
        <v>1</v>
      </c>
      <c r="O491" s="20">
        <v>0</v>
      </c>
      <c r="P491" s="20">
        <v>1</v>
      </c>
      <c r="Q491" s="20">
        <v>0</v>
      </c>
      <c r="R491" s="20">
        <v>0</v>
      </c>
      <c r="X491" s="20">
        <v>1</v>
      </c>
      <c r="Z491" s="20" t="s">
        <v>1832</v>
      </c>
      <c r="AA491" s="20" t="s">
        <v>1859</v>
      </c>
      <c r="AB491" s="31">
        <f>VLOOKUP(AA491,Masters!$K$2:$L$183,2,FALSE)</f>
        <v>1001</v>
      </c>
      <c r="AC491" s="20" t="s">
        <v>2064</v>
      </c>
      <c r="AD491" s="20" t="s">
        <v>2061</v>
      </c>
      <c r="AE491" s="20">
        <v>10</v>
      </c>
      <c r="AF491" s="20">
        <v>6</v>
      </c>
      <c r="AG491" s="20">
        <v>2000</v>
      </c>
      <c r="AH491" s="21">
        <v>36687</v>
      </c>
    </row>
    <row r="492" spans="1:34" x14ac:dyDescent="0.25">
      <c r="A492" s="35">
        <v>1284</v>
      </c>
      <c r="B492" s="20" t="s">
        <v>1840</v>
      </c>
      <c r="C492" s="20" t="s">
        <v>1840</v>
      </c>
      <c r="D492" s="94" t="s">
        <v>1211</v>
      </c>
      <c r="E492" s="20" t="s">
        <v>135</v>
      </c>
      <c r="F492" s="20" t="s">
        <v>1847</v>
      </c>
      <c r="G492" s="31" t="s">
        <v>40</v>
      </c>
      <c r="H492" s="32">
        <v>1</v>
      </c>
      <c r="J492" s="32">
        <v>1</v>
      </c>
      <c r="O492" s="20">
        <v>0</v>
      </c>
      <c r="P492" s="20">
        <v>1</v>
      </c>
      <c r="Q492" s="20">
        <v>0</v>
      </c>
      <c r="R492" s="20">
        <v>0</v>
      </c>
      <c r="X492" s="20">
        <v>1</v>
      </c>
      <c r="Z492" s="20" t="s">
        <v>1850</v>
      </c>
      <c r="AA492" s="20" t="s">
        <v>1861</v>
      </c>
      <c r="AB492" s="31">
        <f>VLOOKUP(AA492,Masters!$K$2:$L$183,2,FALSE)</f>
        <v>1003</v>
      </c>
      <c r="AC492" s="20" t="s">
        <v>2064</v>
      </c>
      <c r="AD492" s="20" t="s">
        <v>2061</v>
      </c>
      <c r="AE492" s="20">
        <v>9</v>
      </c>
      <c r="AF492" s="20">
        <v>4</v>
      </c>
      <c r="AG492" s="20">
        <v>2004</v>
      </c>
      <c r="AH492" s="21">
        <v>38086</v>
      </c>
    </row>
    <row r="493" spans="1:34" x14ac:dyDescent="0.25">
      <c r="A493" s="35">
        <v>1291</v>
      </c>
      <c r="B493" s="20" t="s">
        <v>1840</v>
      </c>
      <c r="C493" s="20" t="s">
        <v>1840</v>
      </c>
      <c r="D493" s="94" t="s">
        <v>1218</v>
      </c>
      <c r="E493" s="20" t="s">
        <v>2055</v>
      </c>
      <c r="F493" s="20" t="s">
        <v>1845</v>
      </c>
      <c r="G493" s="31" t="s">
        <v>40</v>
      </c>
      <c r="H493" s="32">
        <v>1</v>
      </c>
      <c r="J493" s="32">
        <v>1</v>
      </c>
      <c r="O493" s="20">
        <v>0</v>
      </c>
      <c r="P493" s="20">
        <v>1</v>
      </c>
      <c r="Q493" s="20">
        <v>0</v>
      </c>
      <c r="R493" s="20">
        <v>0</v>
      </c>
      <c r="X493" s="20">
        <v>1</v>
      </c>
      <c r="Z493" s="20" t="s">
        <v>1854</v>
      </c>
      <c r="AA493" s="20" t="s">
        <v>1859</v>
      </c>
      <c r="AB493" s="31">
        <f>VLOOKUP(AA493,Masters!$K$2:$L$183,2,FALSE)</f>
        <v>1001</v>
      </c>
      <c r="AC493" s="20" t="s">
        <v>2064</v>
      </c>
      <c r="AD493" s="20" t="s">
        <v>2061</v>
      </c>
      <c r="AE493" s="20">
        <v>6</v>
      </c>
      <c r="AF493" s="20">
        <v>3</v>
      </c>
      <c r="AG493" s="20">
        <v>2000</v>
      </c>
      <c r="AH493" s="21">
        <v>36591</v>
      </c>
    </row>
    <row r="494" spans="1:34" x14ac:dyDescent="0.25">
      <c r="A494" s="35">
        <v>1298</v>
      </c>
      <c r="B494" s="20" t="s">
        <v>1840</v>
      </c>
      <c r="C494" s="20" t="s">
        <v>1840</v>
      </c>
      <c r="D494" s="94" t="s">
        <v>1225</v>
      </c>
      <c r="E494" s="20" t="s">
        <v>2058</v>
      </c>
      <c r="F494" s="20" t="s">
        <v>1844</v>
      </c>
      <c r="G494" s="31" t="s">
        <v>40</v>
      </c>
      <c r="H494" s="32">
        <v>1</v>
      </c>
      <c r="J494" s="32">
        <v>1</v>
      </c>
      <c r="O494" s="20">
        <v>0</v>
      </c>
      <c r="P494" s="20">
        <v>1</v>
      </c>
      <c r="Q494" s="20">
        <v>0</v>
      </c>
      <c r="R494" s="20">
        <v>0</v>
      </c>
      <c r="X494" s="20">
        <v>1</v>
      </c>
      <c r="Z494" s="20" t="s">
        <v>1853</v>
      </c>
      <c r="AA494" s="20" t="s">
        <v>1859</v>
      </c>
      <c r="AB494" s="31">
        <f>VLOOKUP(AA494,Masters!$K$2:$L$183,2,FALSE)</f>
        <v>1001</v>
      </c>
      <c r="AC494" s="20" t="s">
        <v>2063</v>
      </c>
      <c r="AD494" s="20" t="s">
        <v>2060</v>
      </c>
      <c r="AE494" s="20">
        <v>15</v>
      </c>
      <c r="AF494" s="20">
        <v>3</v>
      </c>
      <c r="AG494" s="20">
        <v>2004</v>
      </c>
      <c r="AH494" s="21">
        <v>38061</v>
      </c>
    </row>
    <row r="495" spans="1:34" x14ac:dyDescent="0.25">
      <c r="A495" s="35">
        <v>1305</v>
      </c>
      <c r="B495" s="20" t="s">
        <v>1840</v>
      </c>
      <c r="C495" s="20" t="s">
        <v>1840</v>
      </c>
      <c r="D495" s="94" t="s">
        <v>1232</v>
      </c>
      <c r="E495" s="20" t="s">
        <v>133</v>
      </c>
      <c r="F495" s="20" t="s">
        <v>1843</v>
      </c>
      <c r="G495" s="31" t="s">
        <v>40</v>
      </c>
      <c r="H495" s="32">
        <v>1</v>
      </c>
      <c r="J495" s="32">
        <v>1</v>
      </c>
      <c r="O495" s="20">
        <v>0</v>
      </c>
      <c r="P495" s="20">
        <v>1</v>
      </c>
      <c r="Q495" s="20">
        <v>0</v>
      </c>
      <c r="R495" s="20">
        <v>0</v>
      </c>
      <c r="X495" s="20">
        <v>1</v>
      </c>
      <c r="Z495" s="20" t="s">
        <v>1832</v>
      </c>
      <c r="AA495" s="20" t="s">
        <v>1861</v>
      </c>
      <c r="AB495" s="31">
        <f>VLOOKUP(AA495,Masters!$K$2:$L$183,2,FALSE)</f>
        <v>1003</v>
      </c>
      <c r="AC495" s="20" t="s">
        <v>2064</v>
      </c>
      <c r="AD495" s="20" t="s">
        <v>2061</v>
      </c>
      <c r="AE495" s="20">
        <v>19</v>
      </c>
      <c r="AF495" s="20">
        <v>1</v>
      </c>
      <c r="AG495" s="20">
        <v>2005</v>
      </c>
      <c r="AH495" s="21">
        <v>38371</v>
      </c>
    </row>
    <row r="496" spans="1:34" x14ac:dyDescent="0.25">
      <c r="A496" s="35">
        <v>1309</v>
      </c>
      <c r="B496" s="20" t="s">
        <v>1840</v>
      </c>
      <c r="C496" s="20" t="s">
        <v>1840</v>
      </c>
      <c r="D496" s="94" t="s">
        <v>1236</v>
      </c>
      <c r="E496" s="20" t="s">
        <v>2056</v>
      </c>
      <c r="F496" s="20" t="s">
        <v>1847</v>
      </c>
      <c r="G496" s="31" t="s">
        <v>40</v>
      </c>
      <c r="H496" s="32">
        <v>1</v>
      </c>
      <c r="J496" s="32">
        <v>1</v>
      </c>
      <c r="O496" s="20">
        <v>0</v>
      </c>
      <c r="P496" s="20">
        <v>1</v>
      </c>
      <c r="Q496" s="20">
        <v>0</v>
      </c>
      <c r="R496" s="20">
        <v>0</v>
      </c>
      <c r="X496" s="20">
        <v>1</v>
      </c>
      <c r="Z496" s="20" t="s">
        <v>1854</v>
      </c>
      <c r="AA496" s="20" t="s">
        <v>1859</v>
      </c>
      <c r="AB496" s="31">
        <f>VLOOKUP(AA496,Masters!$K$2:$L$183,2,FALSE)</f>
        <v>1001</v>
      </c>
      <c r="AC496" s="20" t="s">
        <v>2063</v>
      </c>
      <c r="AD496" s="20" t="s">
        <v>2061</v>
      </c>
      <c r="AE496" s="20">
        <v>12</v>
      </c>
      <c r="AF496" s="20">
        <v>9</v>
      </c>
      <c r="AG496" s="20">
        <v>2004</v>
      </c>
      <c r="AH496" s="21">
        <v>38242</v>
      </c>
    </row>
    <row r="497" spans="1:34" x14ac:dyDescent="0.25">
      <c r="A497" s="35">
        <v>1320</v>
      </c>
      <c r="B497" s="20" t="s">
        <v>1840</v>
      </c>
      <c r="C497" s="20" t="s">
        <v>1840</v>
      </c>
      <c r="D497" s="94" t="s">
        <v>1247</v>
      </c>
      <c r="E497" s="20" t="s">
        <v>2056</v>
      </c>
      <c r="F497" s="20" t="s">
        <v>1843</v>
      </c>
      <c r="G497" s="31" t="s">
        <v>40</v>
      </c>
      <c r="H497" s="32">
        <v>1</v>
      </c>
      <c r="J497" s="32">
        <v>1</v>
      </c>
      <c r="O497" s="20">
        <v>0</v>
      </c>
      <c r="P497" s="20">
        <v>1</v>
      </c>
      <c r="Q497" s="20">
        <v>0</v>
      </c>
      <c r="R497" s="20">
        <v>0</v>
      </c>
      <c r="X497" s="20">
        <v>1</v>
      </c>
      <c r="Z497" s="20" t="s">
        <v>1850</v>
      </c>
      <c r="AA497" s="20" t="s">
        <v>1862</v>
      </c>
      <c r="AB497" s="31">
        <f>VLOOKUP(AA497,Masters!$K$2:$L$183,2,FALSE)</f>
        <v>1004</v>
      </c>
      <c r="AC497" s="20" t="s">
        <v>2063</v>
      </c>
      <c r="AD497" s="20" t="s">
        <v>2060</v>
      </c>
      <c r="AE497" s="20">
        <v>12</v>
      </c>
      <c r="AF497" s="20">
        <v>10</v>
      </c>
      <c r="AG497" s="20">
        <v>2001</v>
      </c>
      <c r="AH497" s="21">
        <v>37176</v>
      </c>
    </row>
    <row r="498" spans="1:34" x14ac:dyDescent="0.25">
      <c r="A498" s="35">
        <v>1324</v>
      </c>
      <c r="B498" s="20" t="s">
        <v>1840</v>
      </c>
      <c r="C498" s="20" t="s">
        <v>1840</v>
      </c>
      <c r="D498" s="94" t="s">
        <v>1251</v>
      </c>
      <c r="E498" s="20" t="s">
        <v>2057</v>
      </c>
      <c r="F498" s="20" t="s">
        <v>1846</v>
      </c>
      <c r="G498" s="31" t="s">
        <v>40</v>
      </c>
      <c r="H498" s="32">
        <v>1</v>
      </c>
      <c r="J498" s="32">
        <v>1</v>
      </c>
      <c r="O498" s="20">
        <v>0</v>
      </c>
      <c r="P498" s="20">
        <v>1</v>
      </c>
      <c r="Q498" s="20">
        <v>0</v>
      </c>
      <c r="R498" s="20">
        <v>0</v>
      </c>
      <c r="X498" s="20">
        <v>1</v>
      </c>
      <c r="Z498" s="20" t="s">
        <v>1856</v>
      </c>
      <c r="AA498" s="20" t="s">
        <v>1859</v>
      </c>
      <c r="AB498" s="31">
        <f>VLOOKUP(AA498,Masters!$K$2:$L$183,2,FALSE)</f>
        <v>1001</v>
      </c>
      <c r="AC498" s="20" t="s">
        <v>2063</v>
      </c>
      <c r="AD498" s="20" t="s">
        <v>2060</v>
      </c>
      <c r="AE498" s="20">
        <v>3</v>
      </c>
      <c r="AF498" s="20">
        <v>11</v>
      </c>
      <c r="AG498" s="20">
        <v>2001</v>
      </c>
      <c r="AH498" s="21">
        <v>37198</v>
      </c>
    </row>
    <row r="499" spans="1:34" x14ac:dyDescent="0.25">
      <c r="A499" s="35">
        <v>1327</v>
      </c>
      <c r="B499" s="20" t="s">
        <v>1840</v>
      </c>
      <c r="C499" s="20" t="s">
        <v>1840</v>
      </c>
      <c r="D499" s="94" t="s">
        <v>1254</v>
      </c>
      <c r="E499" s="20" t="s">
        <v>2053</v>
      </c>
      <c r="F499" s="20" t="s">
        <v>1845</v>
      </c>
      <c r="G499" s="31" t="s">
        <v>40</v>
      </c>
      <c r="H499" s="32">
        <v>1</v>
      </c>
      <c r="J499" s="32">
        <v>1</v>
      </c>
      <c r="O499" s="20">
        <v>0</v>
      </c>
      <c r="P499" s="20">
        <v>1</v>
      </c>
      <c r="Q499" s="20">
        <v>0</v>
      </c>
      <c r="R499" s="20">
        <v>0</v>
      </c>
      <c r="X499" s="20">
        <v>1</v>
      </c>
      <c r="Z499" s="20" t="s">
        <v>1856</v>
      </c>
      <c r="AA499" s="20" t="s">
        <v>1862</v>
      </c>
      <c r="AB499" s="31">
        <f>VLOOKUP(AA499,Masters!$K$2:$L$183,2,FALSE)</f>
        <v>1004</v>
      </c>
      <c r="AC499" s="20" t="s">
        <v>2063</v>
      </c>
      <c r="AD499" s="20" t="s">
        <v>2060</v>
      </c>
      <c r="AE499" s="20">
        <v>9</v>
      </c>
      <c r="AF499" s="20">
        <v>7</v>
      </c>
      <c r="AG499" s="20">
        <v>2004</v>
      </c>
      <c r="AH499" s="21">
        <v>38177</v>
      </c>
    </row>
    <row r="500" spans="1:34" x14ac:dyDescent="0.25">
      <c r="A500" s="35">
        <v>1342</v>
      </c>
      <c r="B500" s="20" t="s">
        <v>1840</v>
      </c>
      <c r="C500" s="20" t="s">
        <v>1840</v>
      </c>
      <c r="D500" s="94" t="s">
        <v>1269</v>
      </c>
      <c r="E500" s="20" t="s">
        <v>126</v>
      </c>
      <c r="F500" s="20" t="s">
        <v>1844</v>
      </c>
      <c r="G500" s="31" t="s">
        <v>40</v>
      </c>
      <c r="H500" s="32">
        <v>1</v>
      </c>
      <c r="J500" s="32">
        <v>1</v>
      </c>
      <c r="O500" s="20">
        <v>0</v>
      </c>
      <c r="P500" s="20">
        <v>1</v>
      </c>
      <c r="Q500" s="20">
        <v>0</v>
      </c>
      <c r="R500" s="20">
        <v>0</v>
      </c>
      <c r="X500" s="20">
        <v>1</v>
      </c>
      <c r="Z500" s="20" t="s">
        <v>1832</v>
      </c>
      <c r="AA500" s="20" t="s">
        <v>1859</v>
      </c>
      <c r="AB500" s="31">
        <f>VLOOKUP(AA500,Masters!$K$2:$L$183,2,FALSE)</f>
        <v>1001</v>
      </c>
      <c r="AC500" s="20" t="s">
        <v>2063</v>
      </c>
      <c r="AD500" s="20" t="s">
        <v>2060</v>
      </c>
      <c r="AE500" s="20">
        <v>27</v>
      </c>
      <c r="AF500" s="20">
        <v>1</v>
      </c>
      <c r="AG500" s="20">
        <v>2000</v>
      </c>
      <c r="AH500" s="21">
        <v>36552</v>
      </c>
    </row>
    <row r="501" spans="1:34" x14ac:dyDescent="0.25">
      <c r="A501" s="35">
        <v>1349</v>
      </c>
      <c r="B501" s="20" t="s">
        <v>1840</v>
      </c>
      <c r="C501" s="20" t="s">
        <v>1840</v>
      </c>
      <c r="D501" s="94" t="s">
        <v>1276</v>
      </c>
      <c r="E501" s="20" t="s">
        <v>133</v>
      </c>
      <c r="F501" s="20" t="s">
        <v>1846</v>
      </c>
      <c r="G501" s="31" t="s">
        <v>40</v>
      </c>
      <c r="H501" s="32">
        <v>1</v>
      </c>
      <c r="J501" s="32">
        <v>1</v>
      </c>
      <c r="O501" s="20">
        <v>0</v>
      </c>
      <c r="P501" s="20">
        <v>1</v>
      </c>
      <c r="Q501" s="20">
        <v>0</v>
      </c>
      <c r="R501" s="20">
        <v>0</v>
      </c>
      <c r="X501" s="20">
        <v>1</v>
      </c>
      <c r="Z501" s="20" t="s">
        <v>1848</v>
      </c>
      <c r="AA501" s="20" t="s">
        <v>1859</v>
      </c>
      <c r="AB501" s="31">
        <f>VLOOKUP(AA501,Masters!$K$2:$L$183,2,FALSE)</f>
        <v>1001</v>
      </c>
      <c r="AC501" s="20" t="s">
        <v>2063</v>
      </c>
      <c r="AD501" s="20" t="s">
        <v>2060</v>
      </c>
      <c r="AE501" s="20">
        <v>10</v>
      </c>
      <c r="AF501" s="20">
        <v>11</v>
      </c>
      <c r="AG501" s="20">
        <v>2005</v>
      </c>
      <c r="AH501" s="21">
        <v>38666</v>
      </c>
    </row>
    <row r="502" spans="1:34" x14ac:dyDescent="0.25">
      <c r="A502" s="35">
        <v>1350</v>
      </c>
      <c r="B502" s="20" t="s">
        <v>1840</v>
      </c>
      <c r="C502" s="20" t="s">
        <v>1840</v>
      </c>
      <c r="D502" s="94" t="s">
        <v>1277</v>
      </c>
      <c r="E502" s="20" t="s">
        <v>2053</v>
      </c>
      <c r="F502" s="20" t="s">
        <v>1845</v>
      </c>
      <c r="G502" s="31" t="s">
        <v>40</v>
      </c>
      <c r="H502" s="32">
        <v>1</v>
      </c>
      <c r="J502" s="32">
        <v>1</v>
      </c>
      <c r="O502" s="20">
        <v>0</v>
      </c>
      <c r="P502" s="20">
        <v>1</v>
      </c>
      <c r="Q502" s="20">
        <v>0</v>
      </c>
      <c r="R502" s="20">
        <v>0</v>
      </c>
      <c r="X502" s="20">
        <v>1</v>
      </c>
      <c r="Z502" s="20" t="s">
        <v>1856</v>
      </c>
      <c r="AA502" s="20" t="s">
        <v>1859</v>
      </c>
      <c r="AB502" s="31">
        <f>VLOOKUP(AA502,Masters!$K$2:$L$183,2,FALSE)</f>
        <v>1001</v>
      </c>
      <c r="AC502" s="20" t="s">
        <v>2063</v>
      </c>
      <c r="AD502" s="20" t="s">
        <v>2060</v>
      </c>
      <c r="AE502" s="20">
        <v>11</v>
      </c>
      <c r="AF502" s="20">
        <v>4</v>
      </c>
      <c r="AG502" s="20">
        <v>2002</v>
      </c>
      <c r="AH502" s="21">
        <v>37357</v>
      </c>
    </row>
    <row r="503" spans="1:34" x14ac:dyDescent="0.25">
      <c r="A503" s="35">
        <v>1351</v>
      </c>
      <c r="B503" s="20" t="s">
        <v>1840</v>
      </c>
      <c r="C503" s="20" t="s">
        <v>1840</v>
      </c>
      <c r="D503" s="94" t="s">
        <v>1278</v>
      </c>
      <c r="E503" s="20" t="s">
        <v>2051</v>
      </c>
      <c r="F503" s="20" t="s">
        <v>1847</v>
      </c>
      <c r="G503" s="31" t="s">
        <v>40</v>
      </c>
      <c r="H503" s="32">
        <v>1</v>
      </c>
      <c r="J503" s="32">
        <v>1</v>
      </c>
      <c r="O503" s="20">
        <v>0</v>
      </c>
      <c r="P503" s="20">
        <v>1</v>
      </c>
      <c r="Q503" s="20">
        <v>0</v>
      </c>
      <c r="R503" s="20">
        <v>0</v>
      </c>
      <c r="X503" s="20">
        <v>1</v>
      </c>
      <c r="Z503" s="20" t="s">
        <v>1853</v>
      </c>
      <c r="AA503" s="20" t="s">
        <v>1859</v>
      </c>
      <c r="AB503" s="31">
        <f>VLOOKUP(AA503,Masters!$K$2:$L$183,2,FALSE)</f>
        <v>1001</v>
      </c>
      <c r="AC503" s="20" t="s">
        <v>2063</v>
      </c>
      <c r="AD503" s="20" t="s">
        <v>2060</v>
      </c>
      <c r="AE503" s="20">
        <v>8</v>
      </c>
      <c r="AF503" s="20">
        <v>1</v>
      </c>
      <c r="AG503" s="20">
        <v>2004</v>
      </c>
      <c r="AH503" s="21">
        <v>37994</v>
      </c>
    </row>
    <row r="504" spans="1:34" x14ac:dyDescent="0.25">
      <c r="A504" s="35">
        <v>1355</v>
      </c>
      <c r="B504" s="20" t="s">
        <v>1840</v>
      </c>
      <c r="C504" s="20" t="s">
        <v>1840</v>
      </c>
      <c r="D504" s="94" t="s">
        <v>1282</v>
      </c>
      <c r="E504" s="20" t="s">
        <v>2056</v>
      </c>
      <c r="F504" s="20" t="s">
        <v>1843</v>
      </c>
      <c r="G504" s="31" t="s">
        <v>40</v>
      </c>
      <c r="H504" s="32">
        <v>1</v>
      </c>
      <c r="J504" s="32">
        <v>1</v>
      </c>
      <c r="O504" s="20">
        <v>0</v>
      </c>
      <c r="P504" s="20">
        <v>1</v>
      </c>
      <c r="Q504" s="20">
        <v>0</v>
      </c>
      <c r="R504" s="20">
        <v>0</v>
      </c>
      <c r="X504" s="20">
        <v>1</v>
      </c>
      <c r="Z504" s="20" t="s">
        <v>58</v>
      </c>
      <c r="AA504" s="20" t="s">
        <v>1859</v>
      </c>
      <c r="AB504" s="31">
        <f>VLOOKUP(AA504,Masters!$K$2:$L$183,2,FALSE)</f>
        <v>1001</v>
      </c>
      <c r="AC504" s="20" t="s">
        <v>2063</v>
      </c>
      <c r="AD504" s="20" t="s">
        <v>2060</v>
      </c>
      <c r="AE504" s="20">
        <v>16</v>
      </c>
      <c r="AF504" s="20">
        <v>12</v>
      </c>
      <c r="AG504" s="20">
        <v>2005</v>
      </c>
      <c r="AH504" s="21">
        <v>38702</v>
      </c>
    </row>
    <row r="505" spans="1:34" x14ac:dyDescent="0.25">
      <c r="A505" s="35">
        <v>1363</v>
      </c>
      <c r="B505" s="20" t="s">
        <v>1840</v>
      </c>
      <c r="C505" s="20" t="s">
        <v>1840</v>
      </c>
      <c r="D505" s="94" t="s">
        <v>1290</v>
      </c>
      <c r="E505" s="20" t="s">
        <v>2052</v>
      </c>
      <c r="F505" s="20" t="s">
        <v>1844</v>
      </c>
      <c r="G505" s="31" t="s">
        <v>40</v>
      </c>
      <c r="H505" s="32">
        <v>1</v>
      </c>
      <c r="J505" s="32">
        <v>1</v>
      </c>
      <c r="O505" s="20">
        <v>0</v>
      </c>
      <c r="P505" s="20">
        <v>1</v>
      </c>
      <c r="Q505" s="20">
        <v>0</v>
      </c>
      <c r="R505" s="20">
        <v>0</v>
      </c>
      <c r="X505" s="20">
        <v>1</v>
      </c>
      <c r="Z505" s="20" t="s">
        <v>1856</v>
      </c>
      <c r="AA505" s="20" t="s">
        <v>1863</v>
      </c>
      <c r="AB505" s="31">
        <f>VLOOKUP(AA505,Masters!$K$2:$L$183,2,FALSE)</f>
        <v>1005</v>
      </c>
      <c r="AC505" s="20" t="s">
        <v>2063</v>
      </c>
      <c r="AD505" s="20" t="s">
        <v>2060</v>
      </c>
      <c r="AE505" s="20">
        <v>24</v>
      </c>
      <c r="AF505" s="20">
        <v>7</v>
      </c>
      <c r="AG505" s="20">
        <v>2005</v>
      </c>
      <c r="AH505" s="21">
        <v>38557</v>
      </c>
    </row>
    <row r="506" spans="1:34" x14ac:dyDescent="0.25">
      <c r="A506" s="35">
        <v>1375</v>
      </c>
      <c r="B506" s="20" t="s">
        <v>1840</v>
      </c>
      <c r="C506" s="20" t="s">
        <v>1840</v>
      </c>
      <c r="D506" s="94" t="s">
        <v>1302</v>
      </c>
      <c r="E506" s="20" t="s">
        <v>135</v>
      </c>
      <c r="F506" s="20" t="s">
        <v>1844</v>
      </c>
      <c r="G506" s="31" t="s">
        <v>40</v>
      </c>
      <c r="H506" s="32">
        <v>1</v>
      </c>
      <c r="J506" s="32">
        <v>1</v>
      </c>
      <c r="O506" s="20">
        <v>0</v>
      </c>
      <c r="P506" s="20">
        <v>1</v>
      </c>
      <c r="Q506" s="20">
        <v>0</v>
      </c>
      <c r="R506" s="20">
        <v>0</v>
      </c>
      <c r="X506" s="20">
        <v>1</v>
      </c>
      <c r="Z506" s="20" t="s">
        <v>1835</v>
      </c>
      <c r="AA506" s="20" t="s">
        <v>1862</v>
      </c>
      <c r="AB506" s="31">
        <f>VLOOKUP(AA506,Masters!$K$2:$L$183,2,FALSE)</f>
        <v>1004</v>
      </c>
      <c r="AC506" s="20" t="s">
        <v>2063</v>
      </c>
      <c r="AD506" s="20" t="s">
        <v>2060</v>
      </c>
      <c r="AE506" s="20">
        <v>8</v>
      </c>
      <c r="AF506" s="20">
        <v>7</v>
      </c>
      <c r="AG506" s="20">
        <v>2005</v>
      </c>
      <c r="AH506" s="21">
        <v>38541</v>
      </c>
    </row>
    <row r="507" spans="1:34" x14ac:dyDescent="0.25">
      <c r="A507" s="35">
        <v>1403</v>
      </c>
      <c r="B507" s="20" t="s">
        <v>1840</v>
      </c>
      <c r="C507" s="20" t="s">
        <v>1840</v>
      </c>
      <c r="D507" s="94" t="s">
        <v>1330</v>
      </c>
      <c r="E507" s="20" t="s">
        <v>2058</v>
      </c>
      <c r="F507" s="20" t="s">
        <v>1844</v>
      </c>
      <c r="G507" s="31" t="s">
        <v>40</v>
      </c>
      <c r="H507" s="32">
        <v>1</v>
      </c>
      <c r="J507" s="32">
        <v>1</v>
      </c>
      <c r="O507" s="20">
        <v>0</v>
      </c>
      <c r="P507" s="20">
        <v>1</v>
      </c>
      <c r="Q507" s="20">
        <v>0</v>
      </c>
      <c r="R507" s="20">
        <v>0</v>
      </c>
      <c r="X507" s="20">
        <v>1</v>
      </c>
      <c r="Z507" s="20" t="s">
        <v>1854</v>
      </c>
      <c r="AA507" s="20" t="s">
        <v>1862</v>
      </c>
      <c r="AB507" s="31">
        <f>VLOOKUP(AA507,Masters!$K$2:$L$183,2,FALSE)</f>
        <v>1004</v>
      </c>
      <c r="AC507" s="20" t="s">
        <v>2063</v>
      </c>
      <c r="AD507" s="20" t="s">
        <v>2061</v>
      </c>
      <c r="AE507" s="20">
        <v>19</v>
      </c>
      <c r="AF507" s="20">
        <v>11</v>
      </c>
      <c r="AG507" s="20">
        <v>2000</v>
      </c>
      <c r="AH507" s="21">
        <v>36849</v>
      </c>
    </row>
    <row r="508" spans="1:34" x14ac:dyDescent="0.25">
      <c r="A508" s="35">
        <v>1405</v>
      </c>
      <c r="B508" s="20" t="s">
        <v>1840</v>
      </c>
      <c r="C508" s="20" t="s">
        <v>1840</v>
      </c>
      <c r="D508" s="94" t="s">
        <v>1332</v>
      </c>
      <c r="E508" s="20" t="s">
        <v>2056</v>
      </c>
      <c r="F508" s="20" t="s">
        <v>1846</v>
      </c>
      <c r="G508" s="31" t="s">
        <v>40</v>
      </c>
      <c r="H508" s="32">
        <v>1</v>
      </c>
      <c r="J508" s="32">
        <v>1</v>
      </c>
      <c r="O508" s="20">
        <v>0</v>
      </c>
      <c r="P508" s="20">
        <v>1</v>
      </c>
      <c r="Q508" s="20">
        <v>0</v>
      </c>
      <c r="R508" s="20">
        <v>0</v>
      </c>
      <c r="X508" s="20">
        <v>1</v>
      </c>
      <c r="Z508" s="20" t="s">
        <v>1854</v>
      </c>
      <c r="AA508" s="20" t="s">
        <v>1862</v>
      </c>
      <c r="AB508" s="31">
        <f>VLOOKUP(AA508,Masters!$K$2:$L$183,2,FALSE)</f>
        <v>1004</v>
      </c>
      <c r="AC508" s="20" t="s">
        <v>2063</v>
      </c>
      <c r="AD508" s="20" t="s">
        <v>2060</v>
      </c>
      <c r="AE508" s="20">
        <v>6</v>
      </c>
      <c r="AF508" s="20">
        <v>10</v>
      </c>
      <c r="AG508" s="20">
        <v>2003</v>
      </c>
      <c r="AH508" s="21">
        <v>37900</v>
      </c>
    </row>
    <row r="509" spans="1:34" x14ac:dyDescent="0.25">
      <c r="A509" s="35">
        <v>1411</v>
      </c>
      <c r="B509" s="20" t="s">
        <v>1840</v>
      </c>
      <c r="C509" s="20" t="s">
        <v>1840</v>
      </c>
      <c r="D509" s="94" t="s">
        <v>1338</v>
      </c>
      <c r="E509" s="20" t="s">
        <v>2053</v>
      </c>
      <c r="F509" s="20" t="s">
        <v>1847</v>
      </c>
      <c r="G509" s="31" t="s">
        <v>40</v>
      </c>
      <c r="H509" s="32">
        <v>1</v>
      </c>
      <c r="J509" s="32">
        <v>1</v>
      </c>
      <c r="O509" s="20">
        <v>0</v>
      </c>
      <c r="P509" s="20">
        <v>1</v>
      </c>
      <c r="Q509" s="20">
        <v>0</v>
      </c>
      <c r="R509" s="20">
        <v>0</v>
      </c>
      <c r="X509" s="20">
        <v>1</v>
      </c>
      <c r="Z509" s="20" t="s">
        <v>1857</v>
      </c>
      <c r="AA509" s="20" t="s">
        <v>1860</v>
      </c>
      <c r="AB509" s="31">
        <f>VLOOKUP(AA509,Masters!$K$2:$L$183,2,FALSE)</f>
        <v>1002</v>
      </c>
      <c r="AC509" s="20" t="s">
        <v>2064</v>
      </c>
      <c r="AD509" s="20" t="s">
        <v>2061</v>
      </c>
      <c r="AE509" s="20">
        <v>15</v>
      </c>
      <c r="AF509" s="20">
        <v>11</v>
      </c>
      <c r="AG509" s="20">
        <v>2001</v>
      </c>
      <c r="AH509" s="21">
        <v>37210</v>
      </c>
    </row>
    <row r="510" spans="1:34" x14ac:dyDescent="0.25">
      <c r="A510" s="35">
        <v>1414</v>
      </c>
      <c r="B510" s="20" t="s">
        <v>1840</v>
      </c>
      <c r="C510" s="20" t="s">
        <v>1840</v>
      </c>
      <c r="D510" s="94" t="s">
        <v>1341</v>
      </c>
      <c r="E510" s="20" t="s">
        <v>2055</v>
      </c>
      <c r="F510" s="20" t="s">
        <v>1844</v>
      </c>
      <c r="G510" s="31" t="s">
        <v>40</v>
      </c>
      <c r="H510" s="32">
        <v>1</v>
      </c>
      <c r="J510" s="32">
        <v>1</v>
      </c>
      <c r="O510" s="20">
        <v>0</v>
      </c>
      <c r="P510" s="20">
        <v>1</v>
      </c>
      <c r="Q510" s="20">
        <v>0</v>
      </c>
      <c r="R510" s="20">
        <v>0</v>
      </c>
      <c r="X510" s="20">
        <v>1</v>
      </c>
      <c r="Z510" s="20" t="s">
        <v>1852</v>
      </c>
      <c r="AA510" s="20" t="s">
        <v>1863</v>
      </c>
      <c r="AB510" s="31">
        <f>VLOOKUP(AA510,Masters!$K$2:$L$183,2,FALSE)</f>
        <v>1005</v>
      </c>
      <c r="AC510" s="20" t="s">
        <v>2064</v>
      </c>
      <c r="AD510" s="20" t="s">
        <v>2061</v>
      </c>
      <c r="AE510" s="20">
        <v>26</v>
      </c>
      <c r="AF510" s="20">
        <v>10</v>
      </c>
      <c r="AG510" s="20">
        <v>2003</v>
      </c>
      <c r="AH510" s="21">
        <v>37920</v>
      </c>
    </row>
    <row r="511" spans="1:34" x14ac:dyDescent="0.25">
      <c r="A511" s="35">
        <v>1415</v>
      </c>
      <c r="B511" s="20" t="s">
        <v>1840</v>
      </c>
      <c r="C511" s="20" t="s">
        <v>1840</v>
      </c>
      <c r="D511" s="94" t="s">
        <v>1342</v>
      </c>
      <c r="E511" s="20" t="s">
        <v>2050</v>
      </c>
      <c r="F511" s="20" t="s">
        <v>1843</v>
      </c>
      <c r="G511" s="31" t="s">
        <v>40</v>
      </c>
      <c r="H511" s="32">
        <v>1</v>
      </c>
      <c r="J511" s="32">
        <v>1</v>
      </c>
      <c r="O511" s="20">
        <v>0</v>
      </c>
      <c r="P511" s="20">
        <v>1</v>
      </c>
      <c r="Q511" s="20">
        <v>0</v>
      </c>
      <c r="R511" s="20">
        <v>0</v>
      </c>
      <c r="X511" s="20">
        <v>1</v>
      </c>
      <c r="Z511" s="20" t="s">
        <v>201</v>
      </c>
      <c r="AA511" s="20" t="s">
        <v>1861</v>
      </c>
      <c r="AB511" s="31">
        <f>VLOOKUP(AA511,Masters!$K$2:$L$183,2,FALSE)</f>
        <v>1003</v>
      </c>
      <c r="AC511" s="20" t="s">
        <v>2063</v>
      </c>
      <c r="AD511" s="20" t="s">
        <v>2060</v>
      </c>
      <c r="AE511" s="20">
        <v>26</v>
      </c>
      <c r="AF511" s="20">
        <v>7</v>
      </c>
      <c r="AG511" s="20">
        <v>2001</v>
      </c>
      <c r="AH511" s="21">
        <v>37098</v>
      </c>
    </row>
    <row r="512" spans="1:34" x14ac:dyDescent="0.25">
      <c r="A512" s="35">
        <v>1422</v>
      </c>
      <c r="B512" s="20" t="s">
        <v>1840</v>
      </c>
      <c r="C512" s="20" t="s">
        <v>1840</v>
      </c>
      <c r="D512" s="94" t="s">
        <v>1349</v>
      </c>
      <c r="E512" s="20" t="s">
        <v>126</v>
      </c>
      <c r="F512" s="20" t="s">
        <v>1846</v>
      </c>
      <c r="G512" s="31" t="s">
        <v>40</v>
      </c>
      <c r="H512" s="32">
        <v>1</v>
      </c>
      <c r="J512" s="32">
        <v>1</v>
      </c>
      <c r="O512" s="20">
        <v>0</v>
      </c>
      <c r="P512" s="20">
        <v>1</v>
      </c>
      <c r="Q512" s="20">
        <v>0</v>
      </c>
      <c r="R512" s="20">
        <v>0</v>
      </c>
      <c r="X512" s="20">
        <v>1</v>
      </c>
      <c r="Z512" s="20" t="s">
        <v>1858</v>
      </c>
      <c r="AA512" s="20" t="s">
        <v>1861</v>
      </c>
      <c r="AB512" s="31">
        <f>VLOOKUP(AA512,Masters!$K$2:$L$183,2,FALSE)</f>
        <v>1003</v>
      </c>
      <c r="AC512" s="20" t="s">
        <v>2063</v>
      </c>
      <c r="AD512" s="20" t="s">
        <v>2060</v>
      </c>
      <c r="AE512" s="20">
        <v>12</v>
      </c>
      <c r="AF512" s="20">
        <v>11</v>
      </c>
      <c r="AG512" s="20">
        <v>2002</v>
      </c>
      <c r="AH512" s="21">
        <v>37572</v>
      </c>
    </row>
    <row r="513" spans="1:34" x14ac:dyDescent="0.25">
      <c r="A513" s="35">
        <v>1423</v>
      </c>
      <c r="B513" s="20" t="s">
        <v>1840</v>
      </c>
      <c r="C513" s="20" t="s">
        <v>1840</v>
      </c>
      <c r="D513" s="94" t="s">
        <v>1350</v>
      </c>
      <c r="E513" s="20" t="s">
        <v>2052</v>
      </c>
      <c r="F513" s="20" t="s">
        <v>1843</v>
      </c>
      <c r="G513" s="31" t="s">
        <v>40</v>
      </c>
      <c r="H513" s="32">
        <v>1</v>
      </c>
      <c r="J513" s="32">
        <v>1</v>
      </c>
      <c r="O513" s="20">
        <v>0</v>
      </c>
      <c r="P513" s="20">
        <v>1</v>
      </c>
      <c r="Q513" s="20">
        <v>0</v>
      </c>
      <c r="R513" s="20">
        <v>0</v>
      </c>
      <c r="X513" s="20">
        <v>1</v>
      </c>
      <c r="Z513" s="20" t="s">
        <v>1854</v>
      </c>
      <c r="AA513" s="20" t="s">
        <v>1863</v>
      </c>
      <c r="AB513" s="31">
        <f>VLOOKUP(AA513,Masters!$K$2:$L$183,2,FALSE)</f>
        <v>1005</v>
      </c>
      <c r="AC513" s="20" t="s">
        <v>2063</v>
      </c>
      <c r="AD513" s="20" t="s">
        <v>2060</v>
      </c>
      <c r="AE513" s="20">
        <v>8</v>
      </c>
      <c r="AF513" s="20">
        <v>7</v>
      </c>
      <c r="AG513" s="20">
        <v>2005</v>
      </c>
      <c r="AH513" s="21">
        <v>38541</v>
      </c>
    </row>
    <row r="514" spans="1:34" x14ac:dyDescent="0.25">
      <c r="A514" s="35">
        <v>1424</v>
      </c>
      <c r="B514" s="20" t="s">
        <v>1840</v>
      </c>
      <c r="C514" s="20" t="s">
        <v>1840</v>
      </c>
      <c r="D514" s="94" t="s">
        <v>1351</v>
      </c>
      <c r="E514" s="20" t="s">
        <v>2054</v>
      </c>
      <c r="F514" s="20" t="s">
        <v>1845</v>
      </c>
      <c r="G514" s="31" t="s">
        <v>40</v>
      </c>
      <c r="H514" s="32">
        <v>1</v>
      </c>
      <c r="J514" s="32">
        <v>1</v>
      </c>
      <c r="O514" s="20">
        <v>0</v>
      </c>
      <c r="P514" s="20">
        <v>1</v>
      </c>
      <c r="Q514" s="20">
        <v>0</v>
      </c>
      <c r="R514" s="20">
        <v>0</v>
      </c>
      <c r="X514" s="20">
        <v>1</v>
      </c>
      <c r="Z514" s="20" t="s">
        <v>1848</v>
      </c>
      <c r="AA514" s="20" t="s">
        <v>1862</v>
      </c>
      <c r="AB514" s="31">
        <f>VLOOKUP(AA514,Masters!$K$2:$L$183,2,FALSE)</f>
        <v>1004</v>
      </c>
      <c r="AC514" s="20" t="s">
        <v>2064</v>
      </c>
      <c r="AD514" s="20" t="s">
        <v>2061</v>
      </c>
      <c r="AE514" s="20">
        <v>13</v>
      </c>
      <c r="AF514" s="20">
        <v>6</v>
      </c>
      <c r="AG514" s="20">
        <v>2004</v>
      </c>
      <c r="AH514" s="21">
        <v>38151</v>
      </c>
    </row>
    <row r="515" spans="1:34" x14ac:dyDescent="0.25">
      <c r="A515" s="35">
        <v>1428</v>
      </c>
      <c r="B515" s="20" t="s">
        <v>1840</v>
      </c>
      <c r="C515" s="20" t="s">
        <v>1840</v>
      </c>
      <c r="D515" s="94" t="s">
        <v>1355</v>
      </c>
      <c r="E515" s="20" t="s">
        <v>133</v>
      </c>
      <c r="F515" s="20" t="s">
        <v>1847</v>
      </c>
      <c r="G515" s="31" t="s">
        <v>40</v>
      </c>
      <c r="H515" s="32">
        <v>1</v>
      </c>
      <c r="J515" s="32">
        <v>1</v>
      </c>
      <c r="O515" s="20">
        <v>0</v>
      </c>
      <c r="P515" s="20">
        <v>1</v>
      </c>
      <c r="Q515" s="20">
        <v>0</v>
      </c>
      <c r="R515" s="20">
        <v>0</v>
      </c>
      <c r="X515" s="20">
        <v>1</v>
      </c>
      <c r="Z515" s="20" t="s">
        <v>58</v>
      </c>
      <c r="AA515" s="20" t="s">
        <v>1863</v>
      </c>
      <c r="AB515" s="31">
        <f>VLOOKUP(AA515,Masters!$K$2:$L$183,2,FALSE)</f>
        <v>1005</v>
      </c>
      <c r="AC515" s="20" t="s">
        <v>2064</v>
      </c>
      <c r="AD515" s="20" t="s">
        <v>2061</v>
      </c>
      <c r="AE515" s="20">
        <v>13</v>
      </c>
      <c r="AF515" s="20">
        <v>1</v>
      </c>
      <c r="AG515" s="20">
        <v>2005</v>
      </c>
      <c r="AH515" s="21">
        <v>38365</v>
      </c>
    </row>
    <row r="516" spans="1:34" x14ac:dyDescent="0.25">
      <c r="A516" s="35">
        <v>1437</v>
      </c>
      <c r="B516" s="20" t="s">
        <v>1840</v>
      </c>
      <c r="C516" s="20" t="s">
        <v>1840</v>
      </c>
      <c r="D516" s="94" t="s">
        <v>1364</v>
      </c>
      <c r="E516" s="20" t="s">
        <v>2056</v>
      </c>
      <c r="F516" s="20" t="s">
        <v>1847</v>
      </c>
      <c r="G516" s="31" t="s">
        <v>40</v>
      </c>
      <c r="H516" s="32">
        <v>1</v>
      </c>
      <c r="J516" s="32">
        <v>1</v>
      </c>
      <c r="O516" s="20">
        <v>0</v>
      </c>
      <c r="P516" s="20">
        <v>1</v>
      </c>
      <c r="Q516" s="20">
        <v>0</v>
      </c>
      <c r="R516" s="20">
        <v>0</v>
      </c>
      <c r="X516" s="20">
        <v>1</v>
      </c>
      <c r="Z516" s="20" t="s">
        <v>1853</v>
      </c>
      <c r="AA516" s="20" t="s">
        <v>1859</v>
      </c>
      <c r="AB516" s="31">
        <f>VLOOKUP(AA516,Masters!$K$2:$L$183,2,FALSE)</f>
        <v>1001</v>
      </c>
      <c r="AC516" s="20" t="s">
        <v>2064</v>
      </c>
      <c r="AD516" s="20" t="s">
        <v>2061</v>
      </c>
      <c r="AE516" s="20">
        <v>9</v>
      </c>
      <c r="AF516" s="20">
        <v>7</v>
      </c>
      <c r="AG516" s="20">
        <v>2000</v>
      </c>
      <c r="AH516" s="21">
        <v>36716</v>
      </c>
    </row>
    <row r="517" spans="1:34" x14ac:dyDescent="0.25">
      <c r="A517" s="35">
        <v>1453</v>
      </c>
      <c r="B517" s="20" t="s">
        <v>1840</v>
      </c>
      <c r="C517" s="20" t="s">
        <v>1840</v>
      </c>
      <c r="D517" s="94" t="s">
        <v>1380</v>
      </c>
      <c r="E517" s="20" t="s">
        <v>126</v>
      </c>
      <c r="F517" s="20" t="s">
        <v>1844</v>
      </c>
      <c r="G517" s="31" t="s">
        <v>40</v>
      </c>
      <c r="H517" s="32">
        <v>1</v>
      </c>
      <c r="J517" s="32">
        <v>1</v>
      </c>
      <c r="O517" s="20">
        <v>0</v>
      </c>
      <c r="P517" s="20">
        <v>1</v>
      </c>
      <c r="Q517" s="20">
        <v>0</v>
      </c>
      <c r="R517" s="20">
        <v>0</v>
      </c>
      <c r="X517" s="20">
        <v>1</v>
      </c>
      <c r="Z517" s="20" t="s">
        <v>201</v>
      </c>
      <c r="AA517" s="20" t="s">
        <v>1861</v>
      </c>
      <c r="AB517" s="31">
        <f>VLOOKUP(AA517,Masters!$K$2:$L$183,2,FALSE)</f>
        <v>1003</v>
      </c>
      <c r="AC517" s="20" t="s">
        <v>2063</v>
      </c>
      <c r="AD517" s="20" t="s">
        <v>2060</v>
      </c>
      <c r="AE517" s="20">
        <v>18</v>
      </c>
      <c r="AF517" s="20">
        <v>2</v>
      </c>
      <c r="AG517" s="20">
        <v>2005</v>
      </c>
      <c r="AH517" s="21">
        <v>38401</v>
      </c>
    </row>
    <row r="518" spans="1:34" x14ac:dyDescent="0.25">
      <c r="A518" s="35">
        <v>1474</v>
      </c>
      <c r="B518" s="20" t="s">
        <v>1840</v>
      </c>
      <c r="C518" s="20" t="s">
        <v>1840</v>
      </c>
      <c r="D518" s="94" t="s">
        <v>1401</v>
      </c>
      <c r="E518" s="20" t="s">
        <v>2057</v>
      </c>
      <c r="F518" s="20" t="s">
        <v>1843</v>
      </c>
      <c r="G518" s="31" t="s">
        <v>40</v>
      </c>
      <c r="H518" s="32">
        <v>1</v>
      </c>
      <c r="J518" s="32">
        <v>1</v>
      </c>
      <c r="O518" s="20">
        <v>0</v>
      </c>
      <c r="P518" s="20">
        <v>1</v>
      </c>
      <c r="Q518" s="20">
        <v>0</v>
      </c>
      <c r="R518" s="20">
        <v>0</v>
      </c>
      <c r="X518" s="20">
        <v>1</v>
      </c>
      <c r="Z518" s="20" t="s">
        <v>753</v>
      </c>
      <c r="AA518" s="20" t="s">
        <v>1860</v>
      </c>
      <c r="AB518" s="31">
        <f>VLOOKUP(AA518,Masters!$K$2:$L$183,2,FALSE)</f>
        <v>1002</v>
      </c>
      <c r="AC518" s="20" t="s">
        <v>2063</v>
      </c>
      <c r="AD518" s="20" t="s">
        <v>2060</v>
      </c>
      <c r="AE518" s="20">
        <v>11</v>
      </c>
      <c r="AF518" s="20">
        <v>8</v>
      </c>
      <c r="AG518" s="20">
        <v>2004</v>
      </c>
      <c r="AH518" s="21">
        <v>38210</v>
      </c>
    </row>
    <row r="519" spans="1:34" x14ac:dyDescent="0.25">
      <c r="A519" s="35">
        <v>1482</v>
      </c>
      <c r="B519" s="20" t="s">
        <v>1840</v>
      </c>
      <c r="C519" s="20" t="s">
        <v>1840</v>
      </c>
      <c r="D519" s="94" t="s">
        <v>1409</v>
      </c>
      <c r="E519" s="20" t="s">
        <v>2059</v>
      </c>
      <c r="F519" s="20" t="s">
        <v>1843</v>
      </c>
      <c r="G519" s="31" t="s">
        <v>40</v>
      </c>
      <c r="H519" s="32">
        <v>1</v>
      </c>
      <c r="J519" s="32">
        <v>1</v>
      </c>
      <c r="O519" s="20">
        <v>0</v>
      </c>
      <c r="P519" s="20">
        <v>1</v>
      </c>
      <c r="Q519" s="20">
        <v>0</v>
      </c>
      <c r="R519" s="20">
        <v>0</v>
      </c>
      <c r="X519" s="20">
        <v>1</v>
      </c>
      <c r="Z519" s="20" t="s">
        <v>78</v>
      </c>
      <c r="AA519" s="20" t="s">
        <v>1859</v>
      </c>
      <c r="AB519" s="31">
        <f>VLOOKUP(AA519,Masters!$K$2:$L$183,2,FALSE)</f>
        <v>1001</v>
      </c>
      <c r="AC519" s="20" t="s">
        <v>2063</v>
      </c>
      <c r="AD519" s="20" t="s">
        <v>2060</v>
      </c>
      <c r="AE519" s="20">
        <v>8</v>
      </c>
      <c r="AF519" s="20">
        <v>5</v>
      </c>
      <c r="AG519" s="20">
        <v>2002</v>
      </c>
      <c r="AH519" s="21">
        <v>37384</v>
      </c>
    </row>
    <row r="520" spans="1:34" x14ac:dyDescent="0.25">
      <c r="A520" s="35">
        <v>1501</v>
      </c>
      <c r="B520" s="20" t="s">
        <v>1840</v>
      </c>
      <c r="C520" s="20" t="s">
        <v>1840</v>
      </c>
      <c r="D520" s="94" t="s">
        <v>1428</v>
      </c>
      <c r="E520" s="20" t="s">
        <v>2058</v>
      </c>
      <c r="F520" s="20" t="s">
        <v>1843</v>
      </c>
      <c r="G520" s="31" t="s">
        <v>40</v>
      </c>
      <c r="H520" s="32">
        <v>1</v>
      </c>
      <c r="J520" s="32">
        <v>1</v>
      </c>
      <c r="O520" s="20">
        <v>0</v>
      </c>
      <c r="P520" s="20">
        <v>1</v>
      </c>
      <c r="Q520" s="20">
        <v>0</v>
      </c>
      <c r="R520" s="20">
        <v>0</v>
      </c>
      <c r="X520" s="20">
        <v>1</v>
      </c>
      <c r="Z520" s="20" t="s">
        <v>1832</v>
      </c>
      <c r="AA520" s="20" t="s">
        <v>1863</v>
      </c>
      <c r="AB520" s="31">
        <f>VLOOKUP(AA520,Masters!$K$2:$L$183,2,FALSE)</f>
        <v>1005</v>
      </c>
      <c r="AC520" s="20" t="s">
        <v>2063</v>
      </c>
      <c r="AD520" s="20" t="s">
        <v>2060</v>
      </c>
      <c r="AE520" s="20">
        <v>28</v>
      </c>
      <c r="AF520" s="20">
        <v>8</v>
      </c>
      <c r="AG520" s="20">
        <v>2000</v>
      </c>
      <c r="AH520" s="21">
        <v>36766</v>
      </c>
    </row>
    <row r="521" spans="1:34" x14ac:dyDescent="0.25">
      <c r="A521" s="35">
        <v>1517</v>
      </c>
      <c r="B521" s="20" t="s">
        <v>1840</v>
      </c>
      <c r="C521" s="20" t="s">
        <v>1840</v>
      </c>
      <c r="D521" s="94" t="s">
        <v>1444</v>
      </c>
      <c r="E521" s="20" t="s">
        <v>2050</v>
      </c>
      <c r="F521" s="20" t="s">
        <v>1846</v>
      </c>
      <c r="G521" s="31" t="s">
        <v>40</v>
      </c>
      <c r="H521" s="32">
        <v>1</v>
      </c>
      <c r="J521" s="32">
        <v>1</v>
      </c>
      <c r="O521" s="20">
        <v>0</v>
      </c>
      <c r="P521" s="20">
        <v>1</v>
      </c>
      <c r="Q521" s="20">
        <v>0</v>
      </c>
      <c r="R521" s="20">
        <v>0</v>
      </c>
      <c r="X521" s="20">
        <v>1</v>
      </c>
      <c r="Z521" s="20" t="s">
        <v>1856</v>
      </c>
      <c r="AA521" s="20" t="s">
        <v>1861</v>
      </c>
      <c r="AB521" s="31">
        <f>VLOOKUP(AA521,Masters!$K$2:$L$183,2,FALSE)</f>
        <v>1003</v>
      </c>
      <c r="AC521" s="20" t="s">
        <v>2063</v>
      </c>
      <c r="AD521" s="20" t="s">
        <v>2060</v>
      </c>
      <c r="AE521" s="20">
        <v>4</v>
      </c>
      <c r="AF521" s="20">
        <v>5</v>
      </c>
      <c r="AG521" s="20">
        <v>2005</v>
      </c>
      <c r="AH521" s="21">
        <v>38476</v>
      </c>
    </row>
    <row r="522" spans="1:34" x14ac:dyDescent="0.25">
      <c r="A522" s="35">
        <v>1518</v>
      </c>
      <c r="B522" s="20" t="s">
        <v>1840</v>
      </c>
      <c r="C522" s="20" t="s">
        <v>1840</v>
      </c>
      <c r="D522" s="94" t="s">
        <v>1445</v>
      </c>
      <c r="E522" s="20" t="s">
        <v>2050</v>
      </c>
      <c r="F522" s="20" t="s">
        <v>1843</v>
      </c>
      <c r="G522" s="31" t="s">
        <v>40</v>
      </c>
      <c r="H522" s="32">
        <v>1</v>
      </c>
      <c r="J522" s="32">
        <v>1</v>
      </c>
      <c r="O522" s="20">
        <v>0</v>
      </c>
      <c r="P522" s="20">
        <v>1</v>
      </c>
      <c r="Q522" s="20">
        <v>0</v>
      </c>
      <c r="R522" s="20">
        <v>0</v>
      </c>
      <c r="X522" s="20">
        <v>1</v>
      </c>
      <c r="Z522" s="20" t="s">
        <v>1857</v>
      </c>
      <c r="AA522" s="20" t="s">
        <v>1863</v>
      </c>
      <c r="AB522" s="31">
        <f>VLOOKUP(AA522,Masters!$K$2:$L$183,2,FALSE)</f>
        <v>1005</v>
      </c>
      <c r="AC522" s="20" t="s">
        <v>2063</v>
      </c>
      <c r="AD522" s="20" t="s">
        <v>2060</v>
      </c>
      <c r="AE522" s="20">
        <v>9</v>
      </c>
      <c r="AF522" s="20">
        <v>12</v>
      </c>
      <c r="AG522" s="20">
        <v>2003</v>
      </c>
      <c r="AH522" s="21">
        <v>37964</v>
      </c>
    </row>
    <row r="523" spans="1:34" x14ac:dyDescent="0.25">
      <c r="A523" s="35">
        <v>1556</v>
      </c>
      <c r="B523" s="20" t="s">
        <v>1840</v>
      </c>
      <c r="C523" s="20" t="s">
        <v>1840</v>
      </c>
      <c r="D523" s="94" t="s">
        <v>1483</v>
      </c>
      <c r="E523" s="20" t="s">
        <v>2056</v>
      </c>
      <c r="F523" s="20" t="s">
        <v>1843</v>
      </c>
      <c r="G523" s="31" t="s">
        <v>40</v>
      </c>
      <c r="H523" s="32">
        <v>1</v>
      </c>
      <c r="J523" s="32">
        <v>1</v>
      </c>
      <c r="O523" s="20">
        <v>0</v>
      </c>
      <c r="P523" s="20">
        <v>1</v>
      </c>
      <c r="Q523" s="20">
        <v>0</v>
      </c>
      <c r="R523" s="20">
        <v>0</v>
      </c>
      <c r="X523" s="20">
        <v>1</v>
      </c>
      <c r="Z523" s="20" t="s">
        <v>1854</v>
      </c>
      <c r="AA523" s="20" t="s">
        <v>1860</v>
      </c>
      <c r="AB523" s="31">
        <f>VLOOKUP(AA523,Masters!$K$2:$L$183,2,FALSE)</f>
        <v>1002</v>
      </c>
      <c r="AC523" s="20" t="s">
        <v>2063</v>
      </c>
      <c r="AD523" s="20" t="s">
        <v>2060</v>
      </c>
      <c r="AE523" s="20">
        <v>28</v>
      </c>
      <c r="AF523" s="20">
        <v>9</v>
      </c>
      <c r="AG523" s="20">
        <v>2000</v>
      </c>
      <c r="AH523" s="21">
        <v>36797</v>
      </c>
    </row>
    <row r="524" spans="1:34" x14ac:dyDescent="0.25">
      <c r="A524" s="35">
        <v>1560</v>
      </c>
      <c r="B524" s="20" t="s">
        <v>1840</v>
      </c>
      <c r="C524" s="20" t="s">
        <v>1840</v>
      </c>
      <c r="D524" s="94" t="s">
        <v>1487</v>
      </c>
      <c r="E524" s="20" t="s">
        <v>2059</v>
      </c>
      <c r="F524" s="20" t="s">
        <v>1845</v>
      </c>
      <c r="G524" s="31" t="s">
        <v>40</v>
      </c>
      <c r="H524" s="32">
        <v>1</v>
      </c>
      <c r="J524" s="32">
        <v>1</v>
      </c>
      <c r="O524" s="20">
        <v>0</v>
      </c>
      <c r="P524" s="20">
        <v>1</v>
      </c>
      <c r="Q524" s="20">
        <v>0</v>
      </c>
      <c r="R524" s="20">
        <v>0</v>
      </c>
      <c r="X524" s="20">
        <v>1</v>
      </c>
      <c r="Z524" s="20" t="s">
        <v>1854</v>
      </c>
      <c r="AA524" s="20" t="s">
        <v>1859</v>
      </c>
      <c r="AB524" s="31">
        <f>VLOOKUP(AA524,Masters!$K$2:$L$183,2,FALSE)</f>
        <v>1001</v>
      </c>
      <c r="AC524" s="20" t="s">
        <v>2063</v>
      </c>
      <c r="AD524" s="20" t="s">
        <v>2060</v>
      </c>
      <c r="AE524" s="20">
        <v>20</v>
      </c>
      <c r="AF524" s="20">
        <v>4</v>
      </c>
      <c r="AG524" s="20">
        <v>2000</v>
      </c>
      <c r="AH524" s="21">
        <v>36636</v>
      </c>
    </row>
    <row r="525" spans="1:34" x14ac:dyDescent="0.25">
      <c r="A525" s="35">
        <v>1561</v>
      </c>
      <c r="B525" s="20" t="s">
        <v>1840</v>
      </c>
      <c r="C525" s="20" t="s">
        <v>1840</v>
      </c>
      <c r="D525" s="94" t="s">
        <v>1488</v>
      </c>
      <c r="E525" s="20" t="s">
        <v>2051</v>
      </c>
      <c r="F525" s="20" t="s">
        <v>1847</v>
      </c>
      <c r="G525" s="31" t="s">
        <v>40</v>
      </c>
      <c r="H525" s="32">
        <v>1</v>
      </c>
      <c r="J525" s="32">
        <v>1</v>
      </c>
      <c r="O525" s="20">
        <v>0</v>
      </c>
      <c r="P525" s="20">
        <v>1</v>
      </c>
      <c r="Q525" s="20">
        <v>0</v>
      </c>
      <c r="R525" s="20">
        <v>0</v>
      </c>
      <c r="X525" s="20">
        <v>1</v>
      </c>
      <c r="Z525" s="20" t="s">
        <v>201</v>
      </c>
      <c r="AA525" s="20" t="s">
        <v>1861</v>
      </c>
      <c r="AB525" s="31">
        <f>VLOOKUP(AA525,Masters!$K$2:$L$183,2,FALSE)</f>
        <v>1003</v>
      </c>
      <c r="AC525" s="20" t="s">
        <v>2063</v>
      </c>
      <c r="AD525" s="20" t="s">
        <v>2060</v>
      </c>
      <c r="AE525" s="20">
        <v>17</v>
      </c>
      <c r="AF525" s="20">
        <v>11</v>
      </c>
      <c r="AG525" s="20">
        <v>2001</v>
      </c>
      <c r="AH525" s="21">
        <v>37212</v>
      </c>
    </row>
    <row r="526" spans="1:34" x14ac:dyDescent="0.25">
      <c r="A526" s="35">
        <v>1564</v>
      </c>
      <c r="B526" s="20" t="s">
        <v>1840</v>
      </c>
      <c r="C526" s="20" t="s">
        <v>1840</v>
      </c>
      <c r="D526" s="94" t="s">
        <v>1491</v>
      </c>
      <c r="E526" s="20" t="s">
        <v>135</v>
      </c>
      <c r="F526" s="20" t="s">
        <v>1846</v>
      </c>
      <c r="G526" s="31" t="s">
        <v>40</v>
      </c>
      <c r="H526" s="32">
        <v>1</v>
      </c>
      <c r="J526" s="32">
        <v>1</v>
      </c>
      <c r="O526" s="20">
        <v>0</v>
      </c>
      <c r="P526" s="20">
        <v>1</v>
      </c>
      <c r="Q526" s="20">
        <v>0</v>
      </c>
      <c r="R526" s="20">
        <v>0</v>
      </c>
      <c r="X526" s="20">
        <v>1</v>
      </c>
      <c r="Z526" s="20" t="s">
        <v>753</v>
      </c>
      <c r="AA526" s="20" t="s">
        <v>1860</v>
      </c>
      <c r="AB526" s="31">
        <f>VLOOKUP(AA526,Masters!$K$2:$L$183,2,FALSE)</f>
        <v>1002</v>
      </c>
      <c r="AC526" s="20" t="s">
        <v>2063</v>
      </c>
      <c r="AD526" s="20" t="s">
        <v>2061</v>
      </c>
      <c r="AE526" s="20">
        <v>6</v>
      </c>
      <c r="AF526" s="20">
        <v>5</v>
      </c>
      <c r="AG526" s="20">
        <v>2002</v>
      </c>
      <c r="AH526" s="21">
        <v>37382</v>
      </c>
    </row>
    <row r="527" spans="1:34" x14ac:dyDescent="0.25">
      <c r="A527" s="35">
        <v>1579</v>
      </c>
      <c r="B527" s="20" t="s">
        <v>1840</v>
      </c>
      <c r="C527" s="20" t="s">
        <v>1840</v>
      </c>
      <c r="D527" s="94" t="s">
        <v>1506</v>
      </c>
      <c r="E527" s="20" t="s">
        <v>2059</v>
      </c>
      <c r="F527" s="20" t="s">
        <v>1843</v>
      </c>
      <c r="G527" s="31" t="s">
        <v>40</v>
      </c>
      <c r="H527" s="32">
        <v>1</v>
      </c>
      <c r="J527" s="32">
        <v>1</v>
      </c>
      <c r="O527" s="20">
        <v>0</v>
      </c>
      <c r="P527" s="20">
        <v>1</v>
      </c>
      <c r="Q527" s="20">
        <v>0</v>
      </c>
      <c r="R527" s="20">
        <v>0</v>
      </c>
      <c r="X527" s="20">
        <v>1</v>
      </c>
      <c r="Z527" s="20" t="s">
        <v>1854</v>
      </c>
      <c r="AA527" s="20" t="s">
        <v>1861</v>
      </c>
      <c r="AB527" s="31">
        <f>VLOOKUP(AA527,Masters!$K$2:$L$183,2,FALSE)</f>
        <v>1003</v>
      </c>
      <c r="AC527" s="20" t="s">
        <v>2064</v>
      </c>
      <c r="AD527" s="20" t="s">
        <v>2061</v>
      </c>
      <c r="AE527" s="20">
        <v>21</v>
      </c>
      <c r="AF527" s="20">
        <v>12</v>
      </c>
      <c r="AG527" s="20">
        <v>2000</v>
      </c>
      <c r="AH527" s="21">
        <v>36881</v>
      </c>
    </row>
    <row r="528" spans="1:34" x14ac:dyDescent="0.25">
      <c r="A528" s="35">
        <v>1615</v>
      </c>
      <c r="B528" s="20" t="s">
        <v>1840</v>
      </c>
      <c r="C528" s="20" t="s">
        <v>1840</v>
      </c>
      <c r="D528" s="94" t="s">
        <v>1542</v>
      </c>
      <c r="E528" s="20" t="s">
        <v>2054</v>
      </c>
      <c r="F528" s="20" t="s">
        <v>1845</v>
      </c>
      <c r="G528" s="31" t="s">
        <v>40</v>
      </c>
      <c r="H528" s="32">
        <v>1</v>
      </c>
      <c r="J528" s="32">
        <v>1</v>
      </c>
      <c r="O528" s="20">
        <v>0</v>
      </c>
      <c r="P528" s="20">
        <v>1</v>
      </c>
      <c r="Q528" s="20">
        <v>0</v>
      </c>
      <c r="R528" s="20">
        <v>0</v>
      </c>
      <c r="X528" s="20">
        <v>1</v>
      </c>
      <c r="Z528" s="20" t="s">
        <v>100</v>
      </c>
      <c r="AA528" s="20" t="s">
        <v>1860</v>
      </c>
      <c r="AB528" s="31">
        <f>VLOOKUP(AA528,Masters!$K$2:$L$183,2,FALSE)</f>
        <v>1002</v>
      </c>
      <c r="AC528" s="20" t="s">
        <v>2063</v>
      </c>
      <c r="AD528" s="20" t="s">
        <v>2060</v>
      </c>
      <c r="AE528" s="20">
        <v>22</v>
      </c>
      <c r="AF528" s="20">
        <v>12</v>
      </c>
      <c r="AG528" s="20">
        <v>2005</v>
      </c>
      <c r="AH528" s="21">
        <v>38708</v>
      </c>
    </row>
    <row r="529" spans="1:34" x14ac:dyDescent="0.25">
      <c r="A529" s="35">
        <v>1618</v>
      </c>
      <c r="B529" s="20" t="s">
        <v>1840</v>
      </c>
      <c r="C529" s="20" t="s">
        <v>1840</v>
      </c>
      <c r="D529" s="94" t="s">
        <v>1545</v>
      </c>
      <c r="E529" s="20" t="s">
        <v>2052</v>
      </c>
      <c r="F529" s="20" t="s">
        <v>1845</v>
      </c>
      <c r="G529" s="31" t="s">
        <v>40</v>
      </c>
      <c r="H529" s="32">
        <v>1</v>
      </c>
      <c r="J529" s="32">
        <v>1</v>
      </c>
      <c r="O529" s="20">
        <v>0</v>
      </c>
      <c r="P529" s="20">
        <v>1</v>
      </c>
      <c r="Q529" s="20">
        <v>0</v>
      </c>
      <c r="R529" s="20">
        <v>0</v>
      </c>
      <c r="X529" s="20">
        <v>1</v>
      </c>
      <c r="Z529" s="20" t="s">
        <v>1857</v>
      </c>
      <c r="AA529" s="20" t="s">
        <v>1860</v>
      </c>
      <c r="AB529" s="31">
        <f>VLOOKUP(AA529,Masters!$K$2:$L$183,2,FALSE)</f>
        <v>1002</v>
      </c>
      <c r="AC529" s="20" t="s">
        <v>2064</v>
      </c>
      <c r="AD529" s="20" t="s">
        <v>2061</v>
      </c>
      <c r="AE529" s="20">
        <v>15</v>
      </c>
      <c r="AF529" s="20">
        <v>11</v>
      </c>
      <c r="AG529" s="20">
        <v>2001</v>
      </c>
      <c r="AH529" s="21">
        <v>37210</v>
      </c>
    </row>
    <row r="530" spans="1:34" x14ac:dyDescent="0.25">
      <c r="A530" s="35">
        <v>1629</v>
      </c>
      <c r="B530" s="20" t="s">
        <v>1840</v>
      </c>
      <c r="C530" s="20" t="s">
        <v>1840</v>
      </c>
      <c r="D530" s="94" t="s">
        <v>1556</v>
      </c>
      <c r="E530" s="20" t="s">
        <v>2058</v>
      </c>
      <c r="F530" s="20" t="s">
        <v>1847</v>
      </c>
      <c r="G530" s="31" t="s">
        <v>40</v>
      </c>
      <c r="H530" s="32">
        <v>1</v>
      </c>
      <c r="J530" s="32">
        <v>1</v>
      </c>
      <c r="O530" s="20">
        <v>0</v>
      </c>
      <c r="P530" s="20">
        <v>1</v>
      </c>
      <c r="Q530" s="20">
        <v>0</v>
      </c>
      <c r="R530" s="20">
        <v>0</v>
      </c>
      <c r="X530" s="20">
        <v>1</v>
      </c>
      <c r="Z530" s="20" t="s">
        <v>753</v>
      </c>
      <c r="AA530" s="20" t="s">
        <v>1863</v>
      </c>
      <c r="AB530" s="31">
        <f>VLOOKUP(AA530,Masters!$K$2:$L$183,2,FALSE)</f>
        <v>1005</v>
      </c>
      <c r="AC530" s="20" t="s">
        <v>2063</v>
      </c>
      <c r="AD530" s="20" t="s">
        <v>2060</v>
      </c>
      <c r="AE530" s="20">
        <v>28</v>
      </c>
      <c r="AF530" s="20">
        <v>9</v>
      </c>
      <c r="AG530" s="20">
        <v>2004</v>
      </c>
      <c r="AH530" s="21">
        <v>38258</v>
      </c>
    </row>
    <row r="531" spans="1:34" x14ac:dyDescent="0.25">
      <c r="A531" s="35">
        <v>1635</v>
      </c>
      <c r="B531" s="20" t="s">
        <v>1840</v>
      </c>
      <c r="C531" s="20" t="s">
        <v>1840</v>
      </c>
      <c r="D531" s="94" t="s">
        <v>1562</v>
      </c>
      <c r="E531" s="20" t="s">
        <v>2052</v>
      </c>
      <c r="F531" s="20" t="s">
        <v>1847</v>
      </c>
      <c r="G531" s="31" t="s">
        <v>40</v>
      </c>
      <c r="H531" s="32">
        <v>1</v>
      </c>
      <c r="J531" s="32">
        <v>1</v>
      </c>
      <c r="O531" s="20">
        <v>0</v>
      </c>
      <c r="P531" s="20">
        <v>1</v>
      </c>
      <c r="Q531" s="20">
        <v>0</v>
      </c>
      <c r="R531" s="20">
        <v>0</v>
      </c>
      <c r="X531" s="20">
        <v>1</v>
      </c>
      <c r="Z531" s="20" t="s">
        <v>1851</v>
      </c>
      <c r="AA531" s="20" t="s">
        <v>1860</v>
      </c>
      <c r="AB531" s="31">
        <f>VLOOKUP(AA531,Masters!$K$2:$L$183,2,FALSE)</f>
        <v>1002</v>
      </c>
      <c r="AC531" s="20" t="s">
        <v>2063</v>
      </c>
      <c r="AD531" s="20" t="s">
        <v>2060</v>
      </c>
      <c r="AE531" s="20">
        <v>28</v>
      </c>
      <c r="AF531" s="20">
        <v>12</v>
      </c>
      <c r="AG531" s="20">
        <v>2002</v>
      </c>
      <c r="AH531" s="21">
        <v>37618</v>
      </c>
    </row>
    <row r="532" spans="1:34" x14ac:dyDescent="0.25">
      <c r="A532" s="35">
        <v>1636</v>
      </c>
      <c r="B532" s="20" t="s">
        <v>1840</v>
      </c>
      <c r="C532" s="20" t="s">
        <v>1840</v>
      </c>
      <c r="D532" s="94" t="s">
        <v>1563</v>
      </c>
      <c r="E532" s="20" t="s">
        <v>2059</v>
      </c>
      <c r="F532" s="20" t="s">
        <v>1847</v>
      </c>
      <c r="G532" s="31" t="s">
        <v>40</v>
      </c>
      <c r="H532" s="32">
        <v>1</v>
      </c>
      <c r="J532" s="32">
        <v>1</v>
      </c>
      <c r="O532" s="20">
        <v>0</v>
      </c>
      <c r="P532" s="20">
        <v>1</v>
      </c>
      <c r="Q532" s="20">
        <v>0</v>
      </c>
      <c r="R532" s="20">
        <v>0</v>
      </c>
      <c r="X532" s="20">
        <v>1</v>
      </c>
      <c r="Z532" s="20" t="s">
        <v>1850</v>
      </c>
      <c r="AA532" s="20" t="s">
        <v>1860</v>
      </c>
      <c r="AB532" s="31">
        <f>VLOOKUP(AA532,Masters!$K$2:$L$183,2,FALSE)</f>
        <v>1002</v>
      </c>
      <c r="AC532" s="20" t="s">
        <v>2064</v>
      </c>
      <c r="AD532" s="20" t="s">
        <v>2061</v>
      </c>
      <c r="AE532" s="20">
        <v>30</v>
      </c>
      <c r="AF532" s="20">
        <v>8</v>
      </c>
      <c r="AG532" s="20">
        <v>2002</v>
      </c>
      <c r="AH532" s="21">
        <v>37498</v>
      </c>
    </row>
    <row r="533" spans="1:34" x14ac:dyDescent="0.25">
      <c r="A533" s="35">
        <v>1651</v>
      </c>
      <c r="B533" s="20" t="s">
        <v>1840</v>
      </c>
      <c r="C533" s="20" t="s">
        <v>1840</v>
      </c>
      <c r="D533" s="94" t="s">
        <v>1578</v>
      </c>
      <c r="E533" s="20" t="s">
        <v>2054</v>
      </c>
      <c r="F533" s="20" t="s">
        <v>1846</v>
      </c>
      <c r="G533" s="31" t="s">
        <v>40</v>
      </c>
      <c r="H533" s="32">
        <v>1</v>
      </c>
      <c r="J533" s="32">
        <v>1</v>
      </c>
      <c r="O533" s="20">
        <v>0</v>
      </c>
      <c r="P533" s="20">
        <v>1</v>
      </c>
      <c r="Q533" s="20">
        <v>0</v>
      </c>
      <c r="R533" s="20">
        <v>0</v>
      </c>
      <c r="X533" s="20">
        <v>1</v>
      </c>
      <c r="Z533" s="20" t="s">
        <v>1851</v>
      </c>
      <c r="AA533" s="20" t="s">
        <v>1862</v>
      </c>
      <c r="AB533" s="31">
        <f>VLOOKUP(AA533,Masters!$K$2:$L$183,2,FALSE)</f>
        <v>1004</v>
      </c>
      <c r="AC533" s="20" t="s">
        <v>2063</v>
      </c>
      <c r="AD533" s="20" t="s">
        <v>2060</v>
      </c>
      <c r="AE533" s="20">
        <v>25</v>
      </c>
      <c r="AF533" s="20">
        <v>7</v>
      </c>
      <c r="AG533" s="20">
        <v>2002</v>
      </c>
      <c r="AH533" s="21">
        <v>37462</v>
      </c>
    </row>
    <row r="534" spans="1:34" x14ac:dyDescent="0.25">
      <c r="A534" s="35">
        <v>1658</v>
      </c>
      <c r="B534" s="20" t="s">
        <v>1840</v>
      </c>
      <c r="C534" s="20" t="s">
        <v>1840</v>
      </c>
      <c r="D534" s="94" t="s">
        <v>1585</v>
      </c>
      <c r="E534" s="20" t="s">
        <v>2052</v>
      </c>
      <c r="F534" s="20" t="s">
        <v>1847</v>
      </c>
      <c r="G534" s="31" t="s">
        <v>40</v>
      </c>
      <c r="H534" s="32">
        <v>1</v>
      </c>
      <c r="J534" s="32">
        <v>1</v>
      </c>
      <c r="O534" s="20">
        <v>0</v>
      </c>
      <c r="P534" s="20">
        <v>1</v>
      </c>
      <c r="Q534" s="20">
        <v>0</v>
      </c>
      <c r="R534" s="20">
        <v>0</v>
      </c>
      <c r="X534" s="20">
        <v>1</v>
      </c>
      <c r="Z534" s="20" t="s">
        <v>753</v>
      </c>
      <c r="AA534" s="20" t="s">
        <v>1860</v>
      </c>
      <c r="AB534" s="31">
        <f>VLOOKUP(AA534,Masters!$K$2:$L$183,2,FALSE)</f>
        <v>1002</v>
      </c>
      <c r="AC534" s="20" t="s">
        <v>2063</v>
      </c>
      <c r="AD534" s="20" t="s">
        <v>2060</v>
      </c>
      <c r="AE534" s="20">
        <v>28</v>
      </c>
      <c r="AF534" s="20">
        <v>7</v>
      </c>
      <c r="AG534" s="20">
        <v>2003</v>
      </c>
      <c r="AH534" s="21">
        <v>37830</v>
      </c>
    </row>
    <row r="535" spans="1:34" x14ac:dyDescent="0.25">
      <c r="A535" s="35">
        <v>1667</v>
      </c>
      <c r="B535" s="20" t="s">
        <v>1840</v>
      </c>
      <c r="C535" s="20" t="s">
        <v>1840</v>
      </c>
      <c r="D535" s="94" t="s">
        <v>1594</v>
      </c>
      <c r="E535" s="20" t="s">
        <v>2056</v>
      </c>
      <c r="F535" s="20" t="s">
        <v>1844</v>
      </c>
      <c r="G535" s="31" t="s">
        <v>40</v>
      </c>
      <c r="H535" s="32">
        <v>1</v>
      </c>
      <c r="J535" s="32">
        <v>1</v>
      </c>
      <c r="O535" s="20">
        <v>0</v>
      </c>
      <c r="P535" s="20">
        <v>1</v>
      </c>
      <c r="Q535" s="20">
        <v>0</v>
      </c>
      <c r="R535" s="20">
        <v>0</v>
      </c>
      <c r="X535" s="20">
        <v>1</v>
      </c>
      <c r="Z535" s="20" t="s">
        <v>58</v>
      </c>
      <c r="AA535" s="20" t="s">
        <v>1860</v>
      </c>
      <c r="AB535" s="31">
        <f>VLOOKUP(AA535,Masters!$K$2:$L$183,2,FALSE)</f>
        <v>1002</v>
      </c>
      <c r="AC535" s="20" t="s">
        <v>2063</v>
      </c>
      <c r="AD535" s="20" t="s">
        <v>2061</v>
      </c>
      <c r="AE535" s="20">
        <v>7</v>
      </c>
      <c r="AF535" s="20">
        <v>10</v>
      </c>
      <c r="AG535" s="20">
        <v>2002</v>
      </c>
      <c r="AH535" s="21">
        <v>37536</v>
      </c>
    </row>
    <row r="536" spans="1:34" x14ac:dyDescent="0.25">
      <c r="A536" s="35">
        <v>1669</v>
      </c>
      <c r="B536" s="20" t="s">
        <v>1840</v>
      </c>
      <c r="C536" s="20" t="s">
        <v>1840</v>
      </c>
      <c r="D536" s="94" t="s">
        <v>1596</v>
      </c>
      <c r="E536" s="20" t="s">
        <v>2053</v>
      </c>
      <c r="F536" s="20" t="s">
        <v>1846</v>
      </c>
      <c r="G536" s="31" t="s">
        <v>40</v>
      </c>
      <c r="H536" s="32">
        <v>1</v>
      </c>
      <c r="J536" s="32">
        <v>1</v>
      </c>
      <c r="O536" s="20">
        <v>0</v>
      </c>
      <c r="P536" s="20">
        <v>1</v>
      </c>
      <c r="Q536" s="20">
        <v>0</v>
      </c>
      <c r="R536" s="20">
        <v>0</v>
      </c>
      <c r="X536" s="20">
        <v>1</v>
      </c>
      <c r="Z536" s="20" t="s">
        <v>1854</v>
      </c>
      <c r="AA536" s="20" t="s">
        <v>1862</v>
      </c>
      <c r="AB536" s="31">
        <f>VLOOKUP(AA536,Masters!$K$2:$L$183,2,FALSE)</f>
        <v>1004</v>
      </c>
      <c r="AC536" s="20" t="s">
        <v>2064</v>
      </c>
      <c r="AD536" s="20" t="s">
        <v>2061</v>
      </c>
      <c r="AE536" s="20">
        <v>19</v>
      </c>
      <c r="AF536" s="20">
        <v>7</v>
      </c>
      <c r="AG536" s="20">
        <v>2002</v>
      </c>
      <c r="AH536" s="21">
        <v>37456</v>
      </c>
    </row>
    <row r="537" spans="1:34" x14ac:dyDescent="0.25">
      <c r="A537" s="35">
        <v>1670</v>
      </c>
      <c r="B537" s="20" t="s">
        <v>1840</v>
      </c>
      <c r="C537" s="20" t="s">
        <v>1840</v>
      </c>
      <c r="D537" s="94" t="s">
        <v>1597</v>
      </c>
      <c r="E537" s="20" t="s">
        <v>2052</v>
      </c>
      <c r="F537" s="20" t="s">
        <v>1843</v>
      </c>
      <c r="G537" s="31" t="s">
        <v>40</v>
      </c>
      <c r="H537" s="32">
        <v>1</v>
      </c>
      <c r="J537" s="32">
        <v>1</v>
      </c>
      <c r="O537" s="20">
        <v>0</v>
      </c>
      <c r="P537" s="20">
        <v>1</v>
      </c>
      <c r="Q537" s="20">
        <v>0</v>
      </c>
      <c r="R537" s="20">
        <v>0</v>
      </c>
      <c r="X537" s="20">
        <v>1</v>
      </c>
      <c r="Z537" s="20" t="s">
        <v>100</v>
      </c>
      <c r="AA537" s="20" t="s">
        <v>1859</v>
      </c>
      <c r="AB537" s="31">
        <f>VLOOKUP(AA537,Masters!$K$2:$L$183,2,FALSE)</f>
        <v>1001</v>
      </c>
      <c r="AC537" s="20" t="s">
        <v>2063</v>
      </c>
      <c r="AD537" s="20" t="s">
        <v>2060</v>
      </c>
      <c r="AE537" s="20">
        <v>17</v>
      </c>
      <c r="AF537" s="20">
        <v>8</v>
      </c>
      <c r="AG537" s="20">
        <v>2000</v>
      </c>
      <c r="AH537" s="21">
        <v>36755</v>
      </c>
    </row>
    <row r="538" spans="1:34" x14ac:dyDescent="0.25">
      <c r="A538" s="35">
        <v>1676</v>
      </c>
      <c r="B538" s="20" t="s">
        <v>1840</v>
      </c>
      <c r="C538" s="20" t="s">
        <v>1840</v>
      </c>
      <c r="D538" s="94" t="s">
        <v>1603</v>
      </c>
      <c r="E538" s="20" t="s">
        <v>2051</v>
      </c>
      <c r="F538" s="20" t="s">
        <v>1844</v>
      </c>
      <c r="G538" s="31" t="s">
        <v>40</v>
      </c>
      <c r="H538" s="32">
        <v>1</v>
      </c>
      <c r="J538" s="32">
        <v>1</v>
      </c>
      <c r="O538" s="20">
        <v>0</v>
      </c>
      <c r="P538" s="20">
        <v>1</v>
      </c>
      <c r="Q538" s="20">
        <v>0</v>
      </c>
      <c r="R538" s="20">
        <v>0</v>
      </c>
      <c r="X538" s="20">
        <v>1</v>
      </c>
      <c r="Z538" s="20" t="s">
        <v>1858</v>
      </c>
      <c r="AA538" s="20" t="s">
        <v>1859</v>
      </c>
      <c r="AB538" s="31">
        <f>VLOOKUP(AA538,Masters!$K$2:$L$183,2,FALSE)</f>
        <v>1001</v>
      </c>
      <c r="AC538" s="20" t="s">
        <v>2063</v>
      </c>
      <c r="AD538" s="20" t="s">
        <v>2060</v>
      </c>
      <c r="AE538" s="20">
        <v>6</v>
      </c>
      <c r="AF538" s="20">
        <v>2</v>
      </c>
      <c r="AG538" s="20">
        <v>2005</v>
      </c>
      <c r="AH538" s="21">
        <v>38389</v>
      </c>
    </row>
    <row r="539" spans="1:34" x14ac:dyDescent="0.25">
      <c r="A539" s="35">
        <v>1702</v>
      </c>
      <c r="B539" s="20" t="s">
        <v>1840</v>
      </c>
      <c r="C539" s="20" t="s">
        <v>1840</v>
      </c>
      <c r="D539" s="94" t="s">
        <v>1629</v>
      </c>
      <c r="E539" s="20" t="s">
        <v>2059</v>
      </c>
      <c r="F539" s="20" t="s">
        <v>1844</v>
      </c>
      <c r="G539" s="31" t="s">
        <v>40</v>
      </c>
      <c r="H539" s="32">
        <v>1</v>
      </c>
      <c r="J539" s="32">
        <v>1</v>
      </c>
      <c r="O539" s="20">
        <v>0</v>
      </c>
      <c r="P539" s="20">
        <v>1</v>
      </c>
      <c r="Q539" s="20">
        <v>0</v>
      </c>
      <c r="R539" s="20">
        <v>0</v>
      </c>
      <c r="X539" s="20">
        <v>1</v>
      </c>
      <c r="Z539" s="20" t="s">
        <v>1848</v>
      </c>
      <c r="AA539" s="20" t="s">
        <v>1860</v>
      </c>
      <c r="AB539" s="31">
        <f>VLOOKUP(AA539,Masters!$K$2:$L$183,2,FALSE)</f>
        <v>1002</v>
      </c>
      <c r="AC539" s="20" t="s">
        <v>2064</v>
      </c>
      <c r="AD539" s="20" t="s">
        <v>2061</v>
      </c>
      <c r="AE539" s="20">
        <v>19</v>
      </c>
      <c r="AF539" s="20">
        <v>11</v>
      </c>
      <c r="AG539" s="20">
        <v>2003</v>
      </c>
      <c r="AH539" s="21">
        <v>37944</v>
      </c>
    </row>
    <row r="540" spans="1:34" x14ac:dyDescent="0.25">
      <c r="A540" s="35">
        <v>1706</v>
      </c>
      <c r="B540" s="20" t="s">
        <v>1840</v>
      </c>
      <c r="C540" s="20" t="s">
        <v>1840</v>
      </c>
      <c r="D540" s="94" t="s">
        <v>1633</v>
      </c>
      <c r="E540" s="20" t="s">
        <v>2058</v>
      </c>
      <c r="F540" s="20" t="s">
        <v>1845</v>
      </c>
      <c r="G540" s="31" t="s">
        <v>40</v>
      </c>
      <c r="H540" s="32">
        <v>1</v>
      </c>
      <c r="J540" s="32">
        <v>1</v>
      </c>
      <c r="O540" s="20">
        <v>0</v>
      </c>
      <c r="P540" s="20">
        <v>1</v>
      </c>
      <c r="Q540" s="20">
        <v>0</v>
      </c>
      <c r="R540" s="20">
        <v>0</v>
      </c>
      <c r="X540" s="20">
        <v>1</v>
      </c>
      <c r="Z540" s="20" t="s">
        <v>1849</v>
      </c>
      <c r="AA540" s="20" t="s">
        <v>1859</v>
      </c>
      <c r="AB540" s="31">
        <f>VLOOKUP(AA540,Masters!$K$2:$L$183,2,FALSE)</f>
        <v>1001</v>
      </c>
      <c r="AC540" s="20" t="s">
        <v>2063</v>
      </c>
      <c r="AD540" s="20" t="s">
        <v>2060</v>
      </c>
      <c r="AE540" s="20">
        <v>22</v>
      </c>
      <c r="AF540" s="20">
        <v>4</v>
      </c>
      <c r="AG540" s="20">
        <v>2004</v>
      </c>
      <c r="AH540" s="21">
        <v>38099</v>
      </c>
    </row>
    <row r="541" spans="1:34" x14ac:dyDescent="0.25">
      <c r="A541" s="35">
        <v>1718</v>
      </c>
      <c r="B541" s="20" t="s">
        <v>1840</v>
      </c>
      <c r="C541" s="20" t="s">
        <v>1840</v>
      </c>
      <c r="D541" s="94" t="s">
        <v>1645</v>
      </c>
      <c r="E541" s="20" t="s">
        <v>2055</v>
      </c>
      <c r="F541" s="20" t="s">
        <v>1846</v>
      </c>
      <c r="G541" s="31" t="s">
        <v>40</v>
      </c>
      <c r="H541" s="32">
        <v>1</v>
      </c>
      <c r="J541" s="32">
        <v>1</v>
      </c>
      <c r="O541" s="20">
        <v>0</v>
      </c>
      <c r="P541" s="20">
        <v>1</v>
      </c>
      <c r="Q541" s="20">
        <v>0</v>
      </c>
      <c r="R541" s="20">
        <v>0</v>
      </c>
      <c r="X541" s="20">
        <v>1</v>
      </c>
      <c r="Z541" s="20" t="s">
        <v>753</v>
      </c>
      <c r="AA541" s="20" t="s">
        <v>1859</v>
      </c>
      <c r="AB541" s="31">
        <f>VLOOKUP(AA541,Masters!$K$2:$L$183,2,FALSE)</f>
        <v>1001</v>
      </c>
      <c r="AC541" s="20" t="s">
        <v>2063</v>
      </c>
      <c r="AD541" s="20" t="s">
        <v>2060</v>
      </c>
      <c r="AE541" s="20">
        <v>28</v>
      </c>
      <c r="AF541" s="20">
        <v>11</v>
      </c>
      <c r="AG541" s="20">
        <v>2000</v>
      </c>
      <c r="AH541" s="21">
        <v>36858</v>
      </c>
    </row>
    <row r="542" spans="1:34" x14ac:dyDescent="0.25">
      <c r="A542" s="35">
        <v>1719</v>
      </c>
      <c r="B542" s="20" t="s">
        <v>1840</v>
      </c>
      <c r="C542" s="20" t="s">
        <v>1840</v>
      </c>
      <c r="D542" s="94" t="s">
        <v>1646</v>
      </c>
      <c r="E542" s="20" t="s">
        <v>2051</v>
      </c>
      <c r="F542" s="20" t="s">
        <v>1846</v>
      </c>
      <c r="G542" s="31" t="s">
        <v>40</v>
      </c>
      <c r="H542" s="32">
        <v>1</v>
      </c>
      <c r="J542" s="32">
        <v>1</v>
      </c>
      <c r="O542" s="20">
        <v>0</v>
      </c>
      <c r="P542" s="20">
        <v>1</v>
      </c>
      <c r="Q542" s="20">
        <v>0</v>
      </c>
      <c r="R542" s="20">
        <v>0</v>
      </c>
      <c r="X542" s="20">
        <v>1</v>
      </c>
      <c r="Z542" s="20" t="s">
        <v>1850</v>
      </c>
      <c r="AA542" s="20" t="s">
        <v>1862</v>
      </c>
      <c r="AB542" s="31">
        <f>VLOOKUP(AA542,Masters!$K$2:$L$183,2,FALSE)</f>
        <v>1004</v>
      </c>
      <c r="AC542" s="20" t="s">
        <v>2063</v>
      </c>
      <c r="AD542" s="20" t="s">
        <v>2060</v>
      </c>
      <c r="AE542" s="20">
        <v>26</v>
      </c>
      <c r="AF542" s="20">
        <v>4</v>
      </c>
      <c r="AG542" s="20">
        <v>2005</v>
      </c>
      <c r="AH542" s="21">
        <v>38468</v>
      </c>
    </row>
    <row r="543" spans="1:34" x14ac:dyDescent="0.25">
      <c r="A543" s="35">
        <v>1746</v>
      </c>
      <c r="B543" s="20" t="s">
        <v>1840</v>
      </c>
      <c r="C543" s="20" t="s">
        <v>1840</v>
      </c>
      <c r="D543" s="94" t="s">
        <v>1673</v>
      </c>
      <c r="E543" s="20" t="s">
        <v>2055</v>
      </c>
      <c r="F543" s="20" t="s">
        <v>1845</v>
      </c>
      <c r="G543" s="31" t="s">
        <v>40</v>
      </c>
      <c r="H543" s="32">
        <v>1</v>
      </c>
      <c r="J543" s="32">
        <v>1</v>
      </c>
      <c r="O543" s="20">
        <v>0</v>
      </c>
      <c r="P543" s="20">
        <v>1</v>
      </c>
      <c r="Q543" s="20">
        <v>0</v>
      </c>
      <c r="R543" s="20">
        <v>0</v>
      </c>
      <c r="X543" s="20">
        <v>1</v>
      </c>
      <c r="Z543" s="20" t="s">
        <v>1849</v>
      </c>
      <c r="AA543" s="20" t="s">
        <v>1861</v>
      </c>
      <c r="AB543" s="31">
        <f>VLOOKUP(AA543,Masters!$K$2:$L$183,2,FALSE)</f>
        <v>1003</v>
      </c>
      <c r="AC543" s="20" t="s">
        <v>2064</v>
      </c>
      <c r="AD543" s="20" t="s">
        <v>2061</v>
      </c>
      <c r="AE543" s="20">
        <v>5</v>
      </c>
      <c r="AF543" s="20">
        <v>7</v>
      </c>
      <c r="AG543" s="20">
        <v>2000</v>
      </c>
      <c r="AH543" s="21">
        <v>36712</v>
      </c>
    </row>
    <row r="544" spans="1:34" x14ac:dyDescent="0.25">
      <c r="A544" s="35">
        <v>1753</v>
      </c>
      <c r="B544" s="20" t="s">
        <v>1840</v>
      </c>
      <c r="C544" s="20" t="s">
        <v>1840</v>
      </c>
      <c r="D544" s="94" t="s">
        <v>1680</v>
      </c>
      <c r="E544" s="20" t="s">
        <v>2058</v>
      </c>
      <c r="F544" s="20" t="s">
        <v>1846</v>
      </c>
      <c r="G544" s="31" t="s">
        <v>40</v>
      </c>
      <c r="H544" s="32">
        <v>1</v>
      </c>
      <c r="J544" s="32">
        <v>1</v>
      </c>
      <c r="O544" s="20">
        <v>0</v>
      </c>
      <c r="P544" s="20">
        <v>1</v>
      </c>
      <c r="Q544" s="20">
        <v>0</v>
      </c>
      <c r="R544" s="20">
        <v>0</v>
      </c>
      <c r="X544" s="20">
        <v>1</v>
      </c>
      <c r="Z544" s="20" t="s">
        <v>1848</v>
      </c>
      <c r="AA544" s="20" t="s">
        <v>1862</v>
      </c>
      <c r="AB544" s="31">
        <f>VLOOKUP(AA544,Masters!$K$2:$L$183,2,FALSE)</f>
        <v>1004</v>
      </c>
      <c r="AC544" s="20" t="s">
        <v>2063</v>
      </c>
      <c r="AD544" s="20" t="s">
        <v>2060</v>
      </c>
      <c r="AE544" s="20">
        <v>2</v>
      </c>
      <c r="AF544" s="20">
        <v>7</v>
      </c>
      <c r="AG544" s="20">
        <v>2004</v>
      </c>
      <c r="AH544" s="21">
        <v>38170</v>
      </c>
    </row>
    <row r="545" spans="1:34" x14ac:dyDescent="0.25">
      <c r="A545" s="35">
        <v>1757</v>
      </c>
      <c r="B545" s="20" t="s">
        <v>1840</v>
      </c>
      <c r="C545" s="20" t="s">
        <v>1840</v>
      </c>
      <c r="D545" s="94" t="s">
        <v>1684</v>
      </c>
      <c r="E545" s="20" t="s">
        <v>2058</v>
      </c>
      <c r="F545" s="20" t="s">
        <v>1843</v>
      </c>
      <c r="G545" s="31" t="s">
        <v>40</v>
      </c>
      <c r="H545" s="32">
        <v>1</v>
      </c>
      <c r="J545" s="32">
        <v>1</v>
      </c>
      <c r="O545" s="20">
        <v>0</v>
      </c>
      <c r="P545" s="20">
        <v>1</v>
      </c>
      <c r="Q545" s="20">
        <v>0</v>
      </c>
      <c r="R545" s="20">
        <v>0</v>
      </c>
      <c r="X545" s="20">
        <v>1</v>
      </c>
      <c r="Z545" s="20" t="s">
        <v>201</v>
      </c>
      <c r="AA545" s="20" t="s">
        <v>1862</v>
      </c>
      <c r="AB545" s="31">
        <f>VLOOKUP(AA545,Masters!$K$2:$L$183,2,FALSE)</f>
        <v>1004</v>
      </c>
      <c r="AC545" s="20" t="s">
        <v>2063</v>
      </c>
      <c r="AD545" s="20" t="s">
        <v>2061</v>
      </c>
      <c r="AE545" s="20">
        <v>12</v>
      </c>
      <c r="AF545" s="20">
        <v>9</v>
      </c>
      <c r="AG545" s="20">
        <v>2004</v>
      </c>
      <c r="AH545" s="21">
        <v>38242</v>
      </c>
    </row>
    <row r="546" spans="1:34" x14ac:dyDescent="0.25">
      <c r="A546" s="35">
        <v>1814</v>
      </c>
      <c r="B546" s="20" t="s">
        <v>1840</v>
      </c>
      <c r="C546" s="20" t="s">
        <v>1840</v>
      </c>
      <c r="D546" s="94" t="s">
        <v>1741</v>
      </c>
      <c r="E546" s="20" t="s">
        <v>126</v>
      </c>
      <c r="F546" s="20" t="s">
        <v>1844</v>
      </c>
      <c r="G546" s="31" t="s">
        <v>40</v>
      </c>
      <c r="H546" s="32">
        <v>1</v>
      </c>
      <c r="J546" s="32">
        <v>1</v>
      </c>
      <c r="O546" s="20">
        <v>0</v>
      </c>
      <c r="P546" s="20">
        <v>1</v>
      </c>
      <c r="Q546" s="20">
        <v>0</v>
      </c>
      <c r="R546" s="20">
        <v>0</v>
      </c>
      <c r="X546" s="20">
        <v>1</v>
      </c>
      <c r="Z546" s="20" t="s">
        <v>100</v>
      </c>
      <c r="AA546" s="20" t="s">
        <v>1862</v>
      </c>
      <c r="AB546" s="31">
        <f>VLOOKUP(AA546,Masters!$K$2:$L$183,2,FALSE)</f>
        <v>1004</v>
      </c>
      <c r="AC546" s="20" t="s">
        <v>2063</v>
      </c>
      <c r="AD546" s="20" t="s">
        <v>2060</v>
      </c>
      <c r="AE546" s="20">
        <v>6</v>
      </c>
      <c r="AF546" s="20">
        <v>5</v>
      </c>
      <c r="AG546" s="20">
        <v>2001</v>
      </c>
      <c r="AH546" s="21">
        <v>37017</v>
      </c>
    </row>
    <row r="547" spans="1:34" x14ac:dyDescent="0.25">
      <c r="A547" s="35">
        <v>1822</v>
      </c>
      <c r="B547" s="20" t="s">
        <v>1840</v>
      </c>
      <c r="C547" s="20" t="s">
        <v>1840</v>
      </c>
      <c r="D547" s="94" t="s">
        <v>1749</v>
      </c>
      <c r="E547" s="20" t="s">
        <v>133</v>
      </c>
      <c r="F547" s="20" t="s">
        <v>1844</v>
      </c>
      <c r="G547" s="31" t="s">
        <v>40</v>
      </c>
      <c r="H547" s="32">
        <v>1</v>
      </c>
      <c r="J547" s="32">
        <v>1</v>
      </c>
      <c r="O547" s="20">
        <v>0</v>
      </c>
      <c r="P547" s="20">
        <v>1</v>
      </c>
      <c r="Q547" s="20">
        <v>0</v>
      </c>
      <c r="R547" s="20">
        <v>0</v>
      </c>
      <c r="X547" s="20">
        <v>1</v>
      </c>
      <c r="Z547" s="20" t="s">
        <v>78</v>
      </c>
      <c r="AA547" s="20" t="s">
        <v>1860</v>
      </c>
      <c r="AB547" s="31">
        <f>VLOOKUP(AA547,Masters!$K$2:$L$183,2,FALSE)</f>
        <v>1002</v>
      </c>
      <c r="AC547" s="20" t="s">
        <v>2064</v>
      </c>
      <c r="AD547" s="20" t="s">
        <v>2061</v>
      </c>
      <c r="AE547" s="20">
        <v>10</v>
      </c>
      <c r="AF547" s="20">
        <v>9</v>
      </c>
      <c r="AG547" s="20">
        <v>2002</v>
      </c>
      <c r="AH547" s="21">
        <v>37509</v>
      </c>
    </row>
    <row r="548" spans="1:34" x14ac:dyDescent="0.25">
      <c r="A548" s="35">
        <v>1846</v>
      </c>
      <c r="B548" s="20" t="s">
        <v>1840</v>
      </c>
      <c r="C548" s="20" t="s">
        <v>1840</v>
      </c>
      <c r="D548" s="94" t="s">
        <v>1773</v>
      </c>
      <c r="E548" s="20" t="s">
        <v>2056</v>
      </c>
      <c r="F548" s="20" t="s">
        <v>1845</v>
      </c>
      <c r="G548" s="31" t="s">
        <v>40</v>
      </c>
      <c r="H548" s="32">
        <v>1</v>
      </c>
      <c r="J548" s="32">
        <v>1</v>
      </c>
      <c r="O548" s="20">
        <v>0</v>
      </c>
      <c r="P548" s="20">
        <v>1</v>
      </c>
      <c r="Q548" s="20">
        <v>0</v>
      </c>
      <c r="R548" s="20">
        <v>0</v>
      </c>
      <c r="T548" s="20" t="s">
        <v>36</v>
      </c>
      <c r="X548" s="20">
        <v>1</v>
      </c>
      <c r="Z548" s="20" t="s">
        <v>1849</v>
      </c>
      <c r="AA548" s="20" t="s">
        <v>1861</v>
      </c>
      <c r="AB548" s="31">
        <f>VLOOKUP(AA548,Masters!$K$2:$L$183,2,FALSE)</f>
        <v>1003</v>
      </c>
      <c r="AC548" s="20" t="s">
        <v>2063</v>
      </c>
      <c r="AD548" s="20" t="s">
        <v>2060</v>
      </c>
      <c r="AE548" s="20">
        <v>6</v>
      </c>
      <c r="AF548" s="20">
        <v>2</v>
      </c>
      <c r="AG548" s="20">
        <v>2002</v>
      </c>
      <c r="AH548" s="21">
        <v>37293</v>
      </c>
    </row>
    <row r="549" spans="1:34" x14ac:dyDescent="0.25">
      <c r="A549" s="35">
        <v>1848</v>
      </c>
      <c r="B549" s="20" t="s">
        <v>1840</v>
      </c>
      <c r="C549" s="20" t="s">
        <v>1840</v>
      </c>
      <c r="D549" s="94" t="s">
        <v>1775</v>
      </c>
      <c r="E549" s="20" t="s">
        <v>135</v>
      </c>
      <c r="F549" s="20" t="s">
        <v>1843</v>
      </c>
      <c r="G549" s="31" t="s">
        <v>40</v>
      </c>
      <c r="H549" s="32">
        <v>1</v>
      </c>
      <c r="J549" s="32">
        <v>1</v>
      </c>
      <c r="O549" s="20">
        <v>0</v>
      </c>
      <c r="P549" s="20">
        <v>1</v>
      </c>
      <c r="Q549" s="20">
        <v>0</v>
      </c>
      <c r="R549" s="20">
        <v>0</v>
      </c>
      <c r="S549" s="20" t="s">
        <v>184</v>
      </c>
      <c r="T549" s="20" t="s">
        <v>36</v>
      </c>
      <c r="X549" s="20">
        <v>1</v>
      </c>
      <c r="Z549" s="20" t="s">
        <v>1852</v>
      </c>
      <c r="AA549" s="20" t="s">
        <v>1862</v>
      </c>
      <c r="AB549" s="31">
        <f>VLOOKUP(AA549,Masters!$K$2:$L$183,2,FALSE)</f>
        <v>1004</v>
      </c>
      <c r="AC549" s="20" t="s">
        <v>2064</v>
      </c>
      <c r="AD549" s="20" t="s">
        <v>2061</v>
      </c>
      <c r="AE549" s="20">
        <v>18</v>
      </c>
      <c r="AF549" s="20">
        <v>5</v>
      </c>
      <c r="AG549" s="20">
        <v>2004</v>
      </c>
      <c r="AH549" s="21">
        <v>38125</v>
      </c>
    </row>
    <row r="550" spans="1:34" x14ac:dyDescent="0.25">
      <c r="A550" s="35">
        <v>1852</v>
      </c>
      <c r="B550" s="20" t="s">
        <v>1840</v>
      </c>
      <c r="C550" s="20" t="s">
        <v>1840</v>
      </c>
      <c r="D550" s="94" t="s">
        <v>1779</v>
      </c>
      <c r="E550" s="20" t="s">
        <v>2050</v>
      </c>
      <c r="F550" s="20" t="s">
        <v>1843</v>
      </c>
      <c r="G550" s="31" t="s">
        <v>40</v>
      </c>
      <c r="H550" s="32">
        <v>1</v>
      </c>
      <c r="J550" s="32">
        <v>1</v>
      </c>
      <c r="O550" s="20">
        <v>0</v>
      </c>
      <c r="P550" s="20">
        <v>1</v>
      </c>
      <c r="Q550" s="20">
        <v>0</v>
      </c>
      <c r="R550" s="20">
        <v>0</v>
      </c>
      <c r="S550" s="20" t="s">
        <v>183</v>
      </c>
      <c r="T550" s="20" t="s">
        <v>36</v>
      </c>
      <c r="X550" s="20">
        <v>1</v>
      </c>
      <c r="Z550" s="20" t="s">
        <v>1848</v>
      </c>
      <c r="AA550" s="20" t="s">
        <v>1861</v>
      </c>
      <c r="AB550" s="31">
        <f>VLOOKUP(AA550,Masters!$K$2:$L$183,2,FALSE)</f>
        <v>1003</v>
      </c>
      <c r="AC550" s="20" t="s">
        <v>2063</v>
      </c>
      <c r="AD550" s="20" t="s">
        <v>2061</v>
      </c>
      <c r="AE550" s="20">
        <v>6</v>
      </c>
      <c r="AF550" s="20">
        <v>12</v>
      </c>
      <c r="AG550" s="20">
        <v>2000</v>
      </c>
      <c r="AH550" s="21">
        <v>36866</v>
      </c>
    </row>
    <row r="551" spans="1:34" x14ac:dyDescent="0.25">
      <c r="A551" s="35">
        <v>1853</v>
      </c>
      <c r="B551" s="20" t="s">
        <v>1840</v>
      </c>
      <c r="C551" s="20" t="s">
        <v>1840</v>
      </c>
      <c r="D551" s="94" t="s">
        <v>1780</v>
      </c>
      <c r="E551" s="20" t="s">
        <v>2059</v>
      </c>
      <c r="F551" s="20" t="s">
        <v>1847</v>
      </c>
      <c r="G551" s="31" t="s">
        <v>40</v>
      </c>
      <c r="H551" s="32">
        <v>1</v>
      </c>
      <c r="J551" s="32">
        <v>1</v>
      </c>
      <c r="O551" s="20">
        <v>0</v>
      </c>
      <c r="P551" s="20">
        <v>1</v>
      </c>
      <c r="Q551" s="20">
        <v>0</v>
      </c>
      <c r="R551" s="20">
        <v>0</v>
      </c>
      <c r="X551" s="20">
        <v>1</v>
      </c>
      <c r="Z551" s="20" t="s">
        <v>1832</v>
      </c>
      <c r="AA551" s="20" t="s">
        <v>1862</v>
      </c>
      <c r="AB551" s="31">
        <f>VLOOKUP(AA551,Masters!$K$2:$L$183,2,FALSE)</f>
        <v>1004</v>
      </c>
      <c r="AC551" s="20" t="s">
        <v>2063</v>
      </c>
      <c r="AD551" s="20" t="s">
        <v>2060</v>
      </c>
      <c r="AE551" s="20">
        <v>3</v>
      </c>
      <c r="AF551" s="20">
        <v>2</v>
      </c>
      <c r="AG551" s="20">
        <v>2000</v>
      </c>
      <c r="AH551" s="21">
        <v>36559</v>
      </c>
    </row>
    <row r="552" spans="1:34" x14ac:dyDescent="0.25">
      <c r="A552" s="35">
        <v>1866</v>
      </c>
      <c r="B552" s="20" t="s">
        <v>1840</v>
      </c>
      <c r="C552" s="20" t="s">
        <v>1840</v>
      </c>
      <c r="D552" s="94" t="s">
        <v>1793</v>
      </c>
      <c r="E552" s="20" t="s">
        <v>2055</v>
      </c>
      <c r="F552" s="20" t="s">
        <v>1844</v>
      </c>
      <c r="G552" s="31" t="s">
        <v>40</v>
      </c>
      <c r="H552" s="32">
        <v>1</v>
      </c>
      <c r="J552" s="32">
        <v>1</v>
      </c>
      <c r="O552" s="20">
        <v>0</v>
      </c>
      <c r="P552" s="20">
        <v>1</v>
      </c>
      <c r="Q552" s="20">
        <v>0</v>
      </c>
      <c r="R552" s="20">
        <v>0</v>
      </c>
      <c r="T552" s="20" t="s">
        <v>36</v>
      </c>
      <c r="X552" s="20">
        <v>1</v>
      </c>
      <c r="Z552" s="20" t="s">
        <v>1854</v>
      </c>
      <c r="AA552" s="20" t="s">
        <v>1859</v>
      </c>
      <c r="AB552" s="31">
        <f>VLOOKUP(AA552,Masters!$K$2:$L$183,2,FALSE)</f>
        <v>1001</v>
      </c>
      <c r="AC552" s="20" t="s">
        <v>2064</v>
      </c>
      <c r="AD552" s="20" t="s">
        <v>2061</v>
      </c>
      <c r="AE552" s="20">
        <v>2</v>
      </c>
      <c r="AF552" s="20">
        <v>10</v>
      </c>
      <c r="AG552" s="20">
        <v>2005</v>
      </c>
      <c r="AH552" s="21">
        <v>38627</v>
      </c>
    </row>
    <row r="553" spans="1:34" x14ac:dyDescent="0.25">
      <c r="A553" s="35">
        <v>1867</v>
      </c>
      <c r="B553" s="20" t="s">
        <v>1840</v>
      </c>
      <c r="C553" s="20" t="s">
        <v>1840</v>
      </c>
      <c r="D553" s="94" t="s">
        <v>1794</v>
      </c>
      <c r="E553" s="20" t="s">
        <v>2052</v>
      </c>
      <c r="F553" s="20" t="s">
        <v>1847</v>
      </c>
      <c r="G553" s="31" t="s">
        <v>40</v>
      </c>
      <c r="H553" s="32">
        <v>1</v>
      </c>
      <c r="J553" s="32">
        <v>1</v>
      </c>
      <c r="O553" s="20">
        <v>0</v>
      </c>
      <c r="P553" s="20">
        <v>1</v>
      </c>
      <c r="Q553" s="20">
        <v>0</v>
      </c>
      <c r="R553" s="20">
        <v>0</v>
      </c>
      <c r="X553" s="20">
        <v>1</v>
      </c>
      <c r="Z553" s="20" t="s">
        <v>753</v>
      </c>
      <c r="AA553" s="20" t="s">
        <v>1860</v>
      </c>
      <c r="AB553" s="31">
        <f>VLOOKUP(AA553,Masters!$K$2:$L$183,2,FALSE)</f>
        <v>1002</v>
      </c>
      <c r="AC553" s="20" t="s">
        <v>2063</v>
      </c>
      <c r="AD553" s="20" t="s">
        <v>2060</v>
      </c>
      <c r="AE553" s="20">
        <v>24</v>
      </c>
      <c r="AF553" s="20">
        <v>2</v>
      </c>
      <c r="AG553" s="20">
        <v>2003</v>
      </c>
      <c r="AH553" s="21">
        <v>37676</v>
      </c>
    </row>
    <row r="554" spans="1:34" x14ac:dyDescent="0.25">
      <c r="A554" s="35">
        <v>1868</v>
      </c>
      <c r="B554" s="20" t="s">
        <v>1840</v>
      </c>
      <c r="C554" s="20" t="s">
        <v>1840</v>
      </c>
      <c r="D554" s="94" t="s">
        <v>1795</v>
      </c>
      <c r="E554" s="20" t="s">
        <v>2056</v>
      </c>
      <c r="F554" s="20" t="s">
        <v>1847</v>
      </c>
      <c r="G554" s="31" t="s">
        <v>40</v>
      </c>
      <c r="H554" s="32">
        <v>1</v>
      </c>
      <c r="J554" s="32">
        <v>1</v>
      </c>
      <c r="O554" s="20">
        <v>0</v>
      </c>
      <c r="P554" s="20">
        <v>1</v>
      </c>
      <c r="Q554" s="20">
        <v>0</v>
      </c>
      <c r="R554" s="20">
        <v>0</v>
      </c>
      <c r="X554" s="20">
        <v>1</v>
      </c>
      <c r="Z554" s="20" t="s">
        <v>1850</v>
      </c>
      <c r="AA554" s="20" t="s">
        <v>1861</v>
      </c>
      <c r="AB554" s="31">
        <f>VLOOKUP(AA554,Masters!$K$2:$L$183,2,FALSE)</f>
        <v>1003</v>
      </c>
      <c r="AC554" s="20" t="s">
        <v>2063</v>
      </c>
      <c r="AD554" s="20" t="s">
        <v>2060</v>
      </c>
      <c r="AE554" s="20">
        <v>24</v>
      </c>
      <c r="AF554" s="20">
        <v>5</v>
      </c>
      <c r="AG554" s="20">
        <v>2001</v>
      </c>
      <c r="AH554" s="21">
        <v>37035</v>
      </c>
    </row>
    <row r="555" spans="1:34" x14ac:dyDescent="0.25">
      <c r="A555" s="35">
        <v>1888</v>
      </c>
      <c r="B555" s="20" t="s">
        <v>1840</v>
      </c>
      <c r="C555" s="20" t="s">
        <v>1840</v>
      </c>
      <c r="D555" s="94" t="s">
        <v>1815</v>
      </c>
      <c r="E555" s="20" t="s">
        <v>2053</v>
      </c>
      <c r="F555" s="20" t="s">
        <v>1846</v>
      </c>
      <c r="G555" s="31" t="s">
        <v>40</v>
      </c>
      <c r="H555" s="32">
        <v>1</v>
      </c>
      <c r="J555" s="32">
        <v>1</v>
      </c>
      <c r="O555" s="20">
        <v>0</v>
      </c>
      <c r="P555" s="20">
        <v>1</v>
      </c>
      <c r="Q555" s="20">
        <v>0</v>
      </c>
      <c r="R555" s="20">
        <v>0</v>
      </c>
      <c r="X555" s="20">
        <v>1</v>
      </c>
      <c r="Z555" s="20" t="s">
        <v>1851</v>
      </c>
      <c r="AA555" s="20" t="s">
        <v>1859</v>
      </c>
      <c r="AB555" s="31">
        <f>VLOOKUP(AA555,Masters!$K$2:$L$183,2,FALSE)</f>
        <v>1001</v>
      </c>
      <c r="AC555" s="20" t="s">
        <v>2063</v>
      </c>
      <c r="AD555" s="20" t="s">
        <v>2060</v>
      </c>
      <c r="AE555" s="20">
        <v>21</v>
      </c>
      <c r="AF555" s="20">
        <v>5</v>
      </c>
      <c r="AG555" s="20">
        <v>2005</v>
      </c>
      <c r="AH555" s="21">
        <v>38493</v>
      </c>
    </row>
    <row r="556" spans="1:34" x14ac:dyDescent="0.25">
      <c r="A556" s="35">
        <v>1927</v>
      </c>
      <c r="B556" s="20" t="s">
        <v>1840</v>
      </c>
      <c r="C556" s="20" t="s">
        <v>1840</v>
      </c>
      <c r="E556" s="20" t="s">
        <v>135</v>
      </c>
      <c r="F556" s="20" t="s">
        <v>1846</v>
      </c>
      <c r="G556" s="31" t="s">
        <v>35</v>
      </c>
      <c r="I556" s="208">
        <v>1</v>
      </c>
      <c r="J556" s="208">
        <v>1</v>
      </c>
      <c r="K556" s="208"/>
      <c r="L556" s="209"/>
      <c r="M556" s="208"/>
      <c r="N556" s="208"/>
      <c r="O556" s="210">
        <v>0</v>
      </c>
      <c r="P556" s="210">
        <v>0</v>
      </c>
      <c r="Q556" s="210">
        <v>1</v>
      </c>
      <c r="R556" s="210">
        <v>0</v>
      </c>
      <c r="X556" s="20">
        <v>1</v>
      </c>
      <c r="Z556" s="20" t="s">
        <v>1857</v>
      </c>
      <c r="AA556" s="20" t="s">
        <v>1860</v>
      </c>
      <c r="AB556" s="31">
        <f>VLOOKUP(AA556,Masters!$K$2:$L$183,2,FALSE)</f>
        <v>1002</v>
      </c>
      <c r="AC556" s="20" t="s">
        <v>2063</v>
      </c>
      <c r="AE556" s="20">
        <v>23</v>
      </c>
      <c r="AF556" s="20">
        <v>8</v>
      </c>
      <c r="AG556" s="20">
        <v>2004</v>
      </c>
      <c r="AH556" s="21">
        <v>38222</v>
      </c>
    </row>
    <row r="557" spans="1:34" x14ac:dyDescent="0.25">
      <c r="A557" s="35">
        <v>1928</v>
      </c>
      <c r="B557" s="20" t="s">
        <v>1840</v>
      </c>
      <c r="C557" s="20" t="s">
        <v>1840</v>
      </c>
      <c r="E557" s="20" t="s">
        <v>2056</v>
      </c>
      <c r="F557" s="20" t="s">
        <v>1843</v>
      </c>
      <c r="G557" s="31" t="s">
        <v>35</v>
      </c>
      <c r="I557" s="208">
        <v>1</v>
      </c>
      <c r="J557" s="208">
        <v>1</v>
      </c>
      <c r="K557" s="208"/>
      <c r="L557" s="209"/>
      <c r="M557" s="208"/>
      <c r="N557" s="208"/>
      <c r="O557" s="210">
        <v>0</v>
      </c>
      <c r="P557" s="210">
        <v>0</v>
      </c>
      <c r="Q557" s="210">
        <v>1</v>
      </c>
      <c r="R557" s="210">
        <v>0</v>
      </c>
      <c r="X557" s="20">
        <v>1</v>
      </c>
      <c r="Z557" s="20" t="s">
        <v>1850</v>
      </c>
      <c r="AA557" s="20" t="s">
        <v>1863</v>
      </c>
      <c r="AB557" s="31">
        <f>VLOOKUP(AA557,Masters!$K$2:$L$183,2,FALSE)</f>
        <v>1005</v>
      </c>
      <c r="AC557" s="20" t="s">
        <v>2063</v>
      </c>
      <c r="AE557" s="20">
        <v>8</v>
      </c>
      <c r="AF557" s="20">
        <v>6</v>
      </c>
      <c r="AG557" s="20">
        <v>2004</v>
      </c>
      <c r="AH557" s="21">
        <v>38146</v>
      </c>
    </row>
    <row r="558" spans="1:34" x14ac:dyDescent="0.25">
      <c r="A558" s="35">
        <v>1965</v>
      </c>
      <c r="B558" s="20" t="s">
        <v>1840</v>
      </c>
      <c r="C558" s="20" t="s">
        <v>1840</v>
      </c>
      <c r="E558" s="20" t="s">
        <v>2058</v>
      </c>
      <c r="F558" s="20" t="s">
        <v>1845</v>
      </c>
      <c r="G558" s="31" t="s">
        <v>35</v>
      </c>
      <c r="I558" s="208">
        <v>1</v>
      </c>
      <c r="J558" s="208">
        <v>1</v>
      </c>
      <c r="K558" s="208"/>
      <c r="L558" s="209"/>
      <c r="M558" s="208"/>
      <c r="N558" s="208"/>
      <c r="O558" s="210">
        <v>0</v>
      </c>
      <c r="P558" s="210">
        <v>0</v>
      </c>
      <c r="Q558" s="210">
        <v>1</v>
      </c>
      <c r="R558" s="210">
        <v>0</v>
      </c>
      <c r="X558" s="20">
        <v>1</v>
      </c>
      <c r="Z558" s="20" t="s">
        <v>1857</v>
      </c>
      <c r="AA558" s="20" t="s">
        <v>1863</v>
      </c>
      <c r="AB558" s="31">
        <f>VLOOKUP(AA558,Masters!$K$2:$L$183,2,FALSE)</f>
        <v>1005</v>
      </c>
      <c r="AC558" s="20" t="s">
        <v>2063</v>
      </c>
      <c r="AE558" s="20">
        <v>22</v>
      </c>
      <c r="AF558" s="20">
        <v>11</v>
      </c>
      <c r="AG558" s="20">
        <v>2002</v>
      </c>
      <c r="AH558" s="21">
        <v>37582</v>
      </c>
    </row>
    <row r="559" spans="1:34" x14ac:dyDescent="0.25">
      <c r="A559" s="35">
        <v>1966</v>
      </c>
      <c r="B559" s="20" t="s">
        <v>1840</v>
      </c>
      <c r="C559" s="20" t="s">
        <v>1840</v>
      </c>
      <c r="E559" s="20" t="s">
        <v>133</v>
      </c>
      <c r="F559" s="20" t="s">
        <v>1845</v>
      </c>
      <c r="G559" s="31" t="s">
        <v>35</v>
      </c>
      <c r="I559" s="208">
        <v>1</v>
      </c>
      <c r="J559" s="208">
        <v>1</v>
      </c>
      <c r="K559" s="208"/>
      <c r="L559" s="209"/>
      <c r="M559" s="208"/>
      <c r="N559" s="208"/>
      <c r="O559" s="210">
        <v>0</v>
      </c>
      <c r="P559" s="210">
        <v>0</v>
      </c>
      <c r="Q559" s="210">
        <v>1</v>
      </c>
      <c r="R559" s="210">
        <v>0</v>
      </c>
      <c r="X559" s="20">
        <v>1</v>
      </c>
      <c r="Z559" s="20" t="s">
        <v>34</v>
      </c>
      <c r="AA559" s="20" t="s">
        <v>1863</v>
      </c>
      <c r="AB559" s="31">
        <f>VLOOKUP(AA559,Masters!$K$2:$L$183,2,FALSE)</f>
        <v>1005</v>
      </c>
      <c r="AC559" s="20" t="s">
        <v>2063</v>
      </c>
      <c r="AE559" s="20">
        <v>17</v>
      </c>
      <c r="AF559" s="20">
        <v>12</v>
      </c>
      <c r="AG559" s="20">
        <v>2005</v>
      </c>
      <c r="AH559" s="21">
        <v>38703</v>
      </c>
    </row>
    <row r="560" spans="1:34" x14ac:dyDescent="0.25">
      <c r="A560" s="35">
        <v>1967</v>
      </c>
      <c r="B560" s="20" t="s">
        <v>1840</v>
      </c>
      <c r="C560" s="20" t="s">
        <v>1840</v>
      </c>
      <c r="E560" s="20" t="s">
        <v>2053</v>
      </c>
      <c r="F560" s="20" t="s">
        <v>1845</v>
      </c>
      <c r="G560" s="31" t="s">
        <v>35</v>
      </c>
      <c r="I560" s="208">
        <v>1</v>
      </c>
      <c r="J560" s="208">
        <v>1</v>
      </c>
      <c r="K560" s="208"/>
      <c r="L560" s="209"/>
      <c r="M560" s="208"/>
      <c r="N560" s="208"/>
      <c r="O560" s="210">
        <v>0</v>
      </c>
      <c r="P560" s="210">
        <v>0</v>
      </c>
      <c r="Q560" s="210">
        <v>1</v>
      </c>
      <c r="R560" s="210">
        <v>0</v>
      </c>
      <c r="X560" s="20">
        <v>1</v>
      </c>
      <c r="Z560" s="20" t="s">
        <v>100</v>
      </c>
      <c r="AA560" s="20" t="s">
        <v>1862</v>
      </c>
      <c r="AB560" s="31">
        <f>VLOOKUP(AA560,Masters!$K$2:$L$183,2,FALSE)</f>
        <v>1004</v>
      </c>
      <c r="AC560" s="20" t="s">
        <v>2064</v>
      </c>
      <c r="AE560" s="20">
        <v>17</v>
      </c>
      <c r="AF560" s="20">
        <v>9</v>
      </c>
      <c r="AG560" s="20">
        <v>2001</v>
      </c>
      <c r="AH560" s="21">
        <v>37151</v>
      </c>
    </row>
    <row r="561" spans="1:34" x14ac:dyDescent="0.25">
      <c r="A561" s="35">
        <v>1968</v>
      </c>
      <c r="B561" s="20" t="s">
        <v>1840</v>
      </c>
      <c r="C561" s="20" t="s">
        <v>1840</v>
      </c>
      <c r="E561" s="20" t="s">
        <v>126</v>
      </c>
      <c r="F561" s="20" t="s">
        <v>1843</v>
      </c>
      <c r="G561" s="31" t="s">
        <v>35</v>
      </c>
      <c r="I561" s="208">
        <v>1</v>
      </c>
      <c r="J561" s="208">
        <v>1</v>
      </c>
      <c r="K561" s="208"/>
      <c r="L561" s="209"/>
      <c r="M561" s="208"/>
      <c r="N561" s="208"/>
      <c r="O561" s="210">
        <v>0</v>
      </c>
      <c r="P561" s="210">
        <v>0</v>
      </c>
      <c r="Q561" s="210">
        <v>1</v>
      </c>
      <c r="R561" s="210">
        <v>0</v>
      </c>
      <c r="X561" s="20">
        <v>1</v>
      </c>
      <c r="Z561" s="20" t="s">
        <v>1850</v>
      </c>
      <c r="AA561" s="20" t="s">
        <v>1859</v>
      </c>
      <c r="AB561" s="31">
        <f>VLOOKUP(AA561,Masters!$K$2:$L$183,2,FALSE)</f>
        <v>1001</v>
      </c>
      <c r="AC561" s="20" t="s">
        <v>2063</v>
      </c>
      <c r="AE561" s="20">
        <v>26</v>
      </c>
      <c r="AF561" s="20">
        <v>8</v>
      </c>
      <c r="AG561" s="20">
        <v>2001</v>
      </c>
      <c r="AH561" s="21">
        <v>37129</v>
      </c>
    </row>
    <row r="562" spans="1:34" x14ac:dyDescent="0.25">
      <c r="A562" s="35">
        <v>1087</v>
      </c>
      <c r="B562" s="20" t="s">
        <v>1840</v>
      </c>
      <c r="C562" s="20" t="s">
        <v>1840</v>
      </c>
      <c r="D562" s="94" t="s">
        <v>1014</v>
      </c>
      <c r="E562" s="20" t="s">
        <v>126</v>
      </c>
      <c r="F562" s="20" t="s">
        <v>1847</v>
      </c>
      <c r="G562" s="31" t="s">
        <v>40</v>
      </c>
      <c r="H562" s="32">
        <v>1</v>
      </c>
      <c r="J562" s="32">
        <v>1</v>
      </c>
      <c r="O562" s="20">
        <v>0</v>
      </c>
      <c r="P562" s="20">
        <v>1</v>
      </c>
      <c r="Q562" s="20">
        <v>0</v>
      </c>
      <c r="R562" s="20">
        <v>0</v>
      </c>
      <c r="X562" s="20">
        <v>1</v>
      </c>
      <c r="Z562" s="20" t="s">
        <v>1832</v>
      </c>
      <c r="AA562" s="20" t="s">
        <v>1862</v>
      </c>
      <c r="AB562" s="31">
        <f>VLOOKUP(AA562,Masters!$K$2:$L$183,2,FALSE)</f>
        <v>1004</v>
      </c>
      <c r="AC562" s="20" t="s">
        <v>2063</v>
      </c>
      <c r="AD562" s="20" t="s">
        <v>2061</v>
      </c>
      <c r="AE562" s="20">
        <v>7</v>
      </c>
      <c r="AF562" s="20">
        <v>8</v>
      </c>
      <c r="AG562" s="20">
        <v>2003</v>
      </c>
      <c r="AH562" s="21">
        <v>37840</v>
      </c>
    </row>
    <row r="563" spans="1:34" x14ac:dyDescent="0.25">
      <c r="A563" s="35">
        <v>1167</v>
      </c>
      <c r="B563" s="20" t="s">
        <v>1841</v>
      </c>
      <c r="C563" s="20" t="s">
        <v>1841</v>
      </c>
      <c r="D563" s="94" t="s">
        <v>1094</v>
      </c>
      <c r="E563" s="20" t="s">
        <v>2052</v>
      </c>
      <c r="F563" s="20" t="s">
        <v>1846</v>
      </c>
      <c r="G563" s="31" t="s">
        <v>40</v>
      </c>
      <c r="H563" s="32">
        <v>1</v>
      </c>
      <c r="J563" s="32">
        <v>1</v>
      </c>
      <c r="O563" s="20">
        <v>0</v>
      </c>
      <c r="P563" s="20">
        <v>1</v>
      </c>
      <c r="Q563" s="20">
        <v>0</v>
      </c>
      <c r="R563" s="20">
        <v>0</v>
      </c>
      <c r="X563" s="20">
        <v>1</v>
      </c>
      <c r="Z563" s="20" t="s">
        <v>1855</v>
      </c>
      <c r="AA563" s="20" t="s">
        <v>1860</v>
      </c>
      <c r="AB563" s="31">
        <f>VLOOKUP(AA563,Masters!$K$2:$L$183,2,FALSE)</f>
        <v>1002</v>
      </c>
      <c r="AC563" s="20" t="s">
        <v>2063</v>
      </c>
      <c r="AD563" s="20" t="s">
        <v>2061</v>
      </c>
      <c r="AE563" s="20">
        <v>4</v>
      </c>
      <c r="AF563" s="20">
        <v>11</v>
      </c>
      <c r="AG563" s="20">
        <v>2004</v>
      </c>
      <c r="AH563" s="21">
        <v>38295</v>
      </c>
    </row>
    <row r="564" spans="1:34" x14ac:dyDescent="0.25">
      <c r="A564" s="35">
        <v>1236</v>
      </c>
      <c r="B564" s="20" t="s">
        <v>1841</v>
      </c>
      <c r="C564" s="20" t="s">
        <v>1841</v>
      </c>
      <c r="D564" s="94" t="s">
        <v>1163</v>
      </c>
      <c r="E564" s="20" t="s">
        <v>2059</v>
      </c>
      <c r="F564" s="20" t="s">
        <v>1845</v>
      </c>
      <c r="G564" s="31" t="s">
        <v>40</v>
      </c>
      <c r="H564" s="32">
        <v>1</v>
      </c>
      <c r="J564" s="32">
        <v>1</v>
      </c>
      <c r="O564" s="20">
        <v>0</v>
      </c>
      <c r="P564" s="20">
        <v>1</v>
      </c>
      <c r="Q564" s="20">
        <v>0</v>
      </c>
      <c r="R564" s="20">
        <v>0</v>
      </c>
      <c r="X564" s="20">
        <v>1</v>
      </c>
      <c r="Z564" s="20" t="s">
        <v>1856</v>
      </c>
      <c r="AA564" s="20" t="s">
        <v>1860</v>
      </c>
      <c r="AB564" s="31">
        <f>VLOOKUP(AA564,Masters!$K$2:$L$183,2,FALSE)</f>
        <v>1002</v>
      </c>
      <c r="AC564" s="20" t="s">
        <v>2064</v>
      </c>
      <c r="AD564" s="20" t="s">
        <v>2061</v>
      </c>
      <c r="AE564" s="20">
        <v>5</v>
      </c>
      <c r="AF564" s="20">
        <v>7</v>
      </c>
      <c r="AG564" s="20">
        <v>2005</v>
      </c>
      <c r="AH564" s="21">
        <v>38538</v>
      </c>
    </row>
    <row r="565" spans="1:34" x14ac:dyDescent="0.25">
      <c r="A565" s="35">
        <v>1357</v>
      </c>
      <c r="B565" s="20" t="s">
        <v>1841</v>
      </c>
      <c r="C565" s="20" t="s">
        <v>1841</v>
      </c>
      <c r="D565" s="94" t="s">
        <v>1284</v>
      </c>
      <c r="E565" s="20" t="s">
        <v>2056</v>
      </c>
      <c r="F565" s="20" t="s">
        <v>1843</v>
      </c>
      <c r="G565" s="31" t="s">
        <v>40</v>
      </c>
      <c r="H565" s="32">
        <v>1</v>
      </c>
      <c r="J565" s="32">
        <v>1</v>
      </c>
      <c r="O565" s="20">
        <v>0</v>
      </c>
      <c r="P565" s="20">
        <v>1</v>
      </c>
      <c r="Q565" s="20">
        <v>0</v>
      </c>
      <c r="R565" s="20">
        <v>0</v>
      </c>
      <c r="X565" s="20">
        <v>1</v>
      </c>
      <c r="Z565" s="20" t="s">
        <v>1856</v>
      </c>
      <c r="AA565" s="20" t="s">
        <v>1860</v>
      </c>
      <c r="AB565" s="31">
        <f>VLOOKUP(AA565,Masters!$K$2:$L$183,2,FALSE)</f>
        <v>1002</v>
      </c>
      <c r="AC565" s="20" t="s">
        <v>2063</v>
      </c>
      <c r="AD565" s="20" t="s">
        <v>2060</v>
      </c>
      <c r="AE565" s="20">
        <v>25</v>
      </c>
      <c r="AF565" s="20">
        <v>10</v>
      </c>
      <c r="AG565" s="20">
        <v>2003</v>
      </c>
      <c r="AH565" s="21">
        <v>37919</v>
      </c>
    </row>
    <row r="566" spans="1:34" x14ac:dyDescent="0.25">
      <c r="A566" s="35">
        <v>1395</v>
      </c>
      <c r="B566" s="20" t="s">
        <v>1841</v>
      </c>
      <c r="C566" s="20" t="s">
        <v>1841</v>
      </c>
      <c r="D566" s="94" t="s">
        <v>1322</v>
      </c>
      <c r="E566" s="20" t="s">
        <v>2051</v>
      </c>
      <c r="F566" s="20" t="s">
        <v>1847</v>
      </c>
      <c r="G566" s="31" t="s">
        <v>40</v>
      </c>
      <c r="H566" s="32">
        <v>1</v>
      </c>
      <c r="J566" s="32">
        <v>1</v>
      </c>
      <c r="O566" s="20">
        <v>0</v>
      </c>
      <c r="P566" s="20">
        <v>1</v>
      </c>
      <c r="Q566" s="20">
        <v>0</v>
      </c>
      <c r="R566" s="20">
        <v>0</v>
      </c>
      <c r="X566" s="20">
        <v>1</v>
      </c>
      <c r="Z566" s="20" t="s">
        <v>1855</v>
      </c>
      <c r="AA566" s="20" t="s">
        <v>1863</v>
      </c>
      <c r="AB566" s="31">
        <f>VLOOKUP(AA566,Masters!$K$2:$L$183,2,FALSE)</f>
        <v>1005</v>
      </c>
      <c r="AC566" s="20" t="s">
        <v>2063</v>
      </c>
      <c r="AD566" s="20" t="s">
        <v>2060</v>
      </c>
      <c r="AE566" s="20">
        <v>9</v>
      </c>
      <c r="AF566" s="20">
        <v>12</v>
      </c>
      <c r="AG566" s="20">
        <v>2003</v>
      </c>
      <c r="AH566" s="21">
        <v>37964</v>
      </c>
    </row>
    <row r="567" spans="1:34" x14ac:dyDescent="0.25">
      <c r="A567" s="35">
        <v>1479</v>
      </c>
      <c r="B567" s="20" t="s">
        <v>1841</v>
      </c>
      <c r="C567" s="20" t="s">
        <v>1841</v>
      </c>
      <c r="D567" s="94" t="s">
        <v>1406</v>
      </c>
      <c r="E567" s="20" t="s">
        <v>2051</v>
      </c>
      <c r="F567" s="20" t="s">
        <v>1846</v>
      </c>
      <c r="G567" s="31" t="s">
        <v>40</v>
      </c>
      <c r="H567" s="32">
        <v>1</v>
      </c>
      <c r="I567" s="32" t="s">
        <v>263</v>
      </c>
      <c r="J567" s="32">
        <v>1</v>
      </c>
      <c r="K567" s="33" t="s">
        <v>263</v>
      </c>
      <c r="L567" s="34" t="s">
        <v>263</v>
      </c>
      <c r="M567" s="32" t="s">
        <v>263</v>
      </c>
      <c r="N567" s="32" t="s">
        <v>263</v>
      </c>
      <c r="O567" s="20" t="s">
        <v>265</v>
      </c>
      <c r="P567" s="20" t="s">
        <v>264</v>
      </c>
      <c r="Q567" s="20" t="s">
        <v>265</v>
      </c>
      <c r="R567" s="20" t="s">
        <v>265</v>
      </c>
      <c r="S567" s="20" t="s">
        <v>263</v>
      </c>
      <c r="T567" s="20" t="s">
        <v>263</v>
      </c>
      <c r="U567" s="20" t="s">
        <v>263</v>
      </c>
      <c r="V567" s="20" t="s">
        <v>181</v>
      </c>
      <c r="X567" s="20" t="s">
        <v>264</v>
      </c>
      <c r="Y567" s="20" t="s">
        <v>263</v>
      </c>
      <c r="Z567" s="20" t="s">
        <v>1852</v>
      </c>
      <c r="AA567" s="20" t="s">
        <v>1863</v>
      </c>
      <c r="AB567" s="31">
        <f>VLOOKUP(AA567,Masters!$K$2:$L$183,2,FALSE)</f>
        <v>1005</v>
      </c>
      <c r="AC567" s="20" t="s">
        <v>2063</v>
      </c>
      <c r="AD567" s="20" t="s">
        <v>2060</v>
      </c>
      <c r="AE567" s="20">
        <v>1</v>
      </c>
      <c r="AF567" s="20">
        <v>3</v>
      </c>
      <c r="AG567" s="20">
        <v>2005</v>
      </c>
      <c r="AH567" s="21">
        <v>38412</v>
      </c>
    </row>
    <row r="568" spans="1:34" x14ac:dyDescent="0.25">
      <c r="A568" s="35">
        <v>1497</v>
      </c>
      <c r="B568" s="20" t="s">
        <v>1841</v>
      </c>
      <c r="C568" s="20" t="s">
        <v>1841</v>
      </c>
      <c r="D568" s="94" t="s">
        <v>1424</v>
      </c>
      <c r="E568" s="20" t="s">
        <v>2052</v>
      </c>
      <c r="F568" s="20" t="s">
        <v>1846</v>
      </c>
      <c r="G568" s="31" t="s">
        <v>40</v>
      </c>
      <c r="H568" s="32">
        <v>1</v>
      </c>
      <c r="J568" s="32">
        <v>1</v>
      </c>
      <c r="O568" s="20">
        <v>0</v>
      </c>
      <c r="P568" s="20">
        <v>1</v>
      </c>
      <c r="Q568" s="20">
        <v>0</v>
      </c>
      <c r="R568" s="20">
        <v>0</v>
      </c>
      <c r="X568" s="20">
        <v>1</v>
      </c>
      <c r="Z568" s="20" t="s">
        <v>1858</v>
      </c>
      <c r="AA568" s="20" t="s">
        <v>1862</v>
      </c>
      <c r="AB568" s="31">
        <f>VLOOKUP(AA568,Masters!$K$2:$L$183,2,FALSE)</f>
        <v>1004</v>
      </c>
      <c r="AC568" s="20" t="s">
        <v>2063</v>
      </c>
      <c r="AD568" s="20" t="s">
        <v>2060</v>
      </c>
      <c r="AE568" s="20">
        <v>13</v>
      </c>
      <c r="AF568" s="20">
        <v>2</v>
      </c>
      <c r="AG568" s="20">
        <v>2001</v>
      </c>
      <c r="AH568" s="21">
        <v>36935</v>
      </c>
    </row>
    <row r="569" spans="1:34" x14ac:dyDescent="0.25">
      <c r="A569" s="35">
        <v>1534</v>
      </c>
      <c r="B569" s="20" t="s">
        <v>1841</v>
      </c>
      <c r="C569" s="20" t="s">
        <v>1841</v>
      </c>
      <c r="D569" s="94" t="s">
        <v>1461</v>
      </c>
      <c r="E569" s="20" t="s">
        <v>2054</v>
      </c>
      <c r="F569" s="20" t="s">
        <v>1843</v>
      </c>
      <c r="G569" s="31" t="s">
        <v>40</v>
      </c>
      <c r="H569" s="32">
        <v>1</v>
      </c>
      <c r="J569" s="32">
        <v>1</v>
      </c>
      <c r="O569" s="20">
        <v>0</v>
      </c>
      <c r="P569" s="20">
        <v>1</v>
      </c>
      <c r="Q569" s="20">
        <v>0</v>
      </c>
      <c r="R569" s="20">
        <v>0</v>
      </c>
      <c r="X569" s="20">
        <v>1</v>
      </c>
      <c r="Z569" s="20" t="s">
        <v>1849</v>
      </c>
      <c r="AA569" s="20" t="s">
        <v>1862</v>
      </c>
      <c r="AB569" s="31">
        <f>VLOOKUP(AA569,Masters!$K$2:$L$183,2,FALSE)</f>
        <v>1004</v>
      </c>
      <c r="AC569" s="20" t="s">
        <v>2063</v>
      </c>
      <c r="AD569" s="20" t="s">
        <v>2060</v>
      </c>
      <c r="AE569" s="20">
        <v>24</v>
      </c>
      <c r="AF569" s="20">
        <v>1</v>
      </c>
      <c r="AG569" s="20">
        <v>2002</v>
      </c>
      <c r="AH569" s="21">
        <v>37280</v>
      </c>
    </row>
    <row r="570" spans="1:34" x14ac:dyDescent="0.25">
      <c r="A570" s="35">
        <v>1535</v>
      </c>
      <c r="B570" s="20" t="s">
        <v>1841</v>
      </c>
      <c r="C570" s="20" t="s">
        <v>1841</v>
      </c>
      <c r="D570" s="94" t="s">
        <v>1462</v>
      </c>
      <c r="E570" s="20" t="s">
        <v>2057</v>
      </c>
      <c r="F570" s="20" t="s">
        <v>1844</v>
      </c>
      <c r="G570" s="31" t="s">
        <v>40</v>
      </c>
      <c r="H570" s="32">
        <v>1</v>
      </c>
      <c r="J570" s="32">
        <v>1</v>
      </c>
      <c r="O570" s="20">
        <v>0</v>
      </c>
      <c r="P570" s="20">
        <v>1</v>
      </c>
      <c r="Q570" s="20">
        <v>0</v>
      </c>
      <c r="R570" s="20">
        <v>0</v>
      </c>
      <c r="X570" s="20">
        <v>1</v>
      </c>
      <c r="Z570" s="20" t="s">
        <v>1851</v>
      </c>
      <c r="AA570" s="20" t="s">
        <v>1863</v>
      </c>
      <c r="AB570" s="31">
        <f>VLOOKUP(AA570,Masters!$K$2:$L$183,2,FALSE)</f>
        <v>1005</v>
      </c>
      <c r="AC570" s="20" t="s">
        <v>2063</v>
      </c>
      <c r="AD570" s="20" t="s">
        <v>2060</v>
      </c>
      <c r="AE570" s="20">
        <v>24</v>
      </c>
      <c r="AF570" s="20">
        <v>12</v>
      </c>
      <c r="AG570" s="20">
        <v>2000</v>
      </c>
      <c r="AH570" s="21">
        <v>36884</v>
      </c>
    </row>
    <row r="571" spans="1:34" x14ac:dyDescent="0.25">
      <c r="A571" s="35">
        <v>1583</v>
      </c>
      <c r="B571" s="20" t="s">
        <v>1841</v>
      </c>
      <c r="C571" s="20" t="s">
        <v>1841</v>
      </c>
      <c r="D571" s="94" t="s">
        <v>1510</v>
      </c>
      <c r="E571" s="20" t="s">
        <v>2059</v>
      </c>
      <c r="F571" s="20" t="s">
        <v>1844</v>
      </c>
      <c r="G571" s="31" t="s">
        <v>40</v>
      </c>
      <c r="H571" s="32">
        <v>1</v>
      </c>
      <c r="J571" s="32">
        <v>1</v>
      </c>
      <c r="O571" s="20">
        <v>0</v>
      </c>
      <c r="P571" s="20">
        <v>1</v>
      </c>
      <c r="Q571" s="20">
        <v>0</v>
      </c>
      <c r="R571" s="20">
        <v>0</v>
      </c>
      <c r="X571" s="20">
        <v>1</v>
      </c>
      <c r="Z571" s="20" t="s">
        <v>1856</v>
      </c>
      <c r="AA571" s="20" t="s">
        <v>1861</v>
      </c>
      <c r="AB571" s="31">
        <f>VLOOKUP(AA571,Masters!$K$2:$L$183,2,FALSE)</f>
        <v>1003</v>
      </c>
      <c r="AC571" s="20" t="s">
        <v>2063</v>
      </c>
      <c r="AD571" s="20" t="s">
        <v>2060</v>
      </c>
      <c r="AE571" s="20">
        <v>1</v>
      </c>
      <c r="AF571" s="20">
        <v>8</v>
      </c>
      <c r="AG571" s="20">
        <v>2004</v>
      </c>
      <c r="AH571" s="21">
        <v>38200</v>
      </c>
    </row>
    <row r="572" spans="1:34" x14ac:dyDescent="0.25">
      <c r="A572" s="35">
        <v>1607</v>
      </c>
      <c r="B572" s="20" t="s">
        <v>1841</v>
      </c>
      <c r="C572" s="20" t="s">
        <v>1841</v>
      </c>
      <c r="D572" s="94" t="s">
        <v>1534</v>
      </c>
      <c r="E572" s="20" t="s">
        <v>2059</v>
      </c>
      <c r="F572" s="20" t="s">
        <v>1843</v>
      </c>
      <c r="G572" s="31" t="s">
        <v>40</v>
      </c>
      <c r="H572" s="32">
        <v>1</v>
      </c>
      <c r="J572" s="32">
        <v>1</v>
      </c>
      <c r="O572" s="20">
        <v>0</v>
      </c>
      <c r="P572" s="20">
        <v>1</v>
      </c>
      <c r="Q572" s="20">
        <v>0</v>
      </c>
      <c r="R572" s="20">
        <v>0</v>
      </c>
      <c r="X572" s="20">
        <v>1</v>
      </c>
      <c r="Z572" s="20" t="s">
        <v>201</v>
      </c>
      <c r="AA572" s="20" t="s">
        <v>1861</v>
      </c>
      <c r="AB572" s="31">
        <f>VLOOKUP(AA572,Masters!$K$2:$L$183,2,FALSE)</f>
        <v>1003</v>
      </c>
      <c r="AC572" s="20" t="s">
        <v>2063</v>
      </c>
      <c r="AD572" s="20" t="s">
        <v>2060</v>
      </c>
      <c r="AE572" s="20">
        <v>16</v>
      </c>
      <c r="AF572" s="20">
        <v>6</v>
      </c>
      <c r="AG572" s="20">
        <v>2002</v>
      </c>
      <c r="AH572" s="21">
        <v>37423</v>
      </c>
    </row>
    <row r="573" spans="1:34" x14ac:dyDescent="0.25">
      <c r="A573" s="35">
        <v>1623</v>
      </c>
      <c r="B573" s="20" t="s">
        <v>1841</v>
      </c>
      <c r="C573" s="20" t="s">
        <v>1841</v>
      </c>
      <c r="D573" s="94" t="s">
        <v>1550</v>
      </c>
      <c r="E573" s="20" t="s">
        <v>2054</v>
      </c>
      <c r="F573" s="20" t="s">
        <v>1843</v>
      </c>
      <c r="G573" s="31" t="s">
        <v>40</v>
      </c>
      <c r="H573" s="32">
        <v>1</v>
      </c>
      <c r="J573" s="32">
        <v>1</v>
      </c>
      <c r="O573" s="20">
        <v>0</v>
      </c>
      <c r="P573" s="20">
        <v>1</v>
      </c>
      <c r="Q573" s="20">
        <v>0</v>
      </c>
      <c r="R573" s="20">
        <v>0</v>
      </c>
      <c r="X573" s="20">
        <v>1</v>
      </c>
      <c r="Z573" s="20" t="s">
        <v>1850</v>
      </c>
      <c r="AA573" s="20" t="s">
        <v>1859</v>
      </c>
      <c r="AB573" s="31">
        <f>VLOOKUP(AA573,Masters!$K$2:$L$183,2,FALSE)</f>
        <v>1001</v>
      </c>
      <c r="AC573" s="20" t="s">
        <v>2063</v>
      </c>
      <c r="AD573" s="20" t="s">
        <v>2061</v>
      </c>
      <c r="AE573" s="20">
        <v>19</v>
      </c>
      <c r="AF573" s="20">
        <v>12</v>
      </c>
      <c r="AG573" s="20">
        <v>2001</v>
      </c>
      <c r="AH573" s="21">
        <v>37244</v>
      </c>
    </row>
    <row r="574" spans="1:34" x14ac:dyDescent="0.25">
      <c r="A574" s="35">
        <v>1671</v>
      </c>
      <c r="B574" s="20" t="s">
        <v>1841</v>
      </c>
      <c r="C574" s="20" t="s">
        <v>1841</v>
      </c>
      <c r="D574" s="94" t="s">
        <v>1598</v>
      </c>
      <c r="E574" s="20" t="s">
        <v>2056</v>
      </c>
      <c r="F574" s="20" t="s">
        <v>1845</v>
      </c>
      <c r="G574" s="31" t="s">
        <v>40</v>
      </c>
      <c r="H574" s="32">
        <v>1</v>
      </c>
      <c r="J574" s="32">
        <v>1</v>
      </c>
      <c r="O574" s="20">
        <v>0</v>
      </c>
      <c r="P574" s="20">
        <v>1</v>
      </c>
      <c r="Q574" s="20">
        <v>0</v>
      </c>
      <c r="R574" s="20">
        <v>0</v>
      </c>
      <c r="X574" s="20">
        <v>1</v>
      </c>
      <c r="Z574" s="20" t="s">
        <v>58</v>
      </c>
      <c r="AA574" s="20" t="s">
        <v>1861</v>
      </c>
      <c r="AB574" s="31">
        <f>VLOOKUP(AA574,Masters!$K$2:$L$183,2,FALSE)</f>
        <v>1003</v>
      </c>
      <c r="AC574" s="20" t="s">
        <v>2063</v>
      </c>
      <c r="AD574" s="20" t="s">
        <v>2060</v>
      </c>
      <c r="AE574" s="20">
        <v>16</v>
      </c>
      <c r="AF574" s="20">
        <v>9</v>
      </c>
      <c r="AG574" s="20">
        <v>2005</v>
      </c>
      <c r="AH574" s="21">
        <v>38611</v>
      </c>
    </row>
    <row r="575" spans="1:34" x14ac:dyDescent="0.25">
      <c r="A575" s="35">
        <v>1679</v>
      </c>
      <c r="B575" s="20" t="s">
        <v>1841</v>
      </c>
      <c r="C575" s="20" t="s">
        <v>1841</v>
      </c>
      <c r="D575" s="94" t="s">
        <v>1606</v>
      </c>
      <c r="E575" s="20" t="s">
        <v>135</v>
      </c>
      <c r="F575" s="20" t="s">
        <v>1843</v>
      </c>
      <c r="G575" s="31" t="s">
        <v>40</v>
      </c>
      <c r="H575" s="32">
        <v>1</v>
      </c>
      <c r="J575" s="32">
        <v>1</v>
      </c>
      <c r="O575" s="20">
        <v>0</v>
      </c>
      <c r="P575" s="20">
        <v>1</v>
      </c>
      <c r="Q575" s="20">
        <v>0</v>
      </c>
      <c r="R575" s="20">
        <v>0</v>
      </c>
      <c r="X575" s="20">
        <v>1</v>
      </c>
      <c r="Z575" s="20" t="s">
        <v>1849</v>
      </c>
      <c r="AA575" s="20" t="s">
        <v>1859</v>
      </c>
      <c r="AB575" s="31">
        <f>VLOOKUP(AA575,Masters!$K$2:$L$183,2,FALSE)</f>
        <v>1001</v>
      </c>
      <c r="AC575" s="20" t="s">
        <v>2064</v>
      </c>
      <c r="AD575" s="20" t="s">
        <v>2061</v>
      </c>
      <c r="AE575" s="20">
        <v>26</v>
      </c>
      <c r="AF575" s="20">
        <v>5</v>
      </c>
      <c r="AG575" s="20">
        <v>2002</v>
      </c>
      <c r="AH575" s="21">
        <v>37402</v>
      </c>
    </row>
    <row r="576" spans="1:34" x14ac:dyDescent="0.25">
      <c r="A576" s="35">
        <v>1758</v>
      </c>
      <c r="B576" s="20" t="s">
        <v>1841</v>
      </c>
      <c r="C576" s="20" t="s">
        <v>1841</v>
      </c>
      <c r="D576" s="94" t="s">
        <v>1685</v>
      </c>
      <c r="E576" s="20" t="s">
        <v>126</v>
      </c>
      <c r="F576" s="20" t="s">
        <v>1845</v>
      </c>
      <c r="G576" s="31" t="s">
        <v>40</v>
      </c>
      <c r="H576" s="32">
        <v>1</v>
      </c>
      <c r="J576" s="32">
        <v>1</v>
      </c>
      <c r="O576" s="20">
        <v>0</v>
      </c>
      <c r="P576" s="20">
        <v>1</v>
      </c>
      <c r="Q576" s="20">
        <v>0</v>
      </c>
      <c r="R576" s="20">
        <v>0</v>
      </c>
      <c r="X576" s="20">
        <v>1</v>
      </c>
      <c r="Z576" s="20" t="s">
        <v>1853</v>
      </c>
      <c r="AA576" s="20" t="s">
        <v>1862</v>
      </c>
      <c r="AB576" s="31">
        <f>VLOOKUP(AA576,Masters!$K$2:$L$183,2,FALSE)</f>
        <v>1004</v>
      </c>
      <c r="AC576" s="20" t="s">
        <v>2063</v>
      </c>
      <c r="AD576" s="20" t="s">
        <v>2060</v>
      </c>
      <c r="AE576" s="20">
        <v>25</v>
      </c>
      <c r="AF576" s="20">
        <v>11</v>
      </c>
      <c r="AG576" s="20">
        <v>2004</v>
      </c>
      <c r="AH576" s="21">
        <v>38316</v>
      </c>
    </row>
    <row r="577" spans="1:34" x14ac:dyDescent="0.25">
      <c r="A577" s="35">
        <v>1803</v>
      </c>
      <c r="B577" s="20" t="s">
        <v>1841</v>
      </c>
      <c r="C577" s="20" t="s">
        <v>1841</v>
      </c>
      <c r="D577" s="94" t="s">
        <v>1730</v>
      </c>
      <c r="E577" s="20" t="s">
        <v>2057</v>
      </c>
      <c r="F577" s="20" t="s">
        <v>1843</v>
      </c>
      <c r="G577" s="31" t="s">
        <v>40</v>
      </c>
      <c r="H577" s="32">
        <v>1</v>
      </c>
      <c r="J577" s="32">
        <v>1</v>
      </c>
      <c r="O577" s="20">
        <v>0</v>
      </c>
      <c r="P577" s="20">
        <v>1</v>
      </c>
      <c r="Q577" s="20">
        <v>0</v>
      </c>
      <c r="R577" s="20">
        <v>0</v>
      </c>
      <c r="X577" s="20">
        <v>1</v>
      </c>
      <c r="Z577" s="20" t="s">
        <v>201</v>
      </c>
      <c r="AA577" s="20" t="s">
        <v>1861</v>
      </c>
      <c r="AB577" s="31">
        <f>VLOOKUP(AA577,Masters!$K$2:$L$183,2,FALSE)</f>
        <v>1003</v>
      </c>
      <c r="AC577" s="20" t="s">
        <v>2063</v>
      </c>
      <c r="AD577" s="20" t="s">
        <v>2060</v>
      </c>
      <c r="AE577" s="20">
        <v>7</v>
      </c>
      <c r="AF577" s="20">
        <v>3</v>
      </c>
      <c r="AG577" s="20">
        <v>2002</v>
      </c>
      <c r="AH577" s="21">
        <v>37322</v>
      </c>
    </row>
    <row r="578" spans="1:34" x14ac:dyDescent="0.25">
      <c r="A578" s="35">
        <v>1820</v>
      </c>
      <c r="B578" s="20" t="s">
        <v>1841</v>
      </c>
      <c r="C578" s="20" t="s">
        <v>1841</v>
      </c>
      <c r="D578" s="94" t="s">
        <v>1747</v>
      </c>
      <c r="E578" s="20" t="s">
        <v>2053</v>
      </c>
      <c r="F578" s="20" t="s">
        <v>1844</v>
      </c>
      <c r="G578" s="31" t="s">
        <v>40</v>
      </c>
      <c r="H578" s="32">
        <v>1</v>
      </c>
      <c r="J578" s="32">
        <v>1</v>
      </c>
      <c r="O578" s="20">
        <v>0</v>
      </c>
      <c r="P578" s="20">
        <v>1</v>
      </c>
      <c r="Q578" s="20">
        <v>0</v>
      </c>
      <c r="R578" s="20">
        <v>0</v>
      </c>
      <c r="X578" s="20">
        <v>1</v>
      </c>
      <c r="Z578" s="20" t="s">
        <v>100</v>
      </c>
      <c r="AA578" s="20" t="s">
        <v>1860</v>
      </c>
      <c r="AB578" s="31">
        <f>VLOOKUP(AA578,Masters!$K$2:$L$183,2,FALSE)</f>
        <v>1002</v>
      </c>
      <c r="AC578" s="20" t="s">
        <v>2063</v>
      </c>
      <c r="AD578" s="20" t="s">
        <v>2060</v>
      </c>
      <c r="AE578" s="20">
        <v>16</v>
      </c>
      <c r="AF578" s="20">
        <v>5</v>
      </c>
      <c r="AG578" s="20">
        <v>2004</v>
      </c>
      <c r="AH578" s="21">
        <v>38123</v>
      </c>
    </row>
    <row r="579" spans="1:34" x14ac:dyDescent="0.25">
      <c r="A579" s="35">
        <v>1897</v>
      </c>
      <c r="B579" s="20" t="s">
        <v>1841</v>
      </c>
      <c r="C579" s="20" t="s">
        <v>1841</v>
      </c>
      <c r="D579" s="94" t="s">
        <v>1824</v>
      </c>
      <c r="E579" s="20" t="s">
        <v>126</v>
      </c>
      <c r="F579" s="20" t="s">
        <v>1843</v>
      </c>
      <c r="G579" s="31" t="s">
        <v>40</v>
      </c>
      <c r="H579" s="32" t="s">
        <v>264</v>
      </c>
      <c r="I579" s="32" t="s">
        <v>263</v>
      </c>
      <c r="J579" s="32">
        <v>1</v>
      </c>
      <c r="K579" s="33" t="s">
        <v>263</v>
      </c>
      <c r="L579" s="34" t="s">
        <v>263</v>
      </c>
      <c r="M579" s="32" t="s">
        <v>263</v>
      </c>
      <c r="N579" s="32" t="s">
        <v>263</v>
      </c>
      <c r="O579" s="20" t="s">
        <v>265</v>
      </c>
      <c r="P579" s="20" t="s">
        <v>264</v>
      </c>
      <c r="Q579" s="20" t="s">
        <v>265</v>
      </c>
      <c r="R579" s="20" t="s">
        <v>265</v>
      </c>
      <c r="S579" s="20" t="s">
        <v>263</v>
      </c>
      <c r="T579" s="20" t="s">
        <v>263</v>
      </c>
      <c r="U579" s="20" t="s">
        <v>263</v>
      </c>
      <c r="V579" s="20" t="s">
        <v>263</v>
      </c>
      <c r="X579" s="20" t="s">
        <v>264</v>
      </c>
      <c r="Y579" s="20" t="s">
        <v>263</v>
      </c>
      <c r="Z579" s="20" t="s">
        <v>1832</v>
      </c>
      <c r="AA579" s="20" t="s">
        <v>1860</v>
      </c>
      <c r="AB579" s="31">
        <f>VLOOKUP(AA579,Masters!$K$2:$L$183,2,FALSE)</f>
        <v>1002</v>
      </c>
      <c r="AC579" s="20" t="s">
        <v>2063</v>
      </c>
      <c r="AD579" s="20" t="s">
        <v>2061</v>
      </c>
      <c r="AE579" s="20">
        <v>7</v>
      </c>
      <c r="AF579" s="20">
        <v>8</v>
      </c>
      <c r="AG579" s="20">
        <v>2005</v>
      </c>
      <c r="AH579" s="21">
        <v>38571</v>
      </c>
    </row>
    <row r="580" spans="1:34" x14ac:dyDescent="0.25">
      <c r="A580" s="35">
        <v>1929</v>
      </c>
      <c r="B580" s="20" t="s">
        <v>1841</v>
      </c>
      <c r="C580" s="20" t="s">
        <v>1841</v>
      </c>
      <c r="E580" s="20" t="s">
        <v>2057</v>
      </c>
      <c r="F580" s="20" t="s">
        <v>1843</v>
      </c>
      <c r="G580" s="31" t="s">
        <v>35</v>
      </c>
      <c r="I580" s="208">
        <v>1</v>
      </c>
      <c r="J580" s="208">
        <v>1</v>
      </c>
      <c r="K580" s="208"/>
      <c r="L580" s="209"/>
      <c r="M580" s="208"/>
      <c r="N580" s="208"/>
      <c r="O580" s="210">
        <v>0</v>
      </c>
      <c r="P580" s="210">
        <v>0</v>
      </c>
      <c r="Q580" s="210">
        <v>1</v>
      </c>
      <c r="R580" s="210">
        <v>0</v>
      </c>
      <c r="X580" s="20">
        <v>1</v>
      </c>
      <c r="Z580" s="20" t="s">
        <v>78</v>
      </c>
      <c r="AA580" s="20" t="s">
        <v>1860</v>
      </c>
      <c r="AB580" s="31">
        <f>VLOOKUP(AA580,Masters!$K$2:$L$183,2,FALSE)</f>
        <v>1002</v>
      </c>
      <c r="AC580" s="20" t="s">
        <v>2063</v>
      </c>
      <c r="AE580" s="20">
        <v>24</v>
      </c>
      <c r="AF580" s="20">
        <v>6</v>
      </c>
      <c r="AG580" s="20">
        <v>2002</v>
      </c>
      <c r="AH580" s="21">
        <v>37431</v>
      </c>
    </row>
    <row r="581" spans="1:34" x14ac:dyDescent="0.25">
      <c r="A581" s="35">
        <v>1930</v>
      </c>
      <c r="B581" s="20" t="s">
        <v>1841</v>
      </c>
      <c r="C581" s="20" t="s">
        <v>1841</v>
      </c>
      <c r="E581" s="20" t="s">
        <v>135</v>
      </c>
      <c r="F581" s="20" t="s">
        <v>1845</v>
      </c>
      <c r="G581" s="31" t="s">
        <v>35</v>
      </c>
      <c r="I581" s="208">
        <v>1</v>
      </c>
      <c r="J581" s="208">
        <v>1</v>
      </c>
      <c r="K581" s="208"/>
      <c r="L581" s="209"/>
      <c r="M581" s="208"/>
      <c r="N581" s="208"/>
      <c r="O581" s="210">
        <v>0</v>
      </c>
      <c r="P581" s="210">
        <v>0</v>
      </c>
      <c r="Q581" s="210">
        <v>1</v>
      </c>
      <c r="R581" s="210">
        <v>0</v>
      </c>
      <c r="S581" s="20" t="s">
        <v>180</v>
      </c>
      <c r="T581" s="20" t="s">
        <v>36</v>
      </c>
      <c r="V581" s="20" t="s">
        <v>199</v>
      </c>
      <c r="X581" s="20">
        <v>1</v>
      </c>
      <c r="Z581" s="20" t="s">
        <v>1857</v>
      </c>
      <c r="AA581" s="20" t="s">
        <v>1859</v>
      </c>
      <c r="AB581" s="31">
        <f>VLOOKUP(AA581,Masters!$K$2:$L$183,2,FALSE)</f>
        <v>1001</v>
      </c>
      <c r="AC581" s="20" t="s">
        <v>2063</v>
      </c>
      <c r="AE581" s="20">
        <v>17</v>
      </c>
      <c r="AF581" s="20">
        <v>1</v>
      </c>
      <c r="AG581" s="20">
        <v>2005</v>
      </c>
      <c r="AH581" s="21">
        <v>38369</v>
      </c>
    </row>
    <row r="582" spans="1:34" x14ac:dyDescent="0.25">
      <c r="A582" s="35">
        <v>1942</v>
      </c>
      <c r="B582" s="20" t="s">
        <v>1841</v>
      </c>
      <c r="C582" s="20" t="s">
        <v>1841</v>
      </c>
      <c r="E582" s="20" t="s">
        <v>2059</v>
      </c>
      <c r="F582" s="20" t="s">
        <v>1845</v>
      </c>
      <c r="G582" s="31" t="s">
        <v>35</v>
      </c>
      <c r="I582" s="208">
        <v>1</v>
      </c>
      <c r="J582" s="208">
        <v>1</v>
      </c>
      <c r="K582" s="208"/>
      <c r="L582" s="209"/>
      <c r="M582" s="208"/>
      <c r="N582" s="208"/>
      <c r="O582" s="210">
        <v>0</v>
      </c>
      <c r="P582" s="210">
        <v>0</v>
      </c>
      <c r="Q582" s="210">
        <v>1</v>
      </c>
      <c r="R582" s="210">
        <v>0</v>
      </c>
      <c r="X582" s="20">
        <v>1</v>
      </c>
      <c r="Z582" s="20" t="s">
        <v>1851</v>
      </c>
      <c r="AA582" s="20" t="s">
        <v>1862</v>
      </c>
      <c r="AB582" s="31">
        <f>VLOOKUP(AA582,Masters!$K$2:$L$183,2,FALSE)</f>
        <v>1004</v>
      </c>
      <c r="AC582" s="20" t="s">
        <v>2063</v>
      </c>
      <c r="AE582" s="20">
        <v>21</v>
      </c>
      <c r="AF582" s="20">
        <v>7</v>
      </c>
      <c r="AG582" s="20">
        <v>2004</v>
      </c>
      <c r="AH582" s="21">
        <v>38189</v>
      </c>
    </row>
    <row r="583" spans="1:34" x14ac:dyDescent="0.25">
      <c r="A583" s="35">
        <v>1969</v>
      </c>
      <c r="B583" s="20" t="s">
        <v>1841</v>
      </c>
      <c r="C583" s="20" t="s">
        <v>1841</v>
      </c>
      <c r="E583" s="20" t="s">
        <v>2057</v>
      </c>
      <c r="F583" s="20" t="s">
        <v>1847</v>
      </c>
      <c r="G583" s="31" t="s">
        <v>35</v>
      </c>
      <c r="I583" s="208">
        <v>1</v>
      </c>
      <c r="J583" s="208">
        <v>1</v>
      </c>
      <c r="K583" s="208"/>
      <c r="L583" s="209"/>
      <c r="M583" s="208"/>
      <c r="N583" s="208"/>
      <c r="O583" s="210">
        <v>0</v>
      </c>
      <c r="P583" s="210">
        <v>0</v>
      </c>
      <c r="Q583" s="210">
        <v>1</v>
      </c>
      <c r="R583" s="210">
        <v>0</v>
      </c>
      <c r="X583" s="20">
        <v>1</v>
      </c>
      <c r="Z583" s="20" t="s">
        <v>34</v>
      </c>
      <c r="AA583" s="20" t="s">
        <v>1862</v>
      </c>
      <c r="AB583" s="31">
        <f>VLOOKUP(AA583,Masters!$K$2:$L$183,2,FALSE)</f>
        <v>1004</v>
      </c>
      <c r="AC583" s="20" t="s">
        <v>2063</v>
      </c>
      <c r="AD583" s="20" t="s">
        <v>2060</v>
      </c>
      <c r="AE583" s="20">
        <v>10</v>
      </c>
      <c r="AF583" s="20">
        <v>11</v>
      </c>
      <c r="AG583" s="20">
        <v>2003</v>
      </c>
      <c r="AH583" s="21">
        <v>37935</v>
      </c>
    </row>
    <row r="584" spans="1:34" x14ac:dyDescent="0.25">
      <c r="A584" s="35">
        <v>1004</v>
      </c>
      <c r="B584" s="20" t="s">
        <v>1841</v>
      </c>
      <c r="C584" s="20" t="s">
        <v>1841</v>
      </c>
      <c r="D584" s="94" t="s">
        <v>931</v>
      </c>
      <c r="E584" s="20" t="s">
        <v>2055</v>
      </c>
      <c r="F584" s="20" t="s">
        <v>1845</v>
      </c>
      <c r="G584" s="35" t="s">
        <v>40</v>
      </c>
      <c r="H584" s="36">
        <v>1</v>
      </c>
      <c r="I584" s="36" t="s">
        <v>263</v>
      </c>
      <c r="J584" s="41">
        <v>1</v>
      </c>
      <c r="K584" s="37" t="s">
        <v>263</v>
      </c>
      <c r="L584" s="37" t="s">
        <v>263</v>
      </c>
      <c r="M584" s="37" t="s">
        <v>263</v>
      </c>
      <c r="N584" s="36" t="s">
        <v>265</v>
      </c>
      <c r="O584" s="39" t="s">
        <v>265</v>
      </c>
      <c r="P584" s="40" t="s">
        <v>264</v>
      </c>
      <c r="Q584" s="36" t="s">
        <v>265</v>
      </c>
      <c r="R584" s="24" t="s">
        <v>265</v>
      </c>
      <c r="S584" s="24" t="s">
        <v>263</v>
      </c>
      <c r="T584" s="24" t="s">
        <v>263</v>
      </c>
      <c r="U584" s="24" t="s">
        <v>263</v>
      </c>
      <c r="V584" s="42" t="s">
        <v>263</v>
      </c>
      <c r="X584" s="24" t="s">
        <v>264</v>
      </c>
      <c r="Y584" s="24" t="s">
        <v>263</v>
      </c>
      <c r="Z584" s="20" t="s">
        <v>1855</v>
      </c>
      <c r="AA584" s="20" t="s">
        <v>1863</v>
      </c>
      <c r="AB584" s="31">
        <f>VLOOKUP(AA584,Masters!$K$2:$L$183,2,FALSE)</f>
        <v>1005</v>
      </c>
      <c r="AC584" s="24" t="s">
        <v>2063</v>
      </c>
      <c r="AD584" s="24" t="s">
        <v>2061</v>
      </c>
      <c r="AE584" s="20">
        <v>13</v>
      </c>
      <c r="AF584" s="20">
        <v>3</v>
      </c>
      <c r="AG584" s="20">
        <v>2003</v>
      </c>
      <c r="AH584" s="21">
        <v>37693</v>
      </c>
    </row>
    <row r="585" spans="1:34" x14ac:dyDescent="0.25">
      <c r="A585" s="35">
        <v>1012</v>
      </c>
      <c r="B585" s="20" t="s">
        <v>1841</v>
      </c>
      <c r="C585" s="20" t="s">
        <v>1841</v>
      </c>
      <c r="D585" s="94" t="s">
        <v>939</v>
      </c>
      <c r="E585" s="20" t="s">
        <v>2058</v>
      </c>
      <c r="F585" s="20" t="s">
        <v>1846</v>
      </c>
      <c r="G585" s="35" t="s">
        <v>40</v>
      </c>
      <c r="H585" s="36">
        <v>1</v>
      </c>
      <c r="I585" s="36" t="s">
        <v>263</v>
      </c>
      <c r="J585" s="36">
        <v>1</v>
      </c>
      <c r="K585" s="37" t="s">
        <v>265</v>
      </c>
      <c r="L585" s="38" t="s">
        <v>265</v>
      </c>
      <c r="M585" s="36" t="s">
        <v>265</v>
      </c>
      <c r="N585" s="36" t="s">
        <v>265</v>
      </c>
      <c r="O585" s="22" t="s">
        <v>265</v>
      </c>
      <c r="P585" s="22" t="s">
        <v>264</v>
      </c>
      <c r="Q585" s="22" t="s">
        <v>265</v>
      </c>
      <c r="R585" s="22" t="s">
        <v>265</v>
      </c>
      <c r="S585" s="22" t="s">
        <v>263</v>
      </c>
      <c r="T585" s="22" t="s">
        <v>263</v>
      </c>
      <c r="U585" s="22" t="s">
        <v>263</v>
      </c>
      <c r="V585" s="22" t="s">
        <v>263</v>
      </c>
      <c r="X585" s="22" t="s">
        <v>264</v>
      </c>
      <c r="Y585" s="22" t="s">
        <v>263</v>
      </c>
      <c r="Z585" s="20" t="s">
        <v>1853</v>
      </c>
      <c r="AA585" s="20" t="s">
        <v>1860</v>
      </c>
      <c r="AB585" s="31">
        <f>VLOOKUP(AA585,Masters!$K$2:$L$183,2,FALSE)</f>
        <v>1002</v>
      </c>
      <c r="AC585" s="22" t="s">
        <v>2064</v>
      </c>
      <c r="AD585" s="22" t="s">
        <v>2061</v>
      </c>
      <c r="AE585" s="20">
        <v>25</v>
      </c>
      <c r="AF585" s="20">
        <v>2</v>
      </c>
      <c r="AG585" s="20">
        <v>2003</v>
      </c>
      <c r="AH585" s="21">
        <v>37677</v>
      </c>
    </row>
    <row r="586" spans="1:34" x14ac:dyDescent="0.25">
      <c r="A586" s="35">
        <v>1022</v>
      </c>
      <c r="B586" s="20" t="s">
        <v>1841</v>
      </c>
      <c r="C586" s="20" t="s">
        <v>1841</v>
      </c>
      <c r="D586" s="94" t="s">
        <v>949</v>
      </c>
      <c r="E586" s="20" t="s">
        <v>135</v>
      </c>
      <c r="F586" s="20" t="s">
        <v>1844</v>
      </c>
      <c r="G586" s="31" t="s">
        <v>40</v>
      </c>
      <c r="H586" s="32">
        <v>1</v>
      </c>
      <c r="J586" s="32">
        <v>1</v>
      </c>
      <c r="O586" s="20">
        <v>0</v>
      </c>
      <c r="P586" s="20">
        <v>1</v>
      </c>
      <c r="Q586" s="20">
        <v>0</v>
      </c>
      <c r="R586" s="20">
        <v>0</v>
      </c>
      <c r="X586" s="20">
        <v>1</v>
      </c>
      <c r="Z586" s="20" t="s">
        <v>1835</v>
      </c>
      <c r="AA586" s="20" t="s">
        <v>1862</v>
      </c>
      <c r="AB586" s="31">
        <f>VLOOKUP(AA586,Masters!$K$2:$L$183,2,FALSE)</f>
        <v>1004</v>
      </c>
      <c r="AC586" s="20" t="s">
        <v>2063</v>
      </c>
      <c r="AD586" s="20" t="s">
        <v>2061</v>
      </c>
      <c r="AE586" s="20">
        <v>28</v>
      </c>
      <c r="AF586" s="20">
        <v>12</v>
      </c>
      <c r="AG586" s="20">
        <v>2005</v>
      </c>
      <c r="AH586" s="21">
        <v>38714</v>
      </c>
    </row>
    <row r="587" spans="1:34" x14ac:dyDescent="0.25">
      <c r="A587" s="35">
        <v>1030</v>
      </c>
      <c r="B587" s="20" t="s">
        <v>1841</v>
      </c>
      <c r="C587" s="20" t="s">
        <v>1841</v>
      </c>
      <c r="D587" s="94" t="s">
        <v>957</v>
      </c>
      <c r="E587" s="20" t="s">
        <v>2055</v>
      </c>
      <c r="F587" s="20" t="s">
        <v>1847</v>
      </c>
      <c r="G587" s="31" t="s">
        <v>40</v>
      </c>
      <c r="H587" s="32">
        <v>1</v>
      </c>
      <c r="J587" s="32">
        <v>1</v>
      </c>
      <c r="O587" s="20">
        <v>0</v>
      </c>
      <c r="P587" s="20">
        <v>1</v>
      </c>
      <c r="Q587" s="20">
        <v>0</v>
      </c>
      <c r="R587" s="20">
        <v>0</v>
      </c>
      <c r="X587" s="20">
        <v>1</v>
      </c>
      <c r="Z587" s="20" t="s">
        <v>1850</v>
      </c>
      <c r="AA587" s="20" t="s">
        <v>1863</v>
      </c>
      <c r="AB587" s="31">
        <f>VLOOKUP(AA587,Masters!$K$2:$L$183,2,FALSE)</f>
        <v>1005</v>
      </c>
      <c r="AC587" s="20" t="s">
        <v>2063</v>
      </c>
      <c r="AD587" s="20" t="s">
        <v>2061</v>
      </c>
      <c r="AE587" s="20">
        <v>4</v>
      </c>
      <c r="AF587" s="20">
        <v>1</v>
      </c>
      <c r="AG587" s="20">
        <v>2001</v>
      </c>
      <c r="AH587" s="21">
        <v>36895</v>
      </c>
    </row>
    <row r="588" spans="1:34" x14ac:dyDescent="0.25">
      <c r="A588" s="35">
        <v>1035</v>
      </c>
      <c r="B588" s="20" t="s">
        <v>1841</v>
      </c>
      <c r="C588" s="20" t="s">
        <v>1841</v>
      </c>
      <c r="D588" s="94" t="s">
        <v>962</v>
      </c>
      <c r="E588" s="20" t="s">
        <v>126</v>
      </c>
      <c r="F588" s="20" t="s">
        <v>1843</v>
      </c>
      <c r="G588" s="31" t="s">
        <v>40</v>
      </c>
      <c r="H588" s="32">
        <v>1</v>
      </c>
      <c r="J588" s="32">
        <v>1</v>
      </c>
      <c r="O588" s="20">
        <v>0</v>
      </c>
      <c r="P588" s="20">
        <v>1</v>
      </c>
      <c r="Q588" s="20">
        <v>0</v>
      </c>
      <c r="R588" s="20">
        <v>0</v>
      </c>
      <c r="X588" s="20">
        <v>1</v>
      </c>
      <c r="Z588" s="20" t="s">
        <v>1852</v>
      </c>
      <c r="AA588" s="20" t="s">
        <v>1862</v>
      </c>
      <c r="AB588" s="31">
        <f>VLOOKUP(AA588,Masters!$K$2:$L$183,2,FALSE)</f>
        <v>1004</v>
      </c>
      <c r="AC588" s="20" t="s">
        <v>2063</v>
      </c>
      <c r="AD588" s="20" t="s">
        <v>2060</v>
      </c>
      <c r="AE588" s="20">
        <v>18</v>
      </c>
      <c r="AF588" s="20">
        <v>6</v>
      </c>
      <c r="AG588" s="20">
        <v>2002</v>
      </c>
      <c r="AH588" s="21">
        <v>37425</v>
      </c>
    </row>
    <row r="589" spans="1:34" x14ac:dyDescent="0.25">
      <c r="A589" s="35">
        <v>1036</v>
      </c>
      <c r="B589" s="20" t="s">
        <v>1841</v>
      </c>
      <c r="C589" s="20" t="s">
        <v>1841</v>
      </c>
      <c r="D589" s="94" t="s">
        <v>963</v>
      </c>
      <c r="E589" s="20" t="s">
        <v>2055</v>
      </c>
      <c r="F589" s="20" t="s">
        <v>1845</v>
      </c>
      <c r="G589" s="31" t="s">
        <v>40</v>
      </c>
      <c r="H589" s="32">
        <v>1</v>
      </c>
      <c r="J589" s="32">
        <v>1</v>
      </c>
      <c r="O589" s="20">
        <v>0</v>
      </c>
      <c r="P589" s="20">
        <v>1</v>
      </c>
      <c r="Q589" s="20">
        <v>0</v>
      </c>
      <c r="R589" s="20">
        <v>0</v>
      </c>
      <c r="X589" s="20">
        <v>1</v>
      </c>
      <c r="Z589" s="20" t="s">
        <v>1849</v>
      </c>
      <c r="AA589" s="20" t="s">
        <v>1861</v>
      </c>
      <c r="AB589" s="31">
        <f>VLOOKUP(AA589,Masters!$K$2:$L$183,2,FALSE)</f>
        <v>1003</v>
      </c>
      <c r="AC589" s="20" t="s">
        <v>2063</v>
      </c>
      <c r="AD589" s="20" t="s">
        <v>2060</v>
      </c>
      <c r="AE589" s="20">
        <v>6</v>
      </c>
      <c r="AF589" s="20">
        <v>12</v>
      </c>
      <c r="AG589" s="20">
        <v>2005</v>
      </c>
      <c r="AH589" s="21">
        <v>38692</v>
      </c>
    </row>
    <row r="590" spans="1:34" x14ac:dyDescent="0.25">
      <c r="A590" s="35">
        <v>1037</v>
      </c>
      <c r="B590" s="20" t="s">
        <v>1841</v>
      </c>
      <c r="C590" s="20" t="s">
        <v>1841</v>
      </c>
      <c r="D590" s="94" t="s">
        <v>964</v>
      </c>
      <c r="E590" s="20" t="s">
        <v>2058</v>
      </c>
      <c r="F590" s="20" t="s">
        <v>1847</v>
      </c>
      <c r="G590" s="31" t="s">
        <v>40</v>
      </c>
      <c r="H590" s="32">
        <v>1</v>
      </c>
      <c r="J590" s="32">
        <v>1</v>
      </c>
      <c r="O590" s="20">
        <v>0</v>
      </c>
      <c r="P590" s="20">
        <v>1</v>
      </c>
      <c r="Q590" s="20">
        <v>0</v>
      </c>
      <c r="R590" s="20">
        <v>0</v>
      </c>
      <c r="X590" s="20">
        <v>1</v>
      </c>
      <c r="Z590" s="20" t="s">
        <v>1849</v>
      </c>
      <c r="AA590" s="20" t="s">
        <v>1860</v>
      </c>
      <c r="AB590" s="31">
        <f>VLOOKUP(AA590,Masters!$K$2:$L$183,2,FALSE)</f>
        <v>1002</v>
      </c>
      <c r="AC590" s="20" t="s">
        <v>2063</v>
      </c>
      <c r="AD590" s="20" t="s">
        <v>2061</v>
      </c>
      <c r="AE590" s="20">
        <v>5</v>
      </c>
      <c r="AF590" s="20">
        <v>10</v>
      </c>
      <c r="AG590" s="20">
        <v>2004</v>
      </c>
      <c r="AH590" s="21">
        <v>38265</v>
      </c>
    </row>
    <row r="591" spans="1:34" x14ac:dyDescent="0.25">
      <c r="A591" s="35">
        <v>1041</v>
      </c>
      <c r="B591" s="20" t="s">
        <v>1841</v>
      </c>
      <c r="C591" s="20" t="s">
        <v>1841</v>
      </c>
      <c r="D591" s="94" t="s">
        <v>968</v>
      </c>
      <c r="E591" s="20" t="s">
        <v>2059</v>
      </c>
      <c r="F591" s="20" t="s">
        <v>1843</v>
      </c>
      <c r="G591" s="31" t="s">
        <v>40</v>
      </c>
      <c r="H591" s="32">
        <v>1</v>
      </c>
      <c r="J591" s="32">
        <v>1</v>
      </c>
      <c r="O591" s="20">
        <v>0</v>
      </c>
      <c r="P591" s="20">
        <v>1</v>
      </c>
      <c r="Q591" s="20">
        <v>0</v>
      </c>
      <c r="R591" s="20">
        <v>0</v>
      </c>
      <c r="X591" s="20">
        <v>1</v>
      </c>
      <c r="Z591" s="20" t="s">
        <v>1850</v>
      </c>
      <c r="AA591" s="20" t="s">
        <v>1863</v>
      </c>
      <c r="AB591" s="31">
        <f>VLOOKUP(AA591,Masters!$K$2:$L$183,2,FALSE)</f>
        <v>1005</v>
      </c>
      <c r="AC591" s="20" t="s">
        <v>2063</v>
      </c>
      <c r="AD591" s="20" t="s">
        <v>2061</v>
      </c>
      <c r="AE591" s="20">
        <v>31</v>
      </c>
      <c r="AF591" s="20">
        <v>10</v>
      </c>
      <c r="AG591" s="20">
        <v>2004</v>
      </c>
      <c r="AH591" s="21">
        <v>38291</v>
      </c>
    </row>
    <row r="592" spans="1:34" x14ac:dyDescent="0.25">
      <c r="A592" s="35">
        <v>1044</v>
      </c>
      <c r="B592" s="20" t="s">
        <v>1841</v>
      </c>
      <c r="C592" s="20" t="s">
        <v>1841</v>
      </c>
      <c r="D592" s="94" t="s">
        <v>971</v>
      </c>
      <c r="E592" s="20" t="s">
        <v>135</v>
      </c>
      <c r="F592" s="20" t="s">
        <v>1844</v>
      </c>
      <c r="G592" s="31" t="s">
        <v>40</v>
      </c>
      <c r="H592" s="32">
        <v>1</v>
      </c>
      <c r="J592" s="32">
        <v>1</v>
      </c>
      <c r="O592" s="20">
        <v>0</v>
      </c>
      <c r="P592" s="20">
        <v>1</v>
      </c>
      <c r="Q592" s="20">
        <v>0</v>
      </c>
      <c r="R592" s="20">
        <v>0</v>
      </c>
      <c r="X592" s="20">
        <v>1</v>
      </c>
      <c r="Z592" s="20" t="s">
        <v>58</v>
      </c>
      <c r="AA592" s="20" t="s">
        <v>1863</v>
      </c>
      <c r="AB592" s="31">
        <f>VLOOKUP(AA592,Masters!$K$2:$L$183,2,FALSE)</f>
        <v>1005</v>
      </c>
      <c r="AC592" s="20" t="s">
        <v>2063</v>
      </c>
      <c r="AD592" s="20" t="s">
        <v>2061</v>
      </c>
      <c r="AE592" s="20">
        <v>7</v>
      </c>
      <c r="AF592" s="20">
        <v>3</v>
      </c>
      <c r="AG592" s="20">
        <v>2000</v>
      </c>
      <c r="AH592" s="21">
        <v>36592</v>
      </c>
    </row>
    <row r="593" spans="1:34" x14ac:dyDescent="0.25">
      <c r="A593" s="35">
        <v>1057</v>
      </c>
      <c r="B593" s="20" t="s">
        <v>1841</v>
      </c>
      <c r="C593" s="20" t="s">
        <v>1841</v>
      </c>
      <c r="D593" s="94" t="s">
        <v>984</v>
      </c>
      <c r="E593" s="20" t="s">
        <v>2059</v>
      </c>
      <c r="F593" s="20" t="s">
        <v>1843</v>
      </c>
      <c r="G593" s="31" t="s">
        <v>40</v>
      </c>
      <c r="H593" s="32">
        <v>1</v>
      </c>
      <c r="J593" s="32">
        <v>1</v>
      </c>
      <c r="O593" s="20">
        <v>0</v>
      </c>
      <c r="P593" s="20">
        <v>1</v>
      </c>
      <c r="Q593" s="20">
        <v>0</v>
      </c>
      <c r="R593" s="20">
        <v>0</v>
      </c>
      <c r="X593" s="20">
        <v>1</v>
      </c>
      <c r="Z593" s="20" t="s">
        <v>1858</v>
      </c>
      <c r="AA593" s="20" t="s">
        <v>1859</v>
      </c>
      <c r="AB593" s="31">
        <f>VLOOKUP(AA593,Masters!$K$2:$L$183,2,FALSE)</f>
        <v>1001</v>
      </c>
      <c r="AC593" s="20" t="s">
        <v>2063</v>
      </c>
      <c r="AD593" s="20" t="s">
        <v>2061</v>
      </c>
      <c r="AE593" s="20">
        <v>13</v>
      </c>
      <c r="AF593" s="20">
        <v>10</v>
      </c>
      <c r="AG593" s="20">
        <v>2002</v>
      </c>
      <c r="AH593" s="21">
        <v>37542</v>
      </c>
    </row>
    <row r="594" spans="1:34" x14ac:dyDescent="0.25">
      <c r="A594" s="35">
        <v>1059</v>
      </c>
      <c r="B594" s="20" t="s">
        <v>1841</v>
      </c>
      <c r="C594" s="20" t="s">
        <v>1841</v>
      </c>
      <c r="D594" s="94" t="s">
        <v>986</v>
      </c>
      <c r="E594" s="20" t="s">
        <v>126</v>
      </c>
      <c r="F594" s="20" t="s">
        <v>1847</v>
      </c>
      <c r="G594" s="31" t="s">
        <v>40</v>
      </c>
      <c r="H594" s="32">
        <v>1</v>
      </c>
      <c r="J594" s="32">
        <v>1</v>
      </c>
      <c r="O594" s="20">
        <v>0</v>
      </c>
      <c r="P594" s="20">
        <v>1</v>
      </c>
      <c r="Q594" s="20">
        <v>0</v>
      </c>
      <c r="R594" s="20">
        <v>0</v>
      </c>
      <c r="X594" s="20">
        <v>1</v>
      </c>
      <c r="Z594" s="20" t="s">
        <v>1851</v>
      </c>
      <c r="AA594" s="20" t="s">
        <v>1859</v>
      </c>
      <c r="AB594" s="31">
        <f>VLOOKUP(AA594,Masters!$K$2:$L$183,2,FALSE)</f>
        <v>1001</v>
      </c>
      <c r="AC594" s="20" t="s">
        <v>2063</v>
      </c>
      <c r="AD594" s="20" t="s">
        <v>2061</v>
      </c>
      <c r="AE594" s="20">
        <v>4</v>
      </c>
      <c r="AF594" s="20">
        <v>8</v>
      </c>
      <c r="AG594" s="20">
        <v>2004</v>
      </c>
      <c r="AH594" s="21">
        <v>38203</v>
      </c>
    </row>
    <row r="595" spans="1:34" x14ac:dyDescent="0.25">
      <c r="A595" s="35">
        <v>1061</v>
      </c>
      <c r="B595" s="20" t="s">
        <v>1841</v>
      </c>
      <c r="C595" s="20" t="s">
        <v>1841</v>
      </c>
      <c r="D595" s="94" t="s">
        <v>988</v>
      </c>
      <c r="E595" s="20" t="s">
        <v>2057</v>
      </c>
      <c r="F595" s="20" t="s">
        <v>1847</v>
      </c>
      <c r="G595" s="31" t="s">
        <v>40</v>
      </c>
      <c r="H595" s="32">
        <v>1</v>
      </c>
      <c r="J595" s="32">
        <v>1</v>
      </c>
      <c r="O595" s="20">
        <v>0</v>
      </c>
      <c r="P595" s="20">
        <v>1</v>
      </c>
      <c r="Q595" s="20">
        <v>0</v>
      </c>
      <c r="R595" s="20">
        <v>0</v>
      </c>
      <c r="X595" s="20">
        <v>1</v>
      </c>
      <c r="Z595" s="20" t="s">
        <v>1835</v>
      </c>
      <c r="AA595" s="20" t="s">
        <v>1862</v>
      </c>
      <c r="AB595" s="31">
        <f>VLOOKUP(AA595,Masters!$K$2:$L$183,2,FALSE)</f>
        <v>1004</v>
      </c>
      <c r="AC595" s="20" t="s">
        <v>2063</v>
      </c>
      <c r="AD595" s="20" t="s">
        <v>2061</v>
      </c>
      <c r="AE595" s="20">
        <v>17</v>
      </c>
      <c r="AF595" s="20">
        <v>5</v>
      </c>
      <c r="AG595" s="20">
        <v>2003</v>
      </c>
      <c r="AH595" s="21">
        <v>37758</v>
      </c>
    </row>
    <row r="596" spans="1:34" x14ac:dyDescent="0.25">
      <c r="A596" s="35">
        <v>1071</v>
      </c>
      <c r="B596" s="20" t="s">
        <v>1841</v>
      </c>
      <c r="C596" s="20" t="s">
        <v>1841</v>
      </c>
      <c r="D596" s="94" t="s">
        <v>998</v>
      </c>
      <c r="E596" s="20" t="s">
        <v>2051</v>
      </c>
      <c r="F596" s="20" t="s">
        <v>1847</v>
      </c>
      <c r="G596" s="31" t="s">
        <v>40</v>
      </c>
      <c r="H596" s="32">
        <v>1</v>
      </c>
      <c r="J596" s="32">
        <v>1</v>
      </c>
      <c r="O596" s="20">
        <v>0</v>
      </c>
      <c r="P596" s="20">
        <v>1</v>
      </c>
      <c r="Q596" s="20">
        <v>0</v>
      </c>
      <c r="R596" s="20">
        <v>0</v>
      </c>
      <c r="X596" s="20">
        <v>1</v>
      </c>
      <c r="Z596" s="20" t="s">
        <v>1854</v>
      </c>
      <c r="AA596" s="20" t="s">
        <v>1863</v>
      </c>
      <c r="AB596" s="31">
        <f>VLOOKUP(AA596,Masters!$K$2:$L$183,2,FALSE)</f>
        <v>1005</v>
      </c>
      <c r="AC596" s="20" t="s">
        <v>2063</v>
      </c>
      <c r="AD596" s="20" t="s">
        <v>2060</v>
      </c>
      <c r="AE596" s="20">
        <v>25</v>
      </c>
      <c r="AF596" s="20">
        <v>8</v>
      </c>
      <c r="AG596" s="20">
        <v>2004</v>
      </c>
      <c r="AH596" s="21">
        <v>38224</v>
      </c>
    </row>
    <row r="597" spans="1:34" x14ac:dyDescent="0.25">
      <c r="A597" s="35">
        <v>1074</v>
      </c>
      <c r="B597" s="20" t="s">
        <v>1841</v>
      </c>
      <c r="C597" s="20" t="s">
        <v>1841</v>
      </c>
      <c r="D597" s="94" t="s">
        <v>1001</v>
      </c>
      <c r="E597" s="20" t="s">
        <v>2058</v>
      </c>
      <c r="F597" s="20" t="s">
        <v>1845</v>
      </c>
      <c r="G597" s="31" t="s">
        <v>40</v>
      </c>
      <c r="H597" s="32">
        <v>1</v>
      </c>
      <c r="J597" s="32">
        <v>1</v>
      </c>
      <c r="O597" s="20">
        <v>0</v>
      </c>
      <c r="P597" s="20">
        <v>1</v>
      </c>
      <c r="Q597" s="20">
        <v>0</v>
      </c>
      <c r="R597" s="20">
        <v>0</v>
      </c>
      <c r="X597" s="20">
        <v>1</v>
      </c>
      <c r="Z597" s="20" t="s">
        <v>1856</v>
      </c>
      <c r="AA597" s="20" t="s">
        <v>1860</v>
      </c>
      <c r="AB597" s="31">
        <f>VLOOKUP(AA597,Masters!$K$2:$L$183,2,FALSE)</f>
        <v>1002</v>
      </c>
      <c r="AC597" s="20" t="s">
        <v>2063</v>
      </c>
      <c r="AD597" s="20" t="s">
        <v>2061</v>
      </c>
      <c r="AE597" s="20">
        <v>10</v>
      </c>
      <c r="AF597" s="20">
        <v>6</v>
      </c>
      <c r="AG597" s="20">
        <v>2000</v>
      </c>
      <c r="AH597" s="21">
        <v>36687</v>
      </c>
    </row>
    <row r="598" spans="1:34" x14ac:dyDescent="0.25">
      <c r="A598" s="35">
        <v>1084</v>
      </c>
      <c r="B598" s="20" t="s">
        <v>1841</v>
      </c>
      <c r="C598" s="20" t="s">
        <v>1841</v>
      </c>
      <c r="D598" s="94" t="s">
        <v>1011</v>
      </c>
      <c r="E598" s="20" t="s">
        <v>2054</v>
      </c>
      <c r="F598" s="20" t="s">
        <v>1844</v>
      </c>
      <c r="G598" s="31" t="s">
        <v>40</v>
      </c>
      <c r="H598" s="32">
        <v>1</v>
      </c>
      <c r="J598" s="32">
        <v>1</v>
      </c>
      <c r="O598" s="20">
        <v>0</v>
      </c>
      <c r="P598" s="20">
        <v>1</v>
      </c>
      <c r="Q598" s="20">
        <v>0</v>
      </c>
      <c r="R598" s="20">
        <v>0</v>
      </c>
      <c r="X598" s="20">
        <v>1</v>
      </c>
      <c r="Z598" s="20" t="s">
        <v>78</v>
      </c>
      <c r="AA598" s="20" t="s">
        <v>1863</v>
      </c>
      <c r="AB598" s="31">
        <f>VLOOKUP(AA598,Masters!$K$2:$L$183,2,FALSE)</f>
        <v>1005</v>
      </c>
      <c r="AC598" s="20" t="s">
        <v>2063</v>
      </c>
      <c r="AD598" s="20" t="s">
        <v>2061</v>
      </c>
      <c r="AE598" s="20">
        <v>2</v>
      </c>
      <c r="AF598" s="20">
        <v>10</v>
      </c>
      <c r="AG598" s="20">
        <v>2000</v>
      </c>
      <c r="AH598" s="21">
        <v>36801</v>
      </c>
    </row>
    <row r="599" spans="1:34" x14ac:dyDescent="0.25">
      <c r="A599" s="35">
        <v>1086</v>
      </c>
      <c r="B599" s="20" t="s">
        <v>1841</v>
      </c>
      <c r="C599" s="20" t="s">
        <v>1841</v>
      </c>
      <c r="D599" s="94" t="s">
        <v>1013</v>
      </c>
      <c r="E599" s="20" t="s">
        <v>2050</v>
      </c>
      <c r="F599" s="20" t="s">
        <v>1846</v>
      </c>
      <c r="G599" s="31" t="s">
        <v>40</v>
      </c>
      <c r="H599" s="32">
        <v>1</v>
      </c>
      <c r="J599" s="32">
        <v>1</v>
      </c>
      <c r="O599" s="20">
        <v>0</v>
      </c>
      <c r="P599" s="20">
        <v>1</v>
      </c>
      <c r="Q599" s="20">
        <v>0</v>
      </c>
      <c r="R599" s="20">
        <v>0</v>
      </c>
      <c r="X599" s="20">
        <v>1</v>
      </c>
      <c r="Z599" s="20" t="s">
        <v>34</v>
      </c>
      <c r="AA599" s="20" t="s">
        <v>1862</v>
      </c>
      <c r="AB599" s="31">
        <f>VLOOKUP(AA599,Masters!$K$2:$L$183,2,FALSE)</f>
        <v>1004</v>
      </c>
      <c r="AC599" s="20" t="s">
        <v>2063</v>
      </c>
      <c r="AD599" s="20" t="s">
        <v>2061</v>
      </c>
      <c r="AE599" s="20">
        <v>29</v>
      </c>
      <c r="AF599" s="20">
        <v>3</v>
      </c>
      <c r="AG599" s="20">
        <v>2004</v>
      </c>
      <c r="AH599" s="21">
        <v>38075</v>
      </c>
    </row>
    <row r="600" spans="1:34" x14ac:dyDescent="0.25">
      <c r="A600" s="35">
        <v>1090</v>
      </c>
      <c r="B600" s="20" t="s">
        <v>1841</v>
      </c>
      <c r="C600" s="20" t="s">
        <v>1841</v>
      </c>
      <c r="D600" s="94" t="s">
        <v>1017</v>
      </c>
      <c r="E600" s="20" t="s">
        <v>2051</v>
      </c>
      <c r="F600" s="20" t="s">
        <v>1844</v>
      </c>
      <c r="G600" s="31" t="s">
        <v>40</v>
      </c>
      <c r="H600" s="32">
        <v>1</v>
      </c>
      <c r="J600" s="32">
        <v>1</v>
      </c>
      <c r="O600" s="20">
        <v>0</v>
      </c>
      <c r="P600" s="20">
        <v>1</v>
      </c>
      <c r="Q600" s="20">
        <v>0</v>
      </c>
      <c r="R600" s="20">
        <v>0</v>
      </c>
      <c r="X600" s="20">
        <v>1</v>
      </c>
      <c r="Z600" s="20" t="s">
        <v>1835</v>
      </c>
      <c r="AA600" s="20" t="s">
        <v>1863</v>
      </c>
      <c r="AB600" s="31">
        <f>VLOOKUP(AA600,Masters!$K$2:$L$183,2,FALSE)</f>
        <v>1005</v>
      </c>
      <c r="AC600" s="20" t="s">
        <v>2063</v>
      </c>
      <c r="AD600" s="20" t="s">
        <v>2060</v>
      </c>
      <c r="AE600" s="20">
        <v>24</v>
      </c>
      <c r="AF600" s="20">
        <v>6</v>
      </c>
      <c r="AG600" s="20">
        <v>2004</v>
      </c>
      <c r="AH600" s="21">
        <v>38162</v>
      </c>
    </row>
    <row r="601" spans="1:34" x14ac:dyDescent="0.25">
      <c r="A601" s="35">
        <v>1091</v>
      </c>
      <c r="B601" s="20" t="s">
        <v>1841</v>
      </c>
      <c r="C601" s="20" t="s">
        <v>1841</v>
      </c>
      <c r="D601" s="94" t="s">
        <v>1018</v>
      </c>
      <c r="E601" s="20" t="s">
        <v>2055</v>
      </c>
      <c r="F601" s="20" t="s">
        <v>1847</v>
      </c>
      <c r="G601" s="31" t="s">
        <v>40</v>
      </c>
      <c r="H601" s="32">
        <v>1</v>
      </c>
      <c r="J601" s="32">
        <v>1</v>
      </c>
      <c r="O601" s="20">
        <v>0</v>
      </c>
      <c r="P601" s="20">
        <v>1</v>
      </c>
      <c r="Q601" s="20">
        <v>0</v>
      </c>
      <c r="R601" s="20">
        <v>0</v>
      </c>
      <c r="X601" s="20">
        <v>1</v>
      </c>
      <c r="Z601" s="20" t="s">
        <v>1854</v>
      </c>
      <c r="AA601" s="20" t="s">
        <v>1860</v>
      </c>
      <c r="AB601" s="31">
        <f>VLOOKUP(AA601,Masters!$K$2:$L$183,2,FALSE)</f>
        <v>1002</v>
      </c>
      <c r="AC601" s="20" t="s">
        <v>2063</v>
      </c>
      <c r="AD601" s="20" t="s">
        <v>2060</v>
      </c>
      <c r="AE601" s="20">
        <v>16</v>
      </c>
      <c r="AF601" s="20">
        <v>6</v>
      </c>
      <c r="AG601" s="20">
        <v>2001</v>
      </c>
      <c r="AH601" s="21">
        <v>37058</v>
      </c>
    </row>
    <row r="602" spans="1:34" x14ac:dyDescent="0.25">
      <c r="A602" s="35">
        <v>1094</v>
      </c>
      <c r="B602" s="20" t="s">
        <v>1841</v>
      </c>
      <c r="C602" s="20" t="s">
        <v>1841</v>
      </c>
      <c r="D602" s="94" t="s">
        <v>1021</v>
      </c>
      <c r="E602" s="20" t="s">
        <v>2050</v>
      </c>
      <c r="F602" s="20" t="s">
        <v>1843</v>
      </c>
      <c r="G602" s="31" t="s">
        <v>40</v>
      </c>
      <c r="H602" s="32">
        <v>1</v>
      </c>
      <c r="J602" s="32">
        <v>1</v>
      </c>
      <c r="O602" s="20">
        <v>0</v>
      </c>
      <c r="P602" s="20">
        <v>1</v>
      </c>
      <c r="Q602" s="20">
        <v>0</v>
      </c>
      <c r="R602" s="20">
        <v>0</v>
      </c>
      <c r="X602" s="20">
        <v>1</v>
      </c>
      <c r="Z602" s="20" t="s">
        <v>1854</v>
      </c>
      <c r="AA602" s="20" t="s">
        <v>1863</v>
      </c>
      <c r="AB602" s="31">
        <f>VLOOKUP(AA602,Masters!$K$2:$L$183,2,FALSE)</f>
        <v>1005</v>
      </c>
      <c r="AC602" s="20" t="s">
        <v>2063</v>
      </c>
      <c r="AD602" s="20" t="s">
        <v>2061</v>
      </c>
      <c r="AE602" s="20">
        <v>8</v>
      </c>
      <c r="AF602" s="20">
        <v>1</v>
      </c>
      <c r="AG602" s="20">
        <v>2005</v>
      </c>
      <c r="AH602" s="21">
        <v>38360</v>
      </c>
    </row>
    <row r="603" spans="1:34" x14ac:dyDescent="0.25">
      <c r="A603" s="35">
        <v>1096</v>
      </c>
      <c r="B603" s="20" t="s">
        <v>1841</v>
      </c>
      <c r="C603" s="20" t="s">
        <v>1841</v>
      </c>
      <c r="D603" s="94" t="s">
        <v>1023</v>
      </c>
      <c r="E603" s="20" t="s">
        <v>133</v>
      </c>
      <c r="F603" s="20" t="s">
        <v>1843</v>
      </c>
      <c r="G603" s="31" t="s">
        <v>40</v>
      </c>
      <c r="H603" s="32">
        <v>1</v>
      </c>
      <c r="J603" s="32">
        <v>1</v>
      </c>
      <c r="O603" s="20">
        <v>0</v>
      </c>
      <c r="P603" s="20">
        <v>1</v>
      </c>
      <c r="Q603" s="20">
        <v>0</v>
      </c>
      <c r="R603" s="20">
        <v>0</v>
      </c>
      <c r="X603" s="20">
        <v>1</v>
      </c>
      <c r="Z603" s="20" t="s">
        <v>1849</v>
      </c>
      <c r="AA603" s="20" t="s">
        <v>1862</v>
      </c>
      <c r="AB603" s="31">
        <f>VLOOKUP(AA603,Masters!$K$2:$L$183,2,FALSE)</f>
        <v>1004</v>
      </c>
      <c r="AC603" s="20" t="s">
        <v>2063</v>
      </c>
      <c r="AD603" s="20" t="s">
        <v>2061</v>
      </c>
      <c r="AE603" s="20">
        <v>7</v>
      </c>
      <c r="AF603" s="20">
        <v>1</v>
      </c>
      <c r="AG603" s="20">
        <v>2003</v>
      </c>
      <c r="AH603" s="21">
        <v>37628</v>
      </c>
    </row>
    <row r="604" spans="1:34" x14ac:dyDescent="0.25">
      <c r="A604" s="35">
        <v>1098</v>
      </c>
      <c r="B604" s="20" t="s">
        <v>1841</v>
      </c>
      <c r="C604" s="20" t="s">
        <v>1841</v>
      </c>
      <c r="D604" s="94" t="s">
        <v>1025</v>
      </c>
      <c r="E604" s="20" t="s">
        <v>2050</v>
      </c>
      <c r="F604" s="20" t="s">
        <v>1846</v>
      </c>
      <c r="G604" s="31" t="s">
        <v>40</v>
      </c>
      <c r="H604" s="32">
        <v>1</v>
      </c>
      <c r="J604" s="32">
        <v>1</v>
      </c>
      <c r="O604" s="20">
        <v>0</v>
      </c>
      <c r="P604" s="20">
        <v>1</v>
      </c>
      <c r="Q604" s="20">
        <v>0</v>
      </c>
      <c r="R604" s="20">
        <v>0</v>
      </c>
      <c r="X604" s="20">
        <v>1</v>
      </c>
      <c r="Z604" s="20" t="s">
        <v>1856</v>
      </c>
      <c r="AA604" s="20" t="s">
        <v>1860</v>
      </c>
      <c r="AB604" s="31">
        <f>VLOOKUP(AA604,Masters!$K$2:$L$183,2,FALSE)</f>
        <v>1002</v>
      </c>
      <c r="AC604" s="20" t="s">
        <v>2063</v>
      </c>
      <c r="AD604" s="20" t="s">
        <v>2060</v>
      </c>
      <c r="AE604" s="20">
        <v>13</v>
      </c>
      <c r="AF604" s="20">
        <v>6</v>
      </c>
      <c r="AG604" s="20">
        <v>2000</v>
      </c>
      <c r="AH604" s="21">
        <v>36690</v>
      </c>
    </row>
    <row r="605" spans="1:34" x14ac:dyDescent="0.25">
      <c r="A605" s="35">
        <v>1103</v>
      </c>
      <c r="B605" s="20" t="s">
        <v>1841</v>
      </c>
      <c r="C605" s="20" t="s">
        <v>1841</v>
      </c>
      <c r="D605" s="94" t="s">
        <v>1030</v>
      </c>
      <c r="E605" s="20" t="s">
        <v>2051</v>
      </c>
      <c r="F605" s="20" t="s">
        <v>1843</v>
      </c>
      <c r="G605" s="31" t="s">
        <v>40</v>
      </c>
      <c r="H605" s="32">
        <v>1</v>
      </c>
      <c r="J605" s="32">
        <v>1</v>
      </c>
      <c r="O605" s="20">
        <v>0</v>
      </c>
      <c r="P605" s="20">
        <v>1</v>
      </c>
      <c r="Q605" s="20">
        <v>0</v>
      </c>
      <c r="R605" s="20">
        <v>0</v>
      </c>
      <c r="X605" s="20">
        <v>1</v>
      </c>
      <c r="Z605" s="20" t="s">
        <v>1848</v>
      </c>
      <c r="AA605" s="20" t="s">
        <v>1859</v>
      </c>
      <c r="AB605" s="31">
        <f>VLOOKUP(AA605,Masters!$K$2:$L$183,2,FALSE)</f>
        <v>1001</v>
      </c>
      <c r="AC605" s="20" t="s">
        <v>2063</v>
      </c>
      <c r="AD605" s="20" t="s">
        <v>2061</v>
      </c>
      <c r="AE605" s="20">
        <v>28</v>
      </c>
      <c r="AF605" s="20">
        <v>10</v>
      </c>
      <c r="AG605" s="20">
        <v>2004</v>
      </c>
      <c r="AH605" s="21">
        <v>38288</v>
      </c>
    </row>
    <row r="606" spans="1:34" x14ac:dyDescent="0.25">
      <c r="A606" s="35">
        <v>1104</v>
      </c>
      <c r="B606" s="20" t="s">
        <v>1841</v>
      </c>
      <c r="C606" s="20" t="s">
        <v>1841</v>
      </c>
      <c r="D606" s="94" t="s">
        <v>1031</v>
      </c>
      <c r="E606" s="20" t="s">
        <v>2054</v>
      </c>
      <c r="F606" s="20" t="s">
        <v>1843</v>
      </c>
      <c r="G606" s="31" t="s">
        <v>40</v>
      </c>
      <c r="H606" s="32">
        <v>1</v>
      </c>
      <c r="J606" s="32">
        <v>1</v>
      </c>
      <c r="O606" s="20">
        <v>0</v>
      </c>
      <c r="P606" s="20">
        <v>1</v>
      </c>
      <c r="Q606" s="20">
        <v>0</v>
      </c>
      <c r="R606" s="20">
        <v>0</v>
      </c>
      <c r="X606" s="20">
        <v>1</v>
      </c>
      <c r="Z606" s="20" t="s">
        <v>1856</v>
      </c>
      <c r="AA606" s="20" t="s">
        <v>1863</v>
      </c>
      <c r="AB606" s="31">
        <f>VLOOKUP(AA606,Masters!$K$2:$L$183,2,FALSE)</f>
        <v>1005</v>
      </c>
      <c r="AC606" s="20" t="s">
        <v>2063</v>
      </c>
      <c r="AD606" s="20" t="s">
        <v>2061</v>
      </c>
      <c r="AE606" s="20">
        <v>14</v>
      </c>
      <c r="AF606" s="20">
        <v>4</v>
      </c>
      <c r="AG606" s="20">
        <v>2001</v>
      </c>
      <c r="AH606" s="21">
        <v>36995</v>
      </c>
    </row>
    <row r="607" spans="1:34" x14ac:dyDescent="0.25">
      <c r="A607" s="35">
        <v>1105</v>
      </c>
      <c r="B607" s="20" t="s">
        <v>1841</v>
      </c>
      <c r="C607" s="20" t="s">
        <v>1841</v>
      </c>
      <c r="D607" s="94" t="s">
        <v>1032</v>
      </c>
      <c r="E607" s="20" t="s">
        <v>2056</v>
      </c>
      <c r="F607" s="20" t="s">
        <v>1845</v>
      </c>
      <c r="G607" s="31" t="s">
        <v>40</v>
      </c>
      <c r="H607" s="32">
        <v>1</v>
      </c>
      <c r="J607" s="32">
        <v>1</v>
      </c>
      <c r="O607" s="20">
        <v>0</v>
      </c>
      <c r="P607" s="20">
        <v>1</v>
      </c>
      <c r="Q607" s="20">
        <v>0</v>
      </c>
      <c r="R607" s="20">
        <v>0</v>
      </c>
      <c r="X607" s="20">
        <v>1</v>
      </c>
      <c r="Z607" s="20" t="s">
        <v>201</v>
      </c>
      <c r="AA607" s="20" t="s">
        <v>1863</v>
      </c>
      <c r="AB607" s="31">
        <f>VLOOKUP(AA607,Masters!$K$2:$L$183,2,FALSE)</f>
        <v>1005</v>
      </c>
      <c r="AC607" s="20" t="s">
        <v>2063</v>
      </c>
      <c r="AD607" s="20" t="s">
        <v>2060</v>
      </c>
      <c r="AE607" s="20">
        <v>20</v>
      </c>
      <c r="AF607" s="20">
        <v>12</v>
      </c>
      <c r="AG607" s="20">
        <v>2005</v>
      </c>
      <c r="AH607" s="21">
        <v>38706</v>
      </c>
    </row>
    <row r="608" spans="1:34" x14ac:dyDescent="0.25">
      <c r="A608" s="35">
        <v>1106</v>
      </c>
      <c r="B608" s="20" t="s">
        <v>1841</v>
      </c>
      <c r="C608" s="20" t="s">
        <v>1841</v>
      </c>
      <c r="D608" s="94" t="s">
        <v>1033</v>
      </c>
      <c r="E608" s="20" t="s">
        <v>2050</v>
      </c>
      <c r="F608" s="20" t="s">
        <v>1847</v>
      </c>
      <c r="G608" s="31" t="s">
        <v>40</v>
      </c>
      <c r="H608" s="32">
        <v>1</v>
      </c>
      <c r="J608" s="32">
        <v>1</v>
      </c>
      <c r="O608" s="20">
        <v>0</v>
      </c>
      <c r="P608" s="20">
        <v>1</v>
      </c>
      <c r="Q608" s="20">
        <v>0</v>
      </c>
      <c r="R608" s="20">
        <v>0</v>
      </c>
      <c r="X608" s="20">
        <v>1</v>
      </c>
      <c r="Z608" s="20" t="s">
        <v>201</v>
      </c>
      <c r="AA608" s="20" t="s">
        <v>1863</v>
      </c>
      <c r="AB608" s="31">
        <f>VLOOKUP(AA608,Masters!$K$2:$L$183,2,FALSE)</f>
        <v>1005</v>
      </c>
      <c r="AC608" s="20" t="s">
        <v>2063</v>
      </c>
      <c r="AD608" s="20" t="s">
        <v>2061</v>
      </c>
      <c r="AE608" s="20">
        <v>23</v>
      </c>
      <c r="AF608" s="20">
        <v>1</v>
      </c>
      <c r="AG608" s="20">
        <v>2005</v>
      </c>
      <c r="AH608" s="21">
        <v>38375</v>
      </c>
    </row>
    <row r="609" spans="1:34" x14ac:dyDescent="0.25">
      <c r="A609" s="35">
        <v>1109</v>
      </c>
      <c r="B609" s="20" t="s">
        <v>1841</v>
      </c>
      <c r="C609" s="20" t="s">
        <v>1841</v>
      </c>
      <c r="D609" s="94" t="s">
        <v>1036</v>
      </c>
      <c r="E609" s="20" t="s">
        <v>133</v>
      </c>
      <c r="F609" s="20" t="s">
        <v>1847</v>
      </c>
      <c r="G609" s="31" t="s">
        <v>40</v>
      </c>
      <c r="H609" s="32">
        <v>1</v>
      </c>
      <c r="J609" s="32">
        <v>1</v>
      </c>
      <c r="O609" s="20">
        <v>0</v>
      </c>
      <c r="P609" s="20">
        <v>1</v>
      </c>
      <c r="Q609" s="20">
        <v>0</v>
      </c>
      <c r="R609" s="20">
        <v>0</v>
      </c>
      <c r="X609" s="20">
        <v>1</v>
      </c>
      <c r="Z609" s="20" t="s">
        <v>58</v>
      </c>
      <c r="AA609" s="20" t="s">
        <v>1863</v>
      </c>
      <c r="AB609" s="31">
        <f>VLOOKUP(AA609,Masters!$K$2:$L$183,2,FALSE)</f>
        <v>1005</v>
      </c>
      <c r="AC609" s="20" t="s">
        <v>2063</v>
      </c>
      <c r="AD609" s="20" t="s">
        <v>2061</v>
      </c>
      <c r="AE609" s="20">
        <v>5</v>
      </c>
      <c r="AF609" s="20">
        <v>2</v>
      </c>
      <c r="AG609" s="20">
        <v>2001</v>
      </c>
      <c r="AH609" s="21">
        <v>36927</v>
      </c>
    </row>
    <row r="610" spans="1:34" x14ac:dyDescent="0.25">
      <c r="A610" s="35">
        <v>1110</v>
      </c>
      <c r="B610" s="20" t="s">
        <v>1841</v>
      </c>
      <c r="C610" s="20" t="s">
        <v>1841</v>
      </c>
      <c r="D610" s="94" t="s">
        <v>1037</v>
      </c>
      <c r="E610" s="20" t="s">
        <v>2058</v>
      </c>
      <c r="F610" s="20" t="s">
        <v>1845</v>
      </c>
      <c r="G610" s="31" t="s">
        <v>40</v>
      </c>
      <c r="H610" s="32">
        <v>1</v>
      </c>
      <c r="J610" s="32">
        <v>1</v>
      </c>
      <c r="O610" s="20">
        <v>0</v>
      </c>
      <c r="P610" s="20">
        <v>1</v>
      </c>
      <c r="Q610" s="20">
        <v>0</v>
      </c>
      <c r="R610" s="20">
        <v>0</v>
      </c>
      <c r="X610" s="20">
        <v>1</v>
      </c>
      <c r="Z610" s="20" t="s">
        <v>34</v>
      </c>
      <c r="AA610" s="20" t="s">
        <v>1862</v>
      </c>
      <c r="AB610" s="31">
        <f>VLOOKUP(AA610,Masters!$K$2:$L$183,2,FALSE)</f>
        <v>1004</v>
      </c>
      <c r="AC610" s="20" t="s">
        <v>2063</v>
      </c>
      <c r="AD610" s="20" t="s">
        <v>2061</v>
      </c>
      <c r="AE610" s="20">
        <v>8</v>
      </c>
      <c r="AF610" s="20">
        <v>9</v>
      </c>
      <c r="AG610" s="20">
        <v>2002</v>
      </c>
      <c r="AH610" s="21">
        <v>37507</v>
      </c>
    </row>
    <row r="611" spans="1:34" x14ac:dyDescent="0.25">
      <c r="A611" s="35">
        <v>1111</v>
      </c>
      <c r="B611" s="20" t="s">
        <v>1841</v>
      </c>
      <c r="C611" s="20" t="s">
        <v>1841</v>
      </c>
      <c r="D611" s="94" t="s">
        <v>1038</v>
      </c>
      <c r="E611" s="20" t="s">
        <v>2056</v>
      </c>
      <c r="F611" s="20" t="s">
        <v>1847</v>
      </c>
      <c r="G611" s="31" t="s">
        <v>40</v>
      </c>
      <c r="H611" s="32">
        <v>1</v>
      </c>
      <c r="J611" s="32">
        <v>1</v>
      </c>
      <c r="O611" s="20">
        <v>0</v>
      </c>
      <c r="P611" s="20">
        <v>1</v>
      </c>
      <c r="Q611" s="20">
        <v>0</v>
      </c>
      <c r="R611" s="20">
        <v>0</v>
      </c>
      <c r="X611" s="20">
        <v>1</v>
      </c>
      <c r="Z611" s="20" t="s">
        <v>1835</v>
      </c>
      <c r="AA611" s="20" t="s">
        <v>1862</v>
      </c>
      <c r="AB611" s="31">
        <f>VLOOKUP(AA611,Masters!$K$2:$L$183,2,FALSE)</f>
        <v>1004</v>
      </c>
      <c r="AC611" s="20" t="s">
        <v>2063</v>
      </c>
      <c r="AD611" s="20" t="s">
        <v>2061</v>
      </c>
      <c r="AE611" s="20">
        <v>13</v>
      </c>
      <c r="AF611" s="20">
        <v>1</v>
      </c>
      <c r="AG611" s="20">
        <v>2000</v>
      </c>
      <c r="AH611" s="21">
        <v>36538</v>
      </c>
    </row>
    <row r="612" spans="1:34" x14ac:dyDescent="0.25">
      <c r="A612" s="35">
        <v>1115</v>
      </c>
      <c r="B612" s="20" t="s">
        <v>1841</v>
      </c>
      <c r="C612" s="20" t="s">
        <v>1841</v>
      </c>
      <c r="D612" s="94" t="s">
        <v>1042</v>
      </c>
      <c r="E612" s="20" t="s">
        <v>135</v>
      </c>
      <c r="F612" s="20" t="s">
        <v>1844</v>
      </c>
      <c r="G612" s="31" t="s">
        <v>40</v>
      </c>
      <c r="H612" s="32">
        <v>1</v>
      </c>
      <c r="J612" s="32">
        <v>1</v>
      </c>
      <c r="O612" s="20">
        <v>0</v>
      </c>
      <c r="P612" s="20">
        <v>1</v>
      </c>
      <c r="Q612" s="20">
        <v>0</v>
      </c>
      <c r="R612" s="20">
        <v>0</v>
      </c>
      <c r="X612" s="20">
        <v>1</v>
      </c>
      <c r="Z612" s="20" t="s">
        <v>1851</v>
      </c>
      <c r="AA612" s="20" t="s">
        <v>1861</v>
      </c>
      <c r="AB612" s="31">
        <f>VLOOKUP(AA612,Masters!$K$2:$L$183,2,FALSE)</f>
        <v>1003</v>
      </c>
      <c r="AC612" s="20" t="s">
        <v>2063</v>
      </c>
      <c r="AD612" s="20" t="s">
        <v>2061</v>
      </c>
      <c r="AE612" s="20">
        <v>6</v>
      </c>
      <c r="AF612" s="20">
        <v>2</v>
      </c>
      <c r="AG612" s="20">
        <v>2005</v>
      </c>
      <c r="AH612" s="21">
        <v>38389</v>
      </c>
    </row>
    <row r="613" spans="1:34" x14ac:dyDescent="0.25">
      <c r="A613" s="35">
        <v>1118</v>
      </c>
      <c r="B613" s="20" t="s">
        <v>1841</v>
      </c>
      <c r="C613" s="20" t="s">
        <v>1841</v>
      </c>
      <c r="D613" s="94" t="s">
        <v>1045</v>
      </c>
      <c r="E613" s="20" t="s">
        <v>133</v>
      </c>
      <c r="F613" s="20" t="s">
        <v>1843</v>
      </c>
      <c r="G613" s="31" t="s">
        <v>40</v>
      </c>
      <c r="H613" s="32">
        <v>1</v>
      </c>
      <c r="J613" s="32">
        <v>1</v>
      </c>
      <c r="O613" s="20">
        <v>0</v>
      </c>
      <c r="P613" s="20">
        <v>1</v>
      </c>
      <c r="Q613" s="20">
        <v>0</v>
      </c>
      <c r="R613" s="20">
        <v>0</v>
      </c>
      <c r="X613" s="20">
        <v>1</v>
      </c>
      <c r="Z613" s="20" t="s">
        <v>1848</v>
      </c>
      <c r="AA613" s="20" t="s">
        <v>1862</v>
      </c>
      <c r="AB613" s="31">
        <f>VLOOKUP(AA613,Masters!$K$2:$L$183,2,FALSE)</f>
        <v>1004</v>
      </c>
      <c r="AC613" s="20" t="s">
        <v>2063</v>
      </c>
      <c r="AD613" s="20" t="s">
        <v>2061</v>
      </c>
      <c r="AE613" s="20">
        <v>12</v>
      </c>
      <c r="AF613" s="20">
        <v>8</v>
      </c>
      <c r="AG613" s="20">
        <v>2000</v>
      </c>
      <c r="AH613" s="21">
        <v>36750</v>
      </c>
    </row>
    <row r="614" spans="1:34" x14ac:dyDescent="0.25">
      <c r="A614" s="35">
        <v>1119</v>
      </c>
      <c r="B614" s="20" t="s">
        <v>1841</v>
      </c>
      <c r="C614" s="20" t="s">
        <v>1841</v>
      </c>
      <c r="D614" s="94" t="s">
        <v>1046</v>
      </c>
      <c r="E614" s="20" t="s">
        <v>2059</v>
      </c>
      <c r="F614" s="20" t="s">
        <v>1845</v>
      </c>
      <c r="G614" s="31" t="s">
        <v>40</v>
      </c>
      <c r="H614" s="32">
        <v>1</v>
      </c>
      <c r="J614" s="32">
        <v>1</v>
      </c>
      <c r="O614" s="20">
        <v>0</v>
      </c>
      <c r="P614" s="20">
        <v>1</v>
      </c>
      <c r="Q614" s="20">
        <v>0</v>
      </c>
      <c r="R614" s="20">
        <v>0</v>
      </c>
      <c r="X614" s="20">
        <v>1</v>
      </c>
      <c r="Z614" s="20" t="s">
        <v>201</v>
      </c>
      <c r="AA614" s="20" t="s">
        <v>1861</v>
      </c>
      <c r="AB614" s="31">
        <f>VLOOKUP(AA614,Masters!$K$2:$L$183,2,FALSE)</f>
        <v>1003</v>
      </c>
      <c r="AC614" s="20" t="s">
        <v>2063</v>
      </c>
      <c r="AD614" s="20" t="s">
        <v>2061</v>
      </c>
      <c r="AE614" s="20">
        <v>17</v>
      </c>
      <c r="AF614" s="20">
        <v>10</v>
      </c>
      <c r="AG614" s="20">
        <v>2004</v>
      </c>
      <c r="AH614" s="21">
        <v>38277</v>
      </c>
    </row>
    <row r="615" spans="1:34" x14ac:dyDescent="0.25">
      <c r="A615" s="35">
        <v>1121</v>
      </c>
      <c r="B615" s="20" t="s">
        <v>1841</v>
      </c>
      <c r="C615" s="20" t="s">
        <v>1841</v>
      </c>
      <c r="D615" s="94" t="s">
        <v>1048</v>
      </c>
      <c r="E615" s="20" t="s">
        <v>2052</v>
      </c>
      <c r="F615" s="20" t="s">
        <v>1844</v>
      </c>
      <c r="G615" s="31" t="s">
        <v>40</v>
      </c>
      <c r="H615" s="32">
        <v>1</v>
      </c>
      <c r="J615" s="32">
        <v>1</v>
      </c>
      <c r="O615" s="20">
        <v>0</v>
      </c>
      <c r="P615" s="20">
        <v>1</v>
      </c>
      <c r="Q615" s="20">
        <v>0</v>
      </c>
      <c r="R615" s="20">
        <v>0</v>
      </c>
      <c r="X615" s="20">
        <v>1</v>
      </c>
      <c r="Z615" s="20" t="s">
        <v>1854</v>
      </c>
      <c r="AA615" s="20" t="s">
        <v>1862</v>
      </c>
      <c r="AB615" s="31">
        <f>VLOOKUP(AA615,Masters!$K$2:$L$183,2,FALSE)</f>
        <v>1004</v>
      </c>
      <c r="AC615" s="20" t="s">
        <v>2063</v>
      </c>
      <c r="AD615" s="20" t="s">
        <v>2060</v>
      </c>
      <c r="AE615" s="20">
        <v>4</v>
      </c>
      <c r="AF615" s="20">
        <v>3</v>
      </c>
      <c r="AG615" s="20">
        <v>2000</v>
      </c>
      <c r="AH615" s="21">
        <v>36589</v>
      </c>
    </row>
    <row r="616" spans="1:34" x14ac:dyDescent="0.25">
      <c r="A616" s="35">
        <v>1122</v>
      </c>
      <c r="B616" s="20" t="s">
        <v>1841</v>
      </c>
      <c r="C616" s="20" t="s">
        <v>1841</v>
      </c>
      <c r="D616" s="94" t="s">
        <v>1049</v>
      </c>
      <c r="E616" s="20" t="s">
        <v>126</v>
      </c>
      <c r="F616" s="20" t="s">
        <v>1844</v>
      </c>
      <c r="G616" s="31" t="s">
        <v>40</v>
      </c>
      <c r="H616" s="32">
        <v>1</v>
      </c>
      <c r="J616" s="32">
        <v>1</v>
      </c>
      <c r="O616" s="20">
        <v>0</v>
      </c>
      <c r="P616" s="20">
        <v>1</v>
      </c>
      <c r="Q616" s="20">
        <v>0</v>
      </c>
      <c r="R616" s="20">
        <v>0</v>
      </c>
      <c r="X616" s="20">
        <v>1</v>
      </c>
      <c r="Z616" s="20" t="s">
        <v>1854</v>
      </c>
      <c r="AA616" s="20" t="s">
        <v>1863</v>
      </c>
      <c r="AB616" s="31">
        <f>VLOOKUP(AA616,Masters!$K$2:$L$183,2,FALSE)</f>
        <v>1005</v>
      </c>
      <c r="AC616" s="20" t="s">
        <v>2063</v>
      </c>
      <c r="AD616" s="20" t="s">
        <v>2060</v>
      </c>
      <c r="AE616" s="20">
        <v>13</v>
      </c>
      <c r="AF616" s="20">
        <v>12</v>
      </c>
      <c r="AG616" s="20">
        <v>2005</v>
      </c>
      <c r="AH616" s="21">
        <v>38699</v>
      </c>
    </row>
    <row r="617" spans="1:34" x14ac:dyDescent="0.25">
      <c r="A617" s="35">
        <v>1123</v>
      </c>
      <c r="B617" s="20" t="s">
        <v>1841</v>
      </c>
      <c r="C617" s="20" t="s">
        <v>1841</v>
      </c>
      <c r="D617" s="94" t="s">
        <v>1050</v>
      </c>
      <c r="E617" s="20" t="s">
        <v>2055</v>
      </c>
      <c r="F617" s="20" t="s">
        <v>1844</v>
      </c>
      <c r="G617" s="31" t="s">
        <v>40</v>
      </c>
      <c r="H617" s="32">
        <v>1</v>
      </c>
      <c r="J617" s="32">
        <v>1</v>
      </c>
      <c r="O617" s="20">
        <v>0</v>
      </c>
      <c r="P617" s="20">
        <v>1</v>
      </c>
      <c r="Q617" s="20">
        <v>0</v>
      </c>
      <c r="R617" s="20">
        <v>0</v>
      </c>
      <c r="X617" s="20">
        <v>1</v>
      </c>
      <c r="Z617" s="20" t="s">
        <v>1857</v>
      </c>
      <c r="AA617" s="20" t="s">
        <v>1861</v>
      </c>
      <c r="AB617" s="31">
        <f>VLOOKUP(AA617,Masters!$K$2:$L$183,2,FALSE)</f>
        <v>1003</v>
      </c>
      <c r="AC617" s="20" t="s">
        <v>2063</v>
      </c>
      <c r="AD617" s="20" t="s">
        <v>2060</v>
      </c>
      <c r="AE617" s="20">
        <v>28</v>
      </c>
      <c r="AF617" s="20">
        <v>11</v>
      </c>
      <c r="AG617" s="20">
        <v>2001</v>
      </c>
      <c r="AH617" s="21">
        <v>37223</v>
      </c>
    </row>
    <row r="618" spans="1:34" x14ac:dyDescent="0.25">
      <c r="A618" s="35">
        <v>1128</v>
      </c>
      <c r="B618" s="20" t="s">
        <v>1841</v>
      </c>
      <c r="C618" s="20" t="s">
        <v>1841</v>
      </c>
      <c r="D618" s="94" t="s">
        <v>1055</v>
      </c>
      <c r="E618" s="20" t="s">
        <v>135</v>
      </c>
      <c r="F618" s="20" t="s">
        <v>1843</v>
      </c>
      <c r="G618" s="31" t="s">
        <v>40</v>
      </c>
      <c r="H618" s="32">
        <v>1</v>
      </c>
      <c r="J618" s="32">
        <v>1</v>
      </c>
      <c r="O618" s="20">
        <v>0</v>
      </c>
      <c r="P618" s="20">
        <v>1</v>
      </c>
      <c r="Q618" s="20">
        <v>0</v>
      </c>
      <c r="R618" s="20">
        <v>0</v>
      </c>
      <c r="X618" s="20">
        <v>1</v>
      </c>
      <c r="Z618" s="20" t="s">
        <v>1856</v>
      </c>
      <c r="AA618" s="20" t="s">
        <v>1862</v>
      </c>
      <c r="AB618" s="31">
        <f>VLOOKUP(AA618,Masters!$K$2:$L$183,2,FALSE)</f>
        <v>1004</v>
      </c>
      <c r="AC618" s="20" t="s">
        <v>2063</v>
      </c>
      <c r="AD618" s="20" t="s">
        <v>2060</v>
      </c>
      <c r="AE618" s="20">
        <v>28</v>
      </c>
      <c r="AF618" s="20">
        <v>5</v>
      </c>
      <c r="AG618" s="20">
        <v>2004</v>
      </c>
      <c r="AH618" s="21">
        <v>38135</v>
      </c>
    </row>
    <row r="619" spans="1:34" x14ac:dyDescent="0.25">
      <c r="A619" s="35">
        <v>1131</v>
      </c>
      <c r="B619" s="20" t="s">
        <v>1841</v>
      </c>
      <c r="C619" s="20" t="s">
        <v>1841</v>
      </c>
      <c r="D619" s="94" t="s">
        <v>1058</v>
      </c>
      <c r="E619" s="20" t="s">
        <v>2053</v>
      </c>
      <c r="F619" s="20" t="s">
        <v>1845</v>
      </c>
      <c r="G619" s="31" t="s">
        <v>40</v>
      </c>
      <c r="H619" s="32">
        <v>1</v>
      </c>
      <c r="J619" s="32">
        <v>1</v>
      </c>
      <c r="O619" s="20">
        <v>0</v>
      </c>
      <c r="P619" s="20">
        <v>1</v>
      </c>
      <c r="Q619" s="20">
        <v>0</v>
      </c>
      <c r="R619" s="20">
        <v>0</v>
      </c>
      <c r="X619" s="20">
        <v>1</v>
      </c>
      <c r="Z619" s="20" t="s">
        <v>1854</v>
      </c>
      <c r="AA619" s="20" t="s">
        <v>1860</v>
      </c>
      <c r="AB619" s="31">
        <f>VLOOKUP(AA619,Masters!$K$2:$L$183,2,FALSE)</f>
        <v>1002</v>
      </c>
      <c r="AC619" s="20" t="s">
        <v>2063</v>
      </c>
      <c r="AD619" s="20" t="s">
        <v>2060</v>
      </c>
      <c r="AE619" s="20">
        <v>22</v>
      </c>
      <c r="AF619" s="20">
        <v>3</v>
      </c>
      <c r="AG619" s="20">
        <v>2000</v>
      </c>
      <c r="AH619" s="21">
        <v>36607</v>
      </c>
    </row>
    <row r="620" spans="1:34" x14ac:dyDescent="0.25">
      <c r="A620" s="35">
        <v>1132</v>
      </c>
      <c r="B620" s="20" t="s">
        <v>1841</v>
      </c>
      <c r="C620" s="20" t="s">
        <v>1841</v>
      </c>
      <c r="D620" s="94" t="s">
        <v>1059</v>
      </c>
      <c r="E620" s="20" t="s">
        <v>2053</v>
      </c>
      <c r="F620" s="20" t="s">
        <v>1843</v>
      </c>
      <c r="G620" s="31" t="s">
        <v>40</v>
      </c>
      <c r="H620" s="32">
        <v>1</v>
      </c>
      <c r="J620" s="32">
        <v>1</v>
      </c>
      <c r="O620" s="20">
        <v>0</v>
      </c>
      <c r="P620" s="20">
        <v>1</v>
      </c>
      <c r="Q620" s="20">
        <v>0</v>
      </c>
      <c r="R620" s="20">
        <v>0</v>
      </c>
      <c r="X620" s="20">
        <v>1</v>
      </c>
      <c r="Z620" s="20" t="s">
        <v>1857</v>
      </c>
      <c r="AA620" s="20" t="s">
        <v>1861</v>
      </c>
      <c r="AB620" s="31">
        <f>VLOOKUP(AA620,Masters!$K$2:$L$183,2,FALSE)</f>
        <v>1003</v>
      </c>
      <c r="AC620" s="20" t="s">
        <v>2063</v>
      </c>
      <c r="AD620" s="20" t="s">
        <v>2061</v>
      </c>
      <c r="AE620" s="20">
        <v>2</v>
      </c>
      <c r="AF620" s="20">
        <v>9</v>
      </c>
      <c r="AG620" s="20">
        <v>2001</v>
      </c>
      <c r="AH620" s="21">
        <v>37136</v>
      </c>
    </row>
    <row r="621" spans="1:34" x14ac:dyDescent="0.25">
      <c r="A621" s="35">
        <v>1135</v>
      </c>
      <c r="B621" s="20" t="s">
        <v>1841</v>
      </c>
      <c r="C621" s="20" t="s">
        <v>1841</v>
      </c>
      <c r="D621" s="94" t="s">
        <v>1062</v>
      </c>
      <c r="E621" s="20" t="s">
        <v>2052</v>
      </c>
      <c r="F621" s="20" t="s">
        <v>1845</v>
      </c>
      <c r="G621" s="31" t="s">
        <v>40</v>
      </c>
      <c r="H621" s="32">
        <v>1</v>
      </c>
      <c r="J621" s="32">
        <v>1</v>
      </c>
      <c r="O621" s="20">
        <v>0</v>
      </c>
      <c r="P621" s="20">
        <v>1</v>
      </c>
      <c r="Q621" s="20">
        <v>0</v>
      </c>
      <c r="R621" s="20">
        <v>0</v>
      </c>
      <c r="X621" s="20">
        <v>1</v>
      </c>
      <c r="Z621" s="20" t="s">
        <v>1848</v>
      </c>
      <c r="AA621" s="20" t="s">
        <v>1862</v>
      </c>
      <c r="AB621" s="31">
        <f>VLOOKUP(AA621,Masters!$K$2:$L$183,2,FALSE)</f>
        <v>1004</v>
      </c>
      <c r="AC621" s="20" t="s">
        <v>2063</v>
      </c>
      <c r="AD621" s="20" t="s">
        <v>2060</v>
      </c>
      <c r="AE621" s="20">
        <v>25</v>
      </c>
      <c r="AF621" s="20">
        <v>5</v>
      </c>
      <c r="AG621" s="20">
        <v>2003</v>
      </c>
      <c r="AH621" s="21">
        <v>37766</v>
      </c>
    </row>
    <row r="622" spans="1:34" x14ac:dyDescent="0.25">
      <c r="A622" s="35">
        <v>1138</v>
      </c>
      <c r="B622" s="20" t="s">
        <v>1841</v>
      </c>
      <c r="C622" s="20" t="s">
        <v>1841</v>
      </c>
      <c r="D622" s="94" t="s">
        <v>1065</v>
      </c>
      <c r="E622" s="20" t="s">
        <v>2050</v>
      </c>
      <c r="F622" s="20" t="s">
        <v>1844</v>
      </c>
      <c r="G622" s="31" t="s">
        <v>40</v>
      </c>
      <c r="H622" s="32">
        <v>1</v>
      </c>
      <c r="J622" s="32">
        <v>1</v>
      </c>
      <c r="O622" s="20">
        <v>0</v>
      </c>
      <c r="P622" s="20">
        <v>1</v>
      </c>
      <c r="Q622" s="20">
        <v>0</v>
      </c>
      <c r="R622" s="20">
        <v>0</v>
      </c>
      <c r="X622" s="20">
        <v>1</v>
      </c>
      <c r="Z622" s="20" t="s">
        <v>1850</v>
      </c>
      <c r="AA622" s="20" t="s">
        <v>1859</v>
      </c>
      <c r="AB622" s="31">
        <f>VLOOKUP(AA622,Masters!$K$2:$L$183,2,FALSE)</f>
        <v>1001</v>
      </c>
      <c r="AC622" s="20" t="s">
        <v>2063</v>
      </c>
      <c r="AD622" s="20" t="s">
        <v>2061</v>
      </c>
      <c r="AE622" s="20">
        <v>27</v>
      </c>
      <c r="AF622" s="20">
        <v>2</v>
      </c>
      <c r="AG622" s="20">
        <v>2004</v>
      </c>
      <c r="AH622" s="21">
        <v>38044</v>
      </c>
    </row>
    <row r="623" spans="1:34" x14ac:dyDescent="0.25">
      <c r="A623" s="35">
        <v>1142</v>
      </c>
      <c r="B623" s="20" t="s">
        <v>1841</v>
      </c>
      <c r="C623" s="20" t="s">
        <v>1841</v>
      </c>
      <c r="D623" s="94" t="s">
        <v>1069</v>
      </c>
      <c r="E623" s="20" t="s">
        <v>2053</v>
      </c>
      <c r="F623" s="20" t="s">
        <v>1843</v>
      </c>
      <c r="G623" s="31" t="s">
        <v>40</v>
      </c>
      <c r="H623" s="32">
        <v>1</v>
      </c>
      <c r="J623" s="32">
        <v>1</v>
      </c>
      <c r="O623" s="20">
        <v>0</v>
      </c>
      <c r="P623" s="20">
        <v>1</v>
      </c>
      <c r="Q623" s="20">
        <v>0</v>
      </c>
      <c r="R623" s="20">
        <v>0</v>
      </c>
      <c r="X623" s="20">
        <v>1</v>
      </c>
      <c r="Z623" s="20" t="s">
        <v>58</v>
      </c>
      <c r="AA623" s="20" t="s">
        <v>1859</v>
      </c>
      <c r="AB623" s="31">
        <f>VLOOKUP(AA623,Masters!$K$2:$L$183,2,FALSE)</f>
        <v>1001</v>
      </c>
      <c r="AC623" s="20" t="s">
        <v>2063</v>
      </c>
      <c r="AD623" s="20" t="s">
        <v>2061</v>
      </c>
      <c r="AE623" s="20">
        <v>23</v>
      </c>
      <c r="AF623" s="20">
        <v>10</v>
      </c>
      <c r="AG623" s="20">
        <v>2000</v>
      </c>
      <c r="AH623" s="21">
        <v>36822</v>
      </c>
    </row>
    <row r="624" spans="1:34" x14ac:dyDescent="0.25">
      <c r="A624" s="35">
        <v>1143</v>
      </c>
      <c r="B624" s="20" t="s">
        <v>1841</v>
      </c>
      <c r="C624" s="20" t="s">
        <v>1841</v>
      </c>
      <c r="D624" s="94" t="s">
        <v>1070</v>
      </c>
      <c r="E624" s="20" t="s">
        <v>2050</v>
      </c>
      <c r="F624" s="20" t="s">
        <v>1845</v>
      </c>
      <c r="G624" s="31" t="s">
        <v>40</v>
      </c>
      <c r="H624" s="32">
        <v>1</v>
      </c>
      <c r="J624" s="32">
        <v>1</v>
      </c>
      <c r="O624" s="20">
        <v>0</v>
      </c>
      <c r="P624" s="20">
        <v>1</v>
      </c>
      <c r="Q624" s="20">
        <v>0</v>
      </c>
      <c r="R624" s="20">
        <v>0</v>
      </c>
      <c r="X624" s="20">
        <v>1</v>
      </c>
      <c r="Z624" s="20" t="s">
        <v>1856</v>
      </c>
      <c r="AA624" s="20" t="s">
        <v>1863</v>
      </c>
      <c r="AB624" s="31">
        <f>VLOOKUP(AA624,Masters!$K$2:$L$183,2,FALSE)</f>
        <v>1005</v>
      </c>
      <c r="AC624" s="20" t="s">
        <v>2063</v>
      </c>
      <c r="AD624" s="20" t="s">
        <v>2060</v>
      </c>
      <c r="AE624" s="20">
        <v>9</v>
      </c>
      <c r="AF624" s="20">
        <v>6</v>
      </c>
      <c r="AG624" s="20">
        <v>2000</v>
      </c>
      <c r="AH624" s="21">
        <v>36686</v>
      </c>
    </row>
    <row r="625" spans="1:34" x14ac:dyDescent="0.25">
      <c r="A625" s="35">
        <v>1144</v>
      </c>
      <c r="B625" s="20" t="s">
        <v>1841</v>
      </c>
      <c r="C625" s="20" t="s">
        <v>1841</v>
      </c>
      <c r="D625" s="94" t="s">
        <v>1071</v>
      </c>
      <c r="E625" s="20" t="s">
        <v>133</v>
      </c>
      <c r="F625" s="20" t="s">
        <v>1843</v>
      </c>
      <c r="G625" s="31" t="s">
        <v>40</v>
      </c>
      <c r="H625" s="32">
        <v>1</v>
      </c>
      <c r="J625" s="32">
        <v>1</v>
      </c>
      <c r="O625" s="20">
        <v>0</v>
      </c>
      <c r="P625" s="20">
        <v>1</v>
      </c>
      <c r="Q625" s="20">
        <v>0</v>
      </c>
      <c r="R625" s="20">
        <v>0</v>
      </c>
      <c r="X625" s="20">
        <v>1</v>
      </c>
      <c r="Z625" s="20" t="s">
        <v>1855</v>
      </c>
      <c r="AA625" s="20" t="s">
        <v>1859</v>
      </c>
      <c r="AB625" s="31">
        <f>VLOOKUP(AA625,Masters!$K$2:$L$183,2,FALSE)</f>
        <v>1001</v>
      </c>
      <c r="AC625" s="20" t="s">
        <v>2063</v>
      </c>
      <c r="AD625" s="20" t="s">
        <v>2061</v>
      </c>
      <c r="AE625" s="20">
        <v>5</v>
      </c>
      <c r="AF625" s="20">
        <v>1</v>
      </c>
      <c r="AG625" s="20">
        <v>2005</v>
      </c>
      <c r="AH625" s="21">
        <v>38357</v>
      </c>
    </row>
    <row r="626" spans="1:34" x14ac:dyDescent="0.25">
      <c r="A626" s="35">
        <v>1147</v>
      </c>
      <c r="B626" s="20" t="s">
        <v>1841</v>
      </c>
      <c r="C626" s="20" t="s">
        <v>1841</v>
      </c>
      <c r="D626" s="94" t="s">
        <v>1074</v>
      </c>
      <c r="E626" s="20" t="s">
        <v>133</v>
      </c>
      <c r="F626" s="20" t="s">
        <v>1846</v>
      </c>
      <c r="G626" s="31" t="s">
        <v>40</v>
      </c>
      <c r="H626" s="32">
        <v>1</v>
      </c>
      <c r="J626" s="32">
        <v>1</v>
      </c>
      <c r="O626" s="20">
        <v>0</v>
      </c>
      <c r="P626" s="20">
        <v>1</v>
      </c>
      <c r="Q626" s="20">
        <v>0</v>
      </c>
      <c r="R626" s="20">
        <v>0</v>
      </c>
      <c r="X626" s="20">
        <v>1</v>
      </c>
      <c r="Z626" s="20" t="s">
        <v>78</v>
      </c>
      <c r="AA626" s="20" t="s">
        <v>1863</v>
      </c>
      <c r="AB626" s="31">
        <f>VLOOKUP(AA626,Masters!$K$2:$L$183,2,FALSE)</f>
        <v>1005</v>
      </c>
      <c r="AC626" s="20" t="s">
        <v>2063</v>
      </c>
      <c r="AD626" s="20" t="s">
        <v>2060</v>
      </c>
      <c r="AE626" s="20">
        <v>25</v>
      </c>
      <c r="AF626" s="20">
        <v>3</v>
      </c>
      <c r="AG626" s="20">
        <v>2005</v>
      </c>
      <c r="AH626" s="21">
        <v>38436</v>
      </c>
    </row>
    <row r="627" spans="1:34" x14ac:dyDescent="0.25">
      <c r="A627" s="35">
        <v>1148</v>
      </c>
      <c r="B627" s="20" t="s">
        <v>1841</v>
      </c>
      <c r="C627" s="20" t="s">
        <v>1841</v>
      </c>
      <c r="D627" s="94" t="s">
        <v>1075</v>
      </c>
      <c r="E627" s="20" t="s">
        <v>2053</v>
      </c>
      <c r="F627" s="20" t="s">
        <v>1843</v>
      </c>
      <c r="G627" s="31" t="s">
        <v>40</v>
      </c>
      <c r="H627" s="32">
        <v>1</v>
      </c>
      <c r="J627" s="32">
        <v>1</v>
      </c>
      <c r="O627" s="20">
        <v>0</v>
      </c>
      <c r="P627" s="20">
        <v>1</v>
      </c>
      <c r="Q627" s="20">
        <v>0</v>
      </c>
      <c r="R627" s="20">
        <v>0</v>
      </c>
      <c r="X627" s="20">
        <v>1</v>
      </c>
      <c r="Z627" s="20" t="s">
        <v>1848</v>
      </c>
      <c r="AA627" s="20" t="s">
        <v>1863</v>
      </c>
      <c r="AB627" s="31">
        <f>VLOOKUP(AA627,Masters!$K$2:$L$183,2,FALSE)</f>
        <v>1005</v>
      </c>
      <c r="AC627" s="20" t="s">
        <v>2063</v>
      </c>
      <c r="AD627" s="20" t="s">
        <v>2061</v>
      </c>
      <c r="AE627" s="20">
        <v>14</v>
      </c>
      <c r="AF627" s="20">
        <v>11</v>
      </c>
      <c r="AG627" s="20">
        <v>2001</v>
      </c>
      <c r="AH627" s="21">
        <v>37209</v>
      </c>
    </row>
    <row r="628" spans="1:34" x14ac:dyDescent="0.25">
      <c r="A628" s="35">
        <v>1150</v>
      </c>
      <c r="B628" s="20" t="s">
        <v>1841</v>
      </c>
      <c r="C628" s="20" t="s">
        <v>1841</v>
      </c>
      <c r="D628" s="94" t="s">
        <v>1077</v>
      </c>
      <c r="E628" s="20" t="s">
        <v>2050</v>
      </c>
      <c r="F628" s="20" t="s">
        <v>1843</v>
      </c>
      <c r="G628" s="31" t="s">
        <v>40</v>
      </c>
      <c r="H628" s="32">
        <v>1</v>
      </c>
      <c r="J628" s="32">
        <v>1</v>
      </c>
      <c r="O628" s="20">
        <v>0</v>
      </c>
      <c r="P628" s="20">
        <v>1</v>
      </c>
      <c r="Q628" s="20">
        <v>0</v>
      </c>
      <c r="R628" s="20">
        <v>0</v>
      </c>
      <c r="X628" s="20">
        <v>1</v>
      </c>
      <c r="Z628" s="20" t="s">
        <v>34</v>
      </c>
      <c r="AA628" s="20" t="s">
        <v>1862</v>
      </c>
      <c r="AB628" s="31">
        <f>VLOOKUP(AA628,Masters!$K$2:$L$183,2,FALSE)</f>
        <v>1004</v>
      </c>
      <c r="AC628" s="20" t="s">
        <v>2063</v>
      </c>
      <c r="AD628" s="20" t="s">
        <v>2060</v>
      </c>
      <c r="AE628" s="20">
        <v>21</v>
      </c>
      <c r="AF628" s="20">
        <v>8</v>
      </c>
      <c r="AG628" s="20">
        <v>2000</v>
      </c>
      <c r="AH628" s="21">
        <v>36759</v>
      </c>
    </row>
    <row r="629" spans="1:34" x14ac:dyDescent="0.25">
      <c r="A629" s="35">
        <v>1154</v>
      </c>
      <c r="B629" s="20" t="s">
        <v>1841</v>
      </c>
      <c r="C629" s="20" t="s">
        <v>1841</v>
      </c>
      <c r="D629" s="94" t="s">
        <v>1081</v>
      </c>
      <c r="E629" s="20" t="s">
        <v>2056</v>
      </c>
      <c r="F629" s="20" t="s">
        <v>1847</v>
      </c>
      <c r="G629" s="31" t="s">
        <v>40</v>
      </c>
      <c r="H629" s="32">
        <v>1</v>
      </c>
      <c r="J629" s="32">
        <v>1</v>
      </c>
      <c r="O629" s="20">
        <v>0</v>
      </c>
      <c r="P629" s="20">
        <v>1</v>
      </c>
      <c r="Q629" s="20">
        <v>0</v>
      </c>
      <c r="R629" s="20">
        <v>0</v>
      </c>
      <c r="X629" s="20">
        <v>1</v>
      </c>
      <c r="Z629" s="20" t="s">
        <v>1850</v>
      </c>
      <c r="AA629" s="20" t="s">
        <v>1862</v>
      </c>
      <c r="AB629" s="31">
        <f>VLOOKUP(AA629,Masters!$K$2:$L$183,2,FALSE)</f>
        <v>1004</v>
      </c>
      <c r="AC629" s="20" t="s">
        <v>2063</v>
      </c>
      <c r="AD629" s="20" t="s">
        <v>2061</v>
      </c>
      <c r="AE629" s="20">
        <v>14</v>
      </c>
      <c r="AF629" s="20">
        <v>12</v>
      </c>
      <c r="AG629" s="20">
        <v>2003</v>
      </c>
      <c r="AH629" s="21">
        <v>37969</v>
      </c>
    </row>
    <row r="630" spans="1:34" x14ac:dyDescent="0.25">
      <c r="A630" s="35">
        <v>1156</v>
      </c>
      <c r="B630" s="20" t="s">
        <v>1841</v>
      </c>
      <c r="C630" s="20" t="s">
        <v>1841</v>
      </c>
      <c r="D630" s="94" t="s">
        <v>1083</v>
      </c>
      <c r="E630" s="20" t="s">
        <v>2057</v>
      </c>
      <c r="F630" s="20" t="s">
        <v>1846</v>
      </c>
      <c r="G630" s="31" t="s">
        <v>40</v>
      </c>
      <c r="H630" s="32">
        <v>1</v>
      </c>
      <c r="J630" s="32">
        <v>1</v>
      </c>
      <c r="O630" s="20">
        <v>0</v>
      </c>
      <c r="P630" s="20">
        <v>1</v>
      </c>
      <c r="Q630" s="20">
        <v>0</v>
      </c>
      <c r="R630" s="20">
        <v>0</v>
      </c>
      <c r="X630" s="20">
        <v>1</v>
      </c>
      <c r="Z630" s="20" t="s">
        <v>1853</v>
      </c>
      <c r="AA630" s="20" t="s">
        <v>1861</v>
      </c>
      <c r="AB630" s="31">
        <f>VLOOKUP(AA630,Masters!$K$2:$L$183,2,FALSE)</f>
        <v>1003</v>
      </c>
      <c r="AC630" s="20" t="s">
        <v>2063</v>
      </c>
      <c r="AD630" s="20" t="s">
        <v>2060</v>
      </c>
      <c r="AE630" s="20">
        <v>29</v>
      </c>
      <c r="AF630" s="20">
        <v>4</v>
      </c>
      <c r="AG630" s="20">
        <v>2004</v>
      </c>
      <c r="AH630" s="21">
        <v>38106</v>
      </c>
    </row>
    <row r="631" spans="1:34" x14ac:dyDescent="0.25">
      <c r="A631" s="35">
        <v>1161</v>
      </c>
      <c r="B631" s="20" t="s">
        <v>1841</v>
      </c>
      <c r="C631" s="20" t="s">
        <v>1841</v>
      </c>
      <c r="D631" s="94" t="s">
        <v>1088</v>
      </c>
      <c r="E631" s="20" t="s">
        <v>2055</v>
      </c>
      <c r="F631" s="20" t="s">
        <v>1843</v>
      </c>
      <c r="G631" s="31" t="s">
        <v>40</v>
      </c>
      <c r="H631" s="32">
        <v>1</v>
      </c>
      <c r="J631" s="32">
        <v>1</v>
      </c>
      <c r="O631" s="20">
        <v>0</v>
      </c>
      <c r="P631" s="20">
        <v>1</v>
      </c>
      <c r="Q631" s="20">
        <v>0</v>
      </c>
      <c r="R631" s="20">
        <v>0</v>
      </c>
      <c r="X631" s="20">
        <v>1</v>
      </c>
      <c r="Z631" s="20" t="s">
        <v>1835</v>
      </c>
      <c r="AA631" s="20" t="s">
        <v>1860</v>
      </c>
      <c r="AB631" s="31">
        <f>VLOOKUP(AA631,Masters!$K$2:$L$183,2,FALSE)</f>
        <v>1002</v>
      </c>
      <c r="AC631" s="20" t="s">
        <v>2063</v>
      </c>
      <c r="AD631" s="20" t="s">
        <v>2061</v>
      </c>
      <c r="AE631" s="20">
        <v>23</v>
      </c>
      <c r="AF631" s="20">
        <v>5</v>
      </c>
      <c r="AG631" s="20">
        <v>2004</v>
      </c>
      <c r="AH631" s="21">
        <v>38130</v>
      </c>
    </row>
    <row r="632" spans="1:34" x14ac:dyDescent="0.25">
      <c r="A632" s="35">
        <v>1164</v>
      </c>
      <c r="B632" s="20" t="s">
        <v>1841</v>
      </c>
      <c r="C632" s="20" t="s">
        <v>1841</v>
      </c>
      <c r="D632" s="94" t="s">
        <v>1091</v>
      </c>
      <c r="E632" s="20" t="s">
        <v>2058</v>
      </c>
      <c r="F632" s="20" t="s">
        <v>1845</v>
      </c>
      <c r="G632" s="31" t="s">
        <v>40</v>
      </c>
      <c r="H632" s="32">
        <v>1</v>
      </c>
      <c r="J632" s="32">
        <v>1</v>
      </c>
      <c r="O632" s="20">
        <v>0</v>
      </c>
      <c r="P632" s="20">
        <v>1</v>
      </c>
      <c r="Q632" s="20">
        <v>0</v>
      </c>
      <c r="R632" s="20">
        <v>0</v>
      </c>
      <c r="X632" s="20">
        <v>1</v>
      </c>
      <c r="Z632" s="20" t="s">
        <v>1854</v>
      </c>
      <c r="AA632" s="20" t="s">
        <v>1861</v>
      </c>
      <c r="AB632" s="31">
        <f>VLOOKUP(AA632,Masters!$K$2:$L$183,2,FALSE)</f>
        <v>1003</v>
      </c>
      <c r="AC632" s="20" t="s">
        <v>2063</v>
      </c>
      <c r="AD632" s="20" t="s">
        <v>2060</v>
      </c>
      <c r="AE632" s="20">
        <v>5</v>
      </c>
      <c r="AF632" s="20">
        <v>5</v>
      </c>
      <c r="AG632" s="20">
        <v>2002</v>
      </c>
      <c r="AH632" s="21">
        <v>37381</v>
      </c>
    </row>
    <row r="633" spans="1:34" x14ac:dyDescent="0.25">
      <c r="A633" s="35">
        <v>1165</v>
      </c>
      <c r="B633" s="20" t="s">
        <v>1841</v>
      </c>
      <c r="C633" s="20" t="s">
        <v>1841</v>
      </c>
      <c r="D633" s="94" t="s">
        <v>1092</v>
      </c>
      <c r="E633" s="20" t="s">
        <v>2058</v>
      </c>
      <c r="F633" s="20" t="s">
        <v>1846</v>
      </c>
      <c r="G633" s="31" t="s">
        <v>40</v>
      </c>
      <c r="H633" s="32">
        <v>1</v>
      </c>
      <c r="J633" s="32">
        <v>1</v>
      </c>
      <c r="O633" s="20">
        <v>0</v>
      </c>
      <c r="P633" s="20">
        <v>1</v>
      </c>
      <c r="Q633" s="20">
        <v>0</v>
      </c>
      <c r="R633" s="20">
        <v>0</v>
      </c>
      <c r="X633" s="20">
        <v>1</v>
      </c>
      <c r="Z633" s="20" t="s">
        <v>1835</v>
      </c>
      <c r="AA633" s="20" t="s">
        <v>1861</v>
      </c>
      <c r="AB633" s="31">
        <f>VLOOKUP(AA633,Masters!$K$2:$L$183,2,FALSE)</f>
        <v>1003</v>
      </c>
      <c r="AC633" s="20" t="s">
        <v>2063</v>
      </c>
      <c r="AD633" s="20" t="s">
        <v>2060</v>
      </c>
      <c r="AE633" s="20">
        <v>18</v>
      </c>
      <c r="AF633" s="20">
        <v>8</v>
      </c>
      <c r="AG633" s="20">
        <v>2002</v>
      </c>
      <c r="AH633" s="21">
        <v>37486</v>
      </c>
    </row>
    <row r="634" spans="1:34" x14ac:dyDescent="0.25">
      <c r="A634" s="35">
        <v>1166</v>
      </c>
      <c r="B634" s="20" t="s">
        <v>1841</v>
      </c>
      <c r="C634" s="20" t="s">
        <v>1841</v>
      </c>
      <c r="D634" s="94" t="s">
        <v>1093</v>
      </c>
      <c r="E634" s="20" t="s">
        <v>2058</v>
      </c>
      <c r="F634" s="20" t="s">
        <v>1844</v>
      </c>
      <c r="G634" s="31" t="s">
        <v>40</v>
      </c>
      <c r="H634" s="32">
        <v>1</v>
      </c>
      <c r="J634" s="32">
        <v>1</v>
      </c>
      <c r="O634" s="20">
        <v>0</v>
      </c>
      <c r="P634" s="20">
        <v>1</v>
      </c>
      <c r="Q634" s="20">
        <v>0</v>
      </c>
      <c r="R634" s="20">
        <v>0</v>
      </c>
      <c r="X634" s="20">
        <v>1</v>
      </c>
      <c r="Z634" s="20" t="s">
        <v>1856</v>
      </c>
      <c r="AA634" s="20" t="s">
        <v>1863</v>
      </c>
      <c r="AB634" s="31">
        <f>VLOOKUP(AA634,Masters!$K$2:$L$183,2,FALSE)</f>
        <v>1005</v>
      </c>
      <c r="AC634" s="20" t="s">
        <v>2063</v>
      </c>
      <c r="AD634" s="20" t="s">
        <v>2061</v>
      </c>
      <c r="AE634" s="20">
        <v>21</v>
      </c>
      <c r="AF634" s="20">
        <v>7</v>
      </c>
      <c r="AG634" s="20">
        <v>2004</v>
      </c>
      <c r="AH634" s="21">
        <v>38189</v>
      </c>
    </row>
    <row r="635" spans="1:34" x14ac:dyDescent="0.25">
      <c r="A635" s="35">
        <v>1168</v>
      </c>
      <c r="B635" s="20" t="s">
        <v>1841</v>
      </c>
      <c r="C635" s="20" t="s">
        <v>1841</v>
      </c>
      <c r="D635" s="94" t="s">
        <v>1095</v>
      </c>
      <c r="E635" s="20" t="s">
        <v>2054</v>
      </c>
      <c r="F635" s="20" t="s">
        <v>1844</v>
      </c>
      <c r="G635" s="31" t="s">
        <v>40</v>
      </c>
      <c r="H635" s="32">
        <v>1</v>
      </c>
      <c r="J635" s="32">
        <v>1</v>
      </c>
      <c r="O635" s="20">
        <v>0</v>
      </c>
      <c r="P635" s="20">
        <v>1</v>
      </c>
      <c r="Q635" s="20">
        <v>0</v>
      </c>
      <c r="R635" s="20">
        <v>0</v>
      </c>
      <c r="X635" s="20">
        <v>1</v>
      </c>
      <c r="Z635" s="20" t="s">
        <v>1854</v>
      </c>
      <c r="AA635" s="20" t="s">
        <v>1863</v>
      </c>
      <c r="AB635" s="31">
        <f>VLOOKUP(AA635,Masters!$K$2:$L$183,2,FALSE)</f>
        <v>1005</v>
      </c>
      <c r="AC635" s="20" t="s">
        <v>2063</v>
      </c>
      <c r="AD635" s="20" t="s">
        <v>2060</v>
      </c>
      <c r="AE635" s="20">
        <v>20</v>
      </c>
      <c r="AF635" s="20">
        <v>3</v>
      </c>
      <c r="AG635" s="20">
        <v>2005</v>
      </c>
      <c r="AH635" s="21">
        <v>38431</v>
      </c>
    </row>
    <row r="636" spans="1:34" x14ac:dyDescent="0.25">
      <c r="A636" s="35">
        <v>1169</v>
      </c>
      <c r="B636" s="20" t="s">
        <v>1841</v>
      </c>
      <c r="C636" s="20" t="s">
        <v>1841</v>
      </c>
      <c r="D636" s="94" t="s">
        <v>1096</v>
      </c>
      <c r="E636" s="20" t="s">
        <v>2050</v>
      </c>
      <c r="F636" s="20" t="s">
        <v>1846</v>
      </c>
      <c r="G636" s="31" t="s">
        <v>40</v>
      </c>
      <c r="H636" s="32">
        <v>1</v>
      </c>
      <c r="J636" s="32">
        <v>1</v>
      </c>
      <c r="O636" s="20">
        <v>0</v>
      </c>
      <c r="P636" s="20">
        <v>1</v>
      </c>
      <c r="Q636" s="20">
        <v>0</v>
      </c>
      <c r="R636" s="20">
        <v>0</v>
      </c>
      <c r="X636" s="20">
        <v>1</v>
      </c>
      <c r="Z636" s="20" t="s">
        <v>1850</v>
      </c>
      <c r="AA636" s="20" t="s">
        <v>1863</v>
      </c>
      <c r="AB636" s="31">
        <f>VLOOKUP(AA636,Masters!$K$2:$L$183,2,FALSE)</f>
        <v>1005</v>
      </c>
      <c r="AC636" s="20" t="s">
        <v>2063</v>
      </c>
      <c r="AD636" s="20" t="s">
        <v>2061</v>
      </c>
      <c r="AE636" s="20">
        <v>24</v>
      </c>
      <c r="AF636" s="20">
        <v>12</v>
      </c>
      <c r="AG636" s="20">
        <v>2004</v>
      </c>
      <c r="AH636" s="21">
        <v>38345</v>
      </c>
    </row>
    <row r="637" spans="1:34" x14ac:dyDescent="0.25">
      <c r="A637" s="35">
        <v>1170</v>
      </c>
      <c r="B637" s="20" t="s">
        <v>1841</v>
      </c>
      <c r="C637" s="20" t="s">
        <v>1841</v>
      </c>
      <c r="D637" s="94" t="s">
        <v>1097</v>
      </c>
      <c r="E637" s="20" t="s">
        <v>133</v>
      </c>
      <c r="F637" s="20" t="s">
        <v>1847</v>
      </c>
      <c r="G637" s="31" t="s">
        <v>40</v>
      </c>
      <c r="H637" s="32">
        <v>1</v>
      </c>
      <c r="J637" s="32">
        <v>1</v>
      </c>
      <c r="O637" s="20">
        <v>0</v>
      </c>
      <c r="P637" s="20">
        <v>1</v>
      </c>
      <c r="Q637" s="20">
        <v>0</v>
      </c>
      <c r="R637" s="20">
        <v>0</v>
      </c>
      <c r="X637" s="20">
        <v>1</v>
      </c>
      <c r="Z637" s="20" t="s">
        <v>58</v>
      </c>
      <c r="AA637" s="20" t="s">
        <v>1860</v>
      </c>
      <c r="AB637" s="31">
        <f>VLOOKUP(AA637,Masters!$K$2:$L$183,2,FALSE)</f>
        <v>1002</v>
      </c>
      <c r="AC637" s="20" t="s">
        <v>2063</v>
      </c>
      <c r="AD637" s="20" t="s">
        <v>2060</v>
      </c>
      <c r="AE637" s="20">
        <v>9</v>
      </c>
      <c r="AF637" s="20">
        <v>2</v>
      </c>
      <c r="AG637" s="20">
        <v>2004</v>
      </c>
      <c r="AH637" s="21">
        <v>38026</v>
      </c>
    </row>
    <row r="638" spans="1:34" x14ac:dyDescent="0.25">
      <c r="A638" s="35">
        <v>1171</v>
      </c>
      <c r="B638" s="20" t="s">
        <v>1841</v>
      </c>
      <c r="C638" s="20" t="s">
        <v>1841</v>
      </c>
      <c r="D638" s="94" t="s">
        <v>1098</v>
      </c>
      <c r="E638" s="20" t="s">
        <v>2058</v>
      </c>
      <c r="F638" s="20" t="s">
        <v>1845</v>
      </c>
      <c r="G638" s="31" t="s">
        <v>40</v>
      </c>
      <c r="H638" s="32">
        <v>1</v>
      </c>
      <c r="J638" s="32">
        <v>1</v>
      </c>
      <c r="O638" s="20">
        <v>0</v>
      </c>
      <c r="P638" s="20">
        <v>1</v>
      </c>
      <c r="Q638" s="20">
        <v>0</v>
      </c>
      <c r="R638" s="20">
        <v>0</v>
      </c>
      <c r="X638" s="20">
        <v>1</v>
      </c>
      <c r="Z638" s="20" t="s">
        <v>1853</v>
      </c>
      <c r="AA638" s="20" t="s">
        <v>1861</v>
      </c>
      <c r="AB638" s="31">
        <f>VLOOKUP(AA638,Masters!$K$2:$L$183,2,FALSE)</f>
        <v>1003</v>
      </c>
      <c r="AC638" s="20" t="s">
        <v>2063</v>
      </c>
      <c r="AD638" s="20" t="s">
        <v>2060</v>
      </c>
      <c r="AE638" s="20">
        <v>2</v>
      </c>
      <c r="AF638" s="20">
        <v>2</v>
      </c>
      <c r="AG638" s="20">
        <v>2005</v>
      </c>
      <c r="AH638" s="21">
        <v>38385</v>
      </c>
    </row>
    <row r="639" spans="1:34" x14ac:dyDescent="0.25">
      <c r="A639" s="35">
        <v>1174</v>
      </c>
      <c r="B639" s="20" t="s">
        <v>1841</v>
      </c>
      <c r="C639" s="20" t="s">
        <v>1841</v>
      </c>
      <c r="D639" s="94" t="s">
        <v>1101</v>
      </c>
      <c r="E639" s="20" t="s">
        <v>2050</v>
      </c>
      <c r="F639" s="20" t="s">
        <v>1844</v>
      </c>
      <c r="G639" s="31" t="s">
        <v>40</v>
      </c>
      <c r="H639" s="32">
        <v>1</v>
      </c>
      <c r="J639" s="32">
        <v>1</v>
      </c>
      <c r="O639" s="20">
        <v>0</v>
      </c>
      <c r="P639" s="20">
        <v>1</v>
      </c>
      <c r="Q639" s="20">
        <v>0</v>
      </c>
      <c r="R639" s="20">
        <v>0</v>
      </c>
      <c r="X639" s="20">
        <v>1</v>
      </c>
      <c r="Z639" s="20" t="s">
        <v>1853</v>
      </c>
      <c r="AA639" s="20" t="s">
        <v>1861</v>
      </c>
      <c r="AB639" s="31">
        <f>VLOOKUP(AA639,Masters!$K$2:$L$183,2,FALSE)</f>
        <v>1003</v>
      </c>
      <c r="AC639" s="20" t="s">
        <v>2063</v>
      </c>
      <c r="AD639" s="20" t="s">
        <v>2060</v>
      </c>
      <c r="AE639" s="20">
        <v>31</v>
      </c>
      <c r="AF639" s="20">
        <v>7</v>
      </c>
      <c r="AG639" s="20">
        <v>2005</v>
      </c>
      <c r="AH639" s="21">
        <v>38564</v>
      </c>
    </row>
    <row r="640" spans="1:34" x14ac:dyDescent="0.25">
      <c r="A640" s="35">
        <v>1175</v>
      </c>
      <c r="B640" s="20" t="s">
        <v>1841</v>
      </c>
      <c r="C640" s="20" t="s">
        <v>1841</v>
      </c>
      <c r="D640" s="94" t="s">
        <v>1102</v>
      </c>
      <c r="E640" s="20" t="s">
        <v>2056</v>
      </c>
      <c r="F640" s="20" t="s">
        <v>1846</v>
      </c>
      <c r="G640" s="31" t="s">
        <v>40</v>
      </c>
      <c r="H640" s="32">
        <v>1</v>
      </c>
      <c r="J640" s="32">
        <v>1</v>
      </c>
      <c r="O640" s="20">
        <v>0</v>
      </c>
      <c r="P640" s="20">
        <v>1</v>
      </c>
      <c r="Q640" s="20">
        <v>0</v>
      </c>
      <c r="R640" s="20">
        <v>0</v>
      </c>
      <c r="X640" s="20">
        <v>1</v>
      </c>
      <c r="Z640" s="20" t="s">
        <v>100</v>
      </c>
      <c r="AA640" s="20" t="s">
        <v>1862</v>
      </c>
      <c r="AB640" s="31">
        <f>VLOOKUP(AA640,Masters!$K$2:$L$183,2,FALSE)</f>
        <v>1004</v>
      </c>
      <c r="AC640" s="20" t="s">
        <v>2063</v>
      </c>
      <c r="AD640" s="20" t="s">
        <v>2060</v>
      </c>
      <c r="AE640" s="20">
        <v>14</v>
      </c>
      <c r="AF640" s="20">
        <v>8</v>
      </c>
      <c r="AG640" s="20">
        <v>2001</v>
      </c>
      <c r="AH640" s="21">
        <v>37117</v>
      </c>
    </row>
    <row r="641" spans="1:34" x14ac:dyDescent="0.25">
      <c r="A641" s="35">
        <v>1176</v>
      </c>
      <c r="B641" s="20" t="s">
        <v>1841</v>
      </c>
      <c r="C641" s="20" t="s">
        <v>1841</v>
      </c>
      <c r="D641" s="94" t="s">
        <v>1103</v>
      </c>
      <c r="E641" s="20" t="s">
        <v>2050</v>
      </c>
      <c r="F641" s="20" t="s">
        <v>1847</v>
      </c>
      <c r="G641" s="31" t="s">
        <v>40</v>
      </c>
      <c r="H641" s="32">
        <v>1</v>
      </c>
      <c r="J641" s="32">
        <v>1</v>
      </c>
      <c r="O641" s="20">
        <v>0</v>
      </c>
      <c r="P641" s="20">
        <v>1</v>
      </c>
      <c r="Q641" s="20">
        <v>0</v>
      </c>
      <c r="R641" s="20">
        <v>0</v>
      </c>
      <c r="X641" s="20">
        <v>1</v>
      </c>
      <c r="Z641" s="20" t="s">
        <v>1856</v>
      </c>
      <c r="AA641" s="20" t="s">
        <v>1861</v>
      </c>
      <c r="AB641" s="31">
        <f>VLOOKUP(AA641,Masters!$K$2:$L$183,2,FALSE)</f>
        <v>1003</v>
      </c>
      <c r="AC641" s="20" t="s">
        <v>2063</v>
      </c>
      <c r="AD641" s="20" t="s">
        <v>2061</v>
      </c>
      <c r="AE641" s="20">
        <v>9</v>
      </c>
      <c r="AF641" s="20">
        <v>4</v>
      </c>
      <c r="AG641" s="20">
        <v>2005</v>
      </c>
      <c r="AH641" s="21">
        <v>38451</v>
      </c>
    </row>
    <row r="642" spans="1:34" x14ac:dyDescent="0.25">
      <c r="A642" s="35">
        <v>1177</v>
      </c>
      <c r="B642" s="20" t="s">
        <v>1841</v>
      </c>
      <c r="C642" s="20" t="s">
        <v>1841</v>
      </c>
      <c r="D642" s="94" t="s">
        <v>1104</v>
      </c>
      <c r="E642" s="20" t="s">
        <v>2051</v>
      </c>
      <c r="F642" s="20" t="s">
        <v>1844</v>
      </c>
      <c r="G642" s="31" t="s">
        <v>40</v>
      </c>
      <c r="H642" s="32">
        <v>1</v>
      </c>
      <c r="J642" s="32">
        <v>1</v>
      </c>
      <c r="O642" s="20">
        <v>0</v>
      </c>
      <c r="P642" s="20">
        <v>1</v>
      </c>
      <c r="Q642" s="20">
        <v>0</v>
      </c>
      <c r="R642" s="20">
        <v>0</v>
      </c>
      <c r="X642" s="20">
        <v>1</v>
      </c>
      <c r="Z642" s="20" t="s">
        <v>201</v>
      </c>
      <c r="AA642" s="20" t="s">
        <v>1860</v>
      </c>
      <c r="AB642" s="31">
        <f>VLOOKUP(AA642,Masters!$K$2:$L$183,2,FALSE)</f>
        <v>1002</v>
      </c>
      <c r="AC642" s="20" t="s">
        <v>2063</v>
      </c>
      <c r="AD642" s="20" t="s">
        <v>2061</v>
      </c>
      <c r="AE642" s="20">
        <v>20</v>
      </c>
      <c r="AF642" s="20">
        <v>3</v>
      </c>
      <c r="AG642" s="20">
        <v>2003</v>
      </c>
      <c r="AH642" s="21">
        <v>37700</v>
      </c>
    </row>
    <row r="643" spans="1:34" x14ac:dyDescent="0.25">
      <c r="A643" s="35">
        <v>1180</v>
      </c>
      <c r="B643" s="20" t="s">
        <v>1841</v>
      </c>
      <c r="C643" s="20" t="s">
        <v>1841</v>
      </c>
      <c r="D643" s="94" t="s">
        <v>1107</v>
      </c>
      <c r="E643" s="20" t="s">
        <v>2051</v>
      </c>
      <c r="F643" s="20" t="s">
        <v>1844</v>
      </c>
      <c r="G643" s="31" t="s">
        <v>40</v>
      </c>
      <c r="H643" s="32">
        <v>1</v>
      </c>
      <c r="J643" s="32">
        <v>1</v>
      </c>
      <c r="O643" s="20">
        <v>0</v>
      </c>
      <c r="P643" s="20">
        <v>1</v>
      </c>
      <c r="Q643" s="20">
        <v>0</v>
      </c>
      <c r="R643" s="20">
        <v>0</v>
      </c>
      <c r="X643" s="20">
        <v>1</v>
      </c>
      <c r="Z643" s="20" t="s">
        <v>1854</v>
      </c>
      <c r="AA643" s="20" t="s">
        <v>1862</v>
      </c>
      <c r="AB643" s="31">
        <f>VLOOKUP(AA643,Masters!$K$2:$L$183,2,FALSE)</f>
        <v>1004</v>
      </c>
      <c r="AC643" s="20" t="s">
        <v>2064</v>
      </c>
      <c r="AD643" s="20" t="s">
        <v>2061</v>
      </c>
      <c r="AE643" s="20">
        <v>11</v>
      </c>
      <c r="AF643" s="20">
        <v>6</v>
      </c>
      <c r="AG643" s="20">
        <v>2003</v>
      </c>
      <c r="AH643" s="21">
        <v>37783</v>
      </c>
    </row>
    <row r="644" spans="1:34" x14ac:dyDescent="0.25">
      <c r="A644" s="35">
        <v>1191</v>
      </c>
      <c r="B644" s="20" t="s">
        <v>1841</v>
      </c>
      <c r="C644" s="20" t="s">
        <v>1841</v>
      </c>
      <c r="D644" s="94" t="s">
        <v>1118</v>
      </c>
      <c r="E644" s="20" t="s">
        <v>2051</v>
      </c>
      <c r="F644" s="20" t="s">
        <v>1846</v>
      </c>
      <c r="G644" s="31" t="s">
        <v>40</v>
      </c>
      <c r="H644" s="32">
        <v>1</v>
      </c>
      <c r="J644" s="32">
        <v>1</v>
      </c>
      <c r="O644" s="20">
        <v>0</v>
      </c>
      <c r="P644" s="20">
        <v>1</v>
      </c>
      <c r="Q644" s="20">
        <v>0</v>
      </c>
      <c r="R644" s="20">
        <v>0</v>
      </c>
      <c r="X644" s="20">
        <v>1</v>
      </c>
      <c r="Z644" s="20" t="s">
        <v>1848</v>
      </c>
      <c r="AA644" s="20" t="s">
        <v>1859</v>
      </c>
      <c r="AB644" s="31">
        <f>VLOOKUP(AA644,Masters!$K$2:$L$183,2,FALSE)</f>
        <v>1001</v>
      </c>
      <c r="AC644" s="20" t="s">
        <v>2063</v>
      </c>
      <c r="AD644" s="20" t="s">
        <v>2060</v>
      </c>
      <c r="AE644" s="20">
        <v>25</v>
      </c>
      <c r="AF644" s="20">
        <v>10</v>
      </c>
      <c r="AG644" s="20">
        <v>2001</v>
      </c>
      <c r="AH644" s="21">
        <v>37189</v>
      </c>
    </row>
    <row r="645" spans="1:34" x14ac:dyDescent="0.25">
      <c r="A645" s="35">
        <v>1192</v>
      </c>
      <c r="B645" s="20" t="s">
        <v>1841</v>
      </c>
      <c r="C645" s="20" t="s">
        <v>1841</v>
      </c>
      <c r="D645" s="94" t="s">
        <v>1119</v>
      </c>
      <c r="E645" s="20" t="s">
        <v>2051</v>
      </c>
      <c r="F645" s="20" t="s">
        <v>1845</v>
      </c>
      <c r="G645" s="31" t="s">
        <v>40</v>
      </c>
      <c r="H645" s="32">
        <v>1</v>
      </c>
      <c r="J645" s="32">
        <v>1</v>
      </c>
      <c r="O645" s="20">
        <v>0</v>
      </c>
      <c r="P645" s="20">
        <v>1</v>
      </c>
      <c r="Q645" s="20">
        <v>0</v>
      </c>
      <c r="R645" s="20">
        <v>0</v>
      </c>
      <c r="X645" s="20">
        <v>1</v>
      </c>
      <c r="Z645" s="20" t="s">
        <v>1835</v>
      </c>
      <c r="AA645" s="20" t="s">
        <v>1859</v>
      </c>
      <c r="AB645" s="31">
        <f>VLOOKUP(AA645,Masters!$K$2:$L$183,2,FALSE)</f>
        <v>1001</v>
      </c>
      <c r="AC645" s="20" t="s">
        <v>2063</v>
      </c>
      <c r="AD645" s="20" t="s">
        <v>2061</v>
      </c>
      <c r="AE645" s="20">
        <v>31</v>
      </c>
      <c r="AF645" s="20">
        <v>10</v>
      </c>
      <c r="AG645" s="20">
        <v>2002</v>
      </c>
      <c r="AH645" s="21">
        <v>37560</v>
      </c>
    </row>
    <row r="646" spans="1:34" x14ac:dyDescent="0.25">
      <c r="A646" s="35">
        <v>1198</v>
      </c>
      <c r="B646" s="20" t="s">
        <v>1841</v>
      </c>
      <c r="C646" s="20" t="s">
        <v>1841</v>
      </c>
      <c r="D646" s="94" t="s">
        <v>1125</v>
      </c>
      <c r="E646" s="20" t="s">
        <v>2053</v>
      </c>
      <c r="F646" s="20" t="s">
        <v>1847</v>
      </c>
      <c r="G646" s="31" t="s">
        <v>40</v>
      </c>
      <c r="H646" s="32">
        <v>1</v>
      </c>
      <c r="J646" s="32">
        <v>1</v>
      </c>
      <c r="O646" s="20">
        <v>0</v>
      </c>
      <c r="P646" s="20">
        <v>1</v>
      </c>
      <c r="Q646" s="20">
        <v>0</v>
      </c>
      <c r="R646" s="20">
        <v>0</v>
      </c>
      <c r="X646" s="20">
        <v>1</v>
      </c>
      <c r="Z646" s="20" t="s">
        <v>201</v>
      </c>
      <c r="AA646" s="20" t="s">
        <v>1860</v>
      </c>
      <c r="AB646" s="31">
        <f>VLOOKUP(AA646,Masters!$K$2:$L$183,2,FALSE)</f>
        <v>1002</v>
      </c>
      <c r="AC646" s="20" t="s">
        <v>2063</v>
      </c>
      <c r="AD646" s="20" t="s">
        <v>2061</v>
      </c>
      <c r="AE646" s="20">
        <v>25</v>
      </c>
      <c r="AF646" s="20">
        <v>7</v>
      </c>
      <c r="AG646" s="20">
        <v>2003</v>
      </c>
      <c r="AH646" s="21">
        <v>37827</v>
      </c>
    </row>
    <row r="647" spans="1:34" x14ac:dyDescent="0.25">
      <c r="A647" s="35">
        <v>1200</v>
      </c>
      <c r="B647" s="20" t="s">
        <v>1841</v>
      </c>
      <c r="C647" s="20" t="s">
        <v>1841</v>
      </c>
      <c r="D647" s="94" t="s">
        <v>1127</v>
      </c>
      <c r="E647" s="20" t="s">
        <v>2054</v>
      </c>
      <c r="F647" s="20" t="s">
        <v>1846</v>
      </c>
      <c r="G647" s="31" t="s">
        <v>40</v>
      </c>
      <c r="H647" s="32">
        <v>1</v>
      </c>
      <c r="J647" s="32">
        <v>1</v>
      </c>
      <c r="O647" s="20">
        <v>0</v>
      </c>
      <c r="P647" s="20">
        <v>1</v>
      </c>
      <c r="Q647" s="20">
        <v>0</v>
      </c>
      <c r="R647" s="20">
        <v>0</v>
      </c>
      <c r="X647" s="20">
        <v>1</v>
      </c>
      <c r="Z647" s="20" t="s">
        <v>1858</v>
      </c>
      <c r="AA647" s="20" t="s">
        <v>1860</v>
      </c>
      <c r="AB647" s="31">
        <f>VLOOKUP(AA647,Masters!$K$2:$L$183,2,FALSE)</f>
        <v>1002</v>
      </c>
      <c r="AC647" s="20" t="s">
        <v>2063</v>
      </c>
      <c r="AD647" s="20" t="s">
        <v>2061</v>
      </c>
      <c r="AE647" s="20">
        <v>16</v>
      </c>
      <c r="AF647" s="20">
        <v>11</v>
      </c>
      <c r="AG647" s="20">
        <v>2002</v>
      </c>
      <c r="AH647" s="21">
        <v>37576</v>
      </c>
    </row>
    <row r="648" spans="1:34" x14ac:dyDescent="0.25">
      <c r="A648" s="35">
        <v>1206</v>
      </c>
      <c r="B648" s="20" t="s">
        <v>1841</v>
      </c>
      <c r="C648" s="20" t="s">
        <v>1841</v>
      </c>
      <c r="D648" s="94" t="s">
        <v>1133</v>
      </c>
      <c r="E648" s="20" t="s">
        <v>2058</v>
      </c>
      <c r="F648" s="20" t="s">
        <v>1847</v>
      </c>
      <c r="G648" s="31" t="s">
        <v>40</v>
      </c>
      <c r="H648" s="32">
        <v>1</v>
      </c>
      <c r="J648" s="32">
        <v>1</v>
      </c>
      <c r="O648" s="20">
        <v>0</v>
      </c>
      <c r="P648" s="20">
        <v>1</v>
      </c>
      <c r="Q648" s="20">
        <v>0</v>
      </c>
      <c r="R648" s="20">
        <v>0</v>
      </c>
      <c r="X648" s="20">
        <v>1</v>
      </c>
      <c r="Z648" s="20" t="s">
        <v>1835</v>
      </c>
      <c r="AA648" s="20" t="s">
        <v>1859</v>
      </c>
      <c r="AB648" s="31">
        <f>VLOOKUP(AA648,Masters!$K$2:$L$183,2,FALSE)</f>
        <v>1001</v>
      </c>
      <c r="AC648" s="20" t="s">
        <v>2063</v>
      </c>
      <c r="AD648" s="20" t="s">
        <v>2060</v>
      </c>
      <c r="AE648" s="20">
        <v>24</v>
      </c>
      <c r="AF648" s="20">
        <v>12</v>
      </c>
      <c r="AG648" s="20">
        <v>2004</v>
      </c>
      <c r="AH648" s="21">
        <v>38345</v>
      </c>
    </row>
    <row r="649" spans="1:34" x14ac:dyDescent="0.25">
      <c r="A649" s="35">
        <v>1207</v>
      </c>
      <c r="B649" s="20" t="s">
        <v>1841</v>
      </c>
      <c r="C649" s="20" t="s">
        <v>1841</v>
      </c>
      <c r="D649" s="94" t="s">
        <v>1134</v>
      </c>
      <c r="E649" s="20" t="s">
        <v>133</v>
      </c>
      <c r="F649" s="20" t="s">
        <v>1846</v>
      </c>
      <c r="G649" s="31" t="s">
        <v>40</v>
      </c>
      <c r="H649" s="32">
        <v>1</v>
      </c>
      <c r="J649" s="32">
        <v>1</v>
      </c>
      <c r="O649" s="20">
        <v>0</v>
      </c>
      <c r="P649" s="20">
        <v>1</v>
      </c>
      <c r="Q649" s="20">
        <v>0</v>
      </c>
      <c r="R649" s="20">
        <v>0</v>
      </c>
      <c r="X649" s="20">
        <v>1</v>
      </c>
      <c r="Z649" s="20" t="s">
        <v>1856</v>
      </c>
      <c r="AA649" s="20" t="s">
        <v>1863</v>
      </c>
      <c r="AB649" s="31">
        <f>VLOOKUP(AA649,Masters!$K$2:$L$183,2,FALSE)</f>
        <v>1005</v>
      </c>
      <c r="AC649" s="20" t="s">
        <v>2063</v>
      </c>
      <c r="AD649" s="20" t="s">
        <v>2061</v>
      </c>
      <c r="AE649" s="20">
        <v>7</v>
      </c>
      <c r="AF649" s="20">
        <v>1</v>
      </c>
      <c r="AG649" s="20">
        <v>2005</v>
      </c>
      <c r="AH649" s="21">
        <v>38359</v>
      </c>
    </row>
    <row r="650" spans="1:34" x14ac:dyDescent="0.25">
      <c r="A650" s="35">
        <v>1208</v>
      </c>
      <c r="B650" s="20" t="s">
        <v>1841</v>
      </c>
      <c r="C650" s="20" t="s">
        <v>1841</v>
      </c>
      <c r="D650" s="94" t="s">
        <v>1135</v>
      </c>
      <c r="E650" s="20" t="s">
        <v>2052</v>
      </c>
      <c r="F650" s="20" t="s">
        <v>1846</v>
      </c>
      <c r="G650" s="31" t="s">
        <v>40</v>
      </c>
      <c r="H650" s="32">
        <v>1</v>
      </c>
      <c r="J650" s="32">
        <v>1</v>
      </c>
      <c r="O650" s="20">
        <v>0</v>
      </c>
      <c r="P650" s="20">
        <v>1</v>
      </c>
      <c r="Q650" s="20">
        <v>0</v>
      </c>
      <c r="R650" s="20">
        <v>0</v>
      </c>
      <c r="X650" s="20">
        <v>1</v>
      </c>
      <c r="Z650" s="20" t="s">
        <v>1849</v>
      </c>
      <c r="AA650" s="20" t="s">
        <v>1859</v>
      </c>
      <c r="AB650" s="31">
        <f>VLOOKUP(AA650,Masters!$K$2:$L$183,2,FALSE)</f>
        <v>1001</v>
      </c>
      <c r="AC650" s="20" t="s">
        <v>2063</v>
      </c>
      <c r="AD650" s="20" t="s">
        <v>2060</v>
      </c>
      <c r="AE650" s="20">
        <v>29</v>
      </c>
      <c r="AF650" s="20">
        <v>6</v>
      </c>
      <c r="AG650" s="20">
        <v>2001</v>
      </c>
      <c r="AH650" s="21">
        <v>37071</v>
      </c>
    </row>
    <row r="651" spans="1:34" x14ac:dyDescent="0.25">
      <c r="A651" s="35">
        <v>1209</v>
      </c>
      <c r="B651" s="20" t="s">
        <v>1841</v>
      </c>
      <c r="C651" s="20" t="s">
        <v>1841</v>
      </c>
      <c r="D651" s="94" t="s">
        <v>1136</v>
      </c>
      <c r="E651" s="20" t="s">
        <v>2056</v>
      </c>
      <c r="F651" s="20" t="s">
        <v>1843</v>
      </c>
      <c r="G651" s="31" t="s">
        <v>40</v>
      </c>
      <c r="H651" s="32">
        <v>1</v>
      </c>
      <c r="J651" s="32">
        <v>1</v>
      </c>
      <c r="O651" s="20">
        <v>0</v>
      </c>
      <c r="P651" s="20">
        <v>1</v>
      </c>
      <c r="Q651" s="20">
        <v>0</v>
      </c>
      <c r="R651" s="20">
        <v>0</v>
      </c>
      <c r="X651" s="20">
        <v>1</v>
      </c>
      <c r="Z651" s="20" t="s">
        <v>1848</v>
      </c>
      <c r="AA651" s="20" t="s">
        <v>1861</v>
      </c>
      <c r="AB651" s="31">
        <f>VLOOKUP(AA651,Masters!$K$2:$L$183,2,FALSE)</f>
        <v>1003</v>
      </c>
      <c r="AC651" s="20" t="s">
        <v>2063</v>
      </c>
      <c r="AD651" s="20" t="s">
        <v>2060</v>
      </c>
      <c r="AE651" s="20">
        <v>5</v>
      </c>
      <c r="AF651" s="20">
        <v>6</v>
      </c>
      <c r="AG651" s="20">
        <v>2004</v>
      </c>
      <c r="AH651" s="21">
        <v>38143</v>
      </c>
    </row>
    <row r="652" spans="1:34" x14ac:dyDescent="0.25">
      <c r="A652" s="35">
        <v>1210</v>
      </c>
      <c r="B652" s="20" t="s">
        <v>1841</v>
      </c>
      <c r="C652" s="20" t="s">
        <v>1841</v>
      </c>
      <c r="D652" s="94" t="s">
        <v>1137</v>
      </c>
      <c r="E652" s="20" t="s">
        <v>133</v>
      </c>
      <c r="F652" s="20" t="s">
        <v>1847</v>
      </c>
      <c r="G652" s="31" t="s">
        <v>40</v>
      </c>
      <c r="H652" s="32">
        <v>1</v>
      </c>
      <c r="J652" s="32">
        <v>1</v>
      </c>
      <c r="O652" s="20">
        <v>0</v>
      </c>
      <c r="P652" s="20">
        <v>1</v>
      </c>
      <c r="Q652" s="20">
        <v>0</v>
      </c>
      <c r="R652" s="20">
        <v>0</v>
      </c>
      <c r="X652" s="20">
        <v>1</v>
      </c>
      <c r="Z652" s="20" t="s">
        <v>1832</v>
      </c>
      <c r="AA652" s="20" t="s">
        <v>1860</v>
      </c>
      <c r="AB652" s="31">
        <f>VLOOKUP(AA652,Masters!$K$2:$L$183,2,FALSE)</f>
        <v>1002</v>
      </c>
      <c r="AC652" s="20" t="s">
        <v>2063</v>
      </c>
      <c r="AD652" s="20" t="s">
        <v>2061</v>
      </c>
      <c r="AE652" s="20">
        <v>5</v>
      </c>
      <c r="AF652" s="20">
        <v>7</v>
      </c>
      <c r="AG652" s="20">
        <v>2004</v>
      </c>
      <c r="AH652" s="21">
        <v>38173</v>
      </c>
    </row>
    <row r="653" spans="1:34" x14ac:dyDescent="0.25">
      <c r="A653" s="35">
        <v>1211</v>
      </c>
      <c r="B653" s="20" t="s">
        <v>1841</v>
      </c>
      <c r="C653" s="20" t="s">
        <v>1841</v>
      </c>
      <c r="D653" s="94" t="s">
        <v>1138</v>
      </c>
      <c r="E653" s="20" t="s">
        <v>2051</v>
      </c>
      <c r="F653" s="20" t="s">
        <v>1846</v>
      </c>
      <c r="G653" s="31" t="s">
        <v>40</v>
      </c>
      <c r="H653" s="32">
        <v>1</v>
      </c>
      <c r="J653" s="32">
        <v>1</v>
      </c>
      <c r="O653" s="20">
        <v>0</v>
      </c>
      <c r="P653" s="20">
        <v>1</v>
      </c>
      <c r="Q653" s="20">
        <v>0</v>
      </c>
      <c r="R653" s="20">
        <v>0</v>
      </c>
      <c r="X653" s="20">
        <v>1</v>
      </c>
      <c r="Z653" s="20" t="s">
        <v>1835</v>
      </c>
      <c r="AA653" s="20" t="s">
        <v>1861</v>
      </c>
      <c r="AB653" s="31">
        <f>VLOOKUP(AA653,Masters!$K$2:$L$183,2,FALSE)</f>
        <v>1003</v>
      </c>
      <c r="AC653" s="20" t="s">
        <v>2063</v>
      </c>
      <c r="AD653" s="20" t="s">
        <v>2060</v>
      </c>
      <c r="AE653" s="20">
        <v>14</v>
      </c>
      <c r="AF653" s="20">
        <v>7</v>
      </c>
      <c r="AG653" s="20">
        <v>2002</v>
      </c>
      <c r="AH653" s="21">
        <v>37451</v>
      </c>
    </row>
    <row r="654" spans="1:34" x14ac:dyDescent="0.25">
      <c r="A654" s="35">
        <v>1218</v>
      </c>
      <c r="B654" s="20" t="s">
        <v>1841</v>
      </c>
      <c r="C654" s="20" t="s">
        <v>1841</v>
      </c>
      <c r="D654" s="94" t="s">
        <v>1145</v>
      </c>
      <c r="E654" s="20" t="s">
        <v>2055</v>
      </c>
      <c r="F654" s="20" t="s">
        <v>1844</v>
      </c>
      <c r="G654" s="31" t="s">
        <v>40</v>
      </c>
      <c r="H654" s="32">
        <v>1</v>
      </c>
      <c r="J654" s="32">
        <v>1</v>
      </c>
      <c r="O654" s="20">
        <v>0</v>
      </c>
      <c r="P654" s="20">
        <v>1</v>
      </c>
      <c r="Q654" s="20">
        <v>0</v>
      </c>
      <c r="R654" s="20">
        <v>0</v>
      </c>
      <c r="X654" s="20">
        <v>1</v>
      </c>
      <c r="Z654" s="20" t="s">
        <v>58</v>
      </c>
      <c r="AA654" s="20" t="s">
        <v>1862</v>
      </c>
      <c r="AB654" s="31">
        <f>VLOOKUP(AA654,Masters!$K$2:$L$183,2,FALSE)</f>
        <v>1004</v>
      </c>
      <c r="AC654" s="20" t="s">
        <v>2063</v>
      </c>
      <c r="AD654" s="20" t="s">
        <v>2061</v>
      </c>
      <c r="AE654" s="20">
        <v>8</v>
      </c>
      <c r="AF654" s="20">
        <v>7</v>
      </c>
      <c r="AG654" s="20">
        <v>2002</v>
      </c>
      <c r="AH654" s="21">
        <v>37445</v>
      </c>
    </row>
    <row r="655" spans="1:34" x14ac:dyDescent="0.25">
      <c r="A655" s="35">
        <v>1219</v>
      </c>
      <c r="B655" s="20" t="s">
        <v>1841</v>
      </c>
      <c r="C655" s="20" t="s">
        <v>1841</v>
      </c>
      <c r="D655" s="94" t="s">
        <v>1146</v>
      </c>
      <c r="E655" s="20" t="s">
        <v>2059</v>
      </c>
      <c r="F655" s="20" t="s">
        <v>1843</v>
      </c>
      <c r="G655" s="31" t="s">
        <v>40</v>
      </c>
      <c r="H655" s="32">
        <v>1</v>
      </c>
      <c r="J655" s="32">
        <v>1</v>
      </c>
      <c r="O655" s="20">
        <v>0</v>
      </c>
      <c r="P655" s="20">
        <v>1</v>
      </c>
      <c r="Q655" s="20">
        <v>0</v>
      </c>
      <c r="R655" s="20">
        <v>0</v>
      </c>
      <c r="X655" s="20">
        <v>1</v>
      </c>
      <c r="Z655" s="20" t="s">
        <v>753</v>
      </c>
      <c r="AA655" s="20" t="s">
        <v>1862</v>
      </c>
      <c r="AB655" s="31">
        <f>VLOOKUP(AA655,Masters!$K$2:$L$183,2,FALSE)</f>
        <v>1004</v>
      </c>
      <c r="AC655" s="20" t="s">
        <v>2063</v>
      </c>
      <c r="AD655" s="20" t="s">
        <v>2061</v>
      </c>
      <c r="AE655" s="20">
        <v>14</v>
      </c>
      <c r="AF655" s="20">
        <v>5</v>
      </c>
      <c r="AG655" s="20">
        <v>2004</v>
      </c>
      <c r="AH655" s="21">
        <v>38121</v>
      </c>
    </row>
    <row r="656" spans="1:34" x14ac:dyDescent="0.25">
      <c r="A656" s="35">
        <v>1220</v>
      </c>
      <c r="B656" s="20" t="s">
        <v>1841</v>
      </c>
      <c r="C656" s="20" t="s">
        <v>1841</v>
      </c>
      <c r="D656" s="94" t="s">
        <v>1147</v>
      </c>
      <c r="E656" s="20" t="s">
        <v>2058</v>
      </c>
      <c r="F656" s="20" t="s">
        <v>1846</v>
      </c>
      <c r="G656" s="31" t="s">
        <v>40</v>
      </c>
      <c r="H656" s="32">
        <v>1</v>
      </c>
      <c r="J656" s="32">
        <v>1</v>
      </c>
      <c r="O656" s="20">
        <v>0</v>
      </c>
      <c r="P656" s="20">
        <v>1</v>
      </c>
      <c r="Q656" s="20">
        <v>0</v>
      </c>
      <c r="R656" s="20">
        <v>0</v>
      </c>
      <c r="X656" s="20">
        <v>1</v>
      </c>
      <c r="Z656" s="20" t="s">
        <v>1855</v>
      </c>
      <c r="AA656" s="20" t="s">
        <v>1859</v>
      </c>
      <c r="AB656" s="31">
        <f>VLOOKUP(AA656,Masters!$K$2:$L$183,2,FALSE)</f>
        <v>1001</v>
      </c>
      <c r="AC656" s="20" t="s">
        <v>2063</v>
      </c>
      <c r="AD656" s="20" t="s">
        <v>2060</v>
      </c>
      <c r="AE656" s="20">
        <v>28</v>
      </c>
      <c r="AF656" s="20">
        <v>1</v>
      </c>
      <c r="AG656" s="20">
        <v>2005</v>
      </c>
      <c r="AH656" s="21">
        <v>38380</v>
      </c>
    </row>
    <row r="657" spans="1:34" x14ac:dyDescent="0.25">
      <c r="A657" s="35">
        <v>1225</v>
      </c>
      <c r="B657" s="20" t="s">
        <v>1841</v>
      </c>
      <c r="C657" s="20" t="s">
        <v>1841</v>
      </c>
      <c r="D657" s="94" t="s">
        <v>1152</v>
      </c>
      <c r="E657" s="20" t="s">
        <v>135</v>
      </c>
      <c r="F657" s="20" t="s">
        <v>1843</v>
      </c>
      <c r="G657" s="31" t="s">
        <v>40</v>
      </c>
      <c r="H657" s="32">
        <v>1</v>
      </c>
      <c r="J657" s="32">
        <v>1</v>
      </c>
      <c r="O657" s="20">
        <v>0</v>
      </c>
      <c r="P657" s="20">
        <v>1</v>
      </c>
      <c r="Q657" s="20">
        <v>0</v>
      </c>
      <c r="R657" s="20">
        <v>0</v>
      </c>
      <c r="X657" s="20">
        <v>1</v>
      </c>
      <c r="Z657" s="20" t="s">
        <v>1854</v>
      </c>
      <c r="AA657" s="20" t="s">
        <v>1859</v>
      </c>
      <c r="AB657" s="31">
        <f>VLOOKUP(AA657,Masters!$K$2:$L$183,2,FALSE)</f>
        <v>1001</v>
      </c>
      <c r="AC657" s="20" t="s">
        <v>2063</v>
      </c>
      <c r="AD657" s="20" t="s">
        <v>2060</v>
      </c>
      <c r="AE657" s="20">
        <v>20</v>
      </c>
      <c r="AF657" s="20">
        <v>8</v>
      </c>
      <c r="AG657" s="20">
        <v>2003</v>
      </c>
      <c r="AH657" s="21">
        <v>37853</v>
      </c>
    </row>
    <row r="658" spans="1:34" x14ac:dyDescent="0.25">
      <c r="A658" s="35">
        <v>1226</v>
      </c>
      <c r="B658" s="20" t="s">
        <v>1841</v>
      </c>
      <c r="C658" s="20" t="s">
        <v>1841</v>
      </c>
      <c r="D658" s="94" t="s">
        <v>1153</v>
      </c>
      <c r="E658" s="20" t="s">
        <v>2057</v>
      </c>
      <c r="F658" s="20" t="s">
        <v>1843</v>
      </c>
      <c r="G658" s="31" t="s">
        <v>40</v>
      </c>
      <c r="H658" s="32">
        <v>1</v>
      </c>
      <c r="J658" s="32">
        <v>1</v>
      </c>
      <c r="O658" s="20">
        <v>0</v>
      </c>
      <c r="P658" s="20">
        <v>1</v>
      </c>
      <c r="Q658" s="20">
        <v>0</v>
      </c>
      <c r="R658" s="20">
        <v>0</v>
      </c>
      <c r="X658" s="20">
        <v>1</v>
      </c>
      <c r="Z658" s="20" t="s">
        <v>1858</v>
      </c>
      <c r="AA658" s="20" t="s">
        <v>1861</v>
      </c>
      <c r="AB658" s="31">
        <f>VLOOKUP(AA658,Masters!$K$2:$L$183,2,FALSE)</f>
        <v>1003</v>
      </c>
      <c r="AC658" s="20" t="s">
        <v>2063</v>
      </c>
      <c r="AD658" s="20" t="s">
        <v>2060</v>
      </c>
      <c r="AE658" s="20">
        <v>23</v>
      </c>
      <c r="AF658" s="20">
        <v>1</v>
      </c>
      <c r="AG658" s="20">
        <v>2000</v>
      </c>
      <c r="AH658" s="21">
        <v>36548</v>
      </c>
    </row>
    <row r="659" spans="1:34" x14ac:dyDescent="0.25">
      <c r="A659" s="35">
        <v>1227</v>
      </c>
      <c r="B659" s="20" t="s">
        <v>1841</v>
      </c>
      <c r="C659" s="20" t="s">
        <v>1841</v>
      </c>
      <c r="D659" s="94" t="s">
        <v>1154</v>
      </c>
      <c r="E659" s="20" t="s">
        <v>2059</v>
      </c>
      <c r="F659" s="20" t="s">
        <v>1845</v>
      </c>
      <c r="G659" s="31" t="s">
        <v>40</v>
      </c>
      <c r="H659" s="32">
        <v>1</v>
      </c>
      <c r="J659" s="32">
        <v>1</v>
      </c>
      <c r="O659" s="20">
        <v>0</v>
      </c>
      <c r="P659" s="20">
        <v>1</v>
      </c>
      <c r="Q659" s="20">
        <v>0</v>
      </c>
      <c r="R659" s="20">
        <v>0</v>
      </c>
      <c r="X659" s="20">
        <v>1</v>
      </c>
      <c r="Z659" s="20" t="s">
        <v>753</v>
      </c>
      <c r="AA659" s="20" t="s">
        <v>1863</v>
      </c>
      <c r="AB659" s="31">
        <f>VLOOKUP(AA659,Masters!$K$2:$L$183,2,FALSE)</f>
        <v>1005</v>
      </c>
      <c r="AC659" s="20" t="s">
        <v>2063</v>
      </c>
      <c r="AD659" s="20" t="s">
        <v>2060</v>
      </c>
      <c r="AE659" s="20">
        <v>19</v>
      </c>
      <c r="AF659" s="20">
        <v>8</v>
      </c>
      <c r="AG659" s="20">
        <v>2002</v>
      </c>
      <c r="AH659" s="21">
        <v>37487</v>
      </c>
    </row>
    <row r="660" spans="1:34" x14ac:dyDescent="0.25">
      <c r="A660" s="35">
        <v>1228</v>
      </c>
      <c r="B660" s="20" t="s">
        <v>1841</v>
      </c>
      <c r="C660" s="20" t="s">
        <v>1841</v>
      </c>
      <c r="D660" s="94" t="s">
        <v>1155</v>
      </c>
      <c r="E660" s="20" t="s">
        <v>2059</v>
      </c>
      <c r="F660" s="20" t="s">
        <v>1847</v>
      </c>
      <c r="G660" s="31" t="s">
        <v>40</v>
      </c>
      <c r="H660" s="32">
        <v>1</v>
      </c>
      <c r="J660" s="32">
        <v>1</v>
      </c>
      <c r="O660" s="20">
        <v>0</v>
      </c>
      <c r="P660" s="20">
        <v>1</v>
      </c>
      <c r="Q660" s="20">
        <v>0</v>
      </c>
      <c r="R660" s="20">
        <v>0</v>
      </c>
      <c r="X660" s="20">
        <v>1</v>
      </c>
      <c r="Z660" s="20" t="s">
        <v>1854</v>
      </c>
      <c r="AA660" s="20" t="s">
        <v>1862</v>
      </c>
      <c r="AB660" s="31">
        <f>VLOOKUP(AA660,Masters!$K$2:$L$183,2,FALSE)</f>
        <v>1004</v>
      </c>
      <c r="AC660" s="20" t="s">
        <v>2064</v>
      </c>
      <c r="AD660" s="20" t="s">
        <v>2061</v>
      </c>
      <c r="AE660" s="20">
        <v>18</v>
      </c>
      <c r="AF660" s="20">
        <v>9</v>
      </c>
      <c r="AG660" s="20">
        <v>2005</v>
      </c>
      <c r="AH660" s="21">
        <v>38613</v>
      </c>
    </row>
    <row r="661" spans="1:34" x14ac:dyDescent="0.25">
      <c r="A661" s="35">
        <v>1229</v>
      </c>
      <c r="B661" s="20" t="s">
        <v>1841</v>
      </c>
      <c r="C661" s="20" t="s">
        <v>1841</v>
      </c>
      <c r="D661" s="94" t="s">
        <v>1156</v>
      </c>
      <c r="E661" s="20" t="s">
        <v>2051</v>
      </c>
      <c r="F661" s="20" t="s">
        <v>1843</v>
      </c>
      <c r="G661" s="31" t="s">
        <v>40</v>
      </c>
      <c r="H661" s="32">
        <v>1</v>
      </c>
      <c r="J661" s="32">
        <v>1</v>
      </c>
      <c r="O661" s="20">
        <v>0</v>
      </c>
      <c r="P661" s="20">
        <v>1</v>
      </c>
      <c r="Q661" s="20">
        <v>0</v>
      </c>
      <c r="R661" s="20">
        <v>0</v>
      </c>
      <c r="X661" s="20">
        <v>1</v>
      </c>
      <c r="Z661" s="20" t="s">
        <v>1850</v>
      </c>
      <c r="AA661" s="20" t="s">
        <v>1860</v>
      </c>
      <c r="AB661" s="31">
        <f>VLOOKUP(AA661,Masters!$K$2:$L$183,2,FALSE)</f>
        <v>1002</v>
      </c>
      <c r="AC661" s="20" t="s">
        <v>2063</v>
      </c>
      <c r="AD661" s="20" t="s">
        <v>2061</v>
      </c>
      <c r="AE661" s="20">
        <v>10</v>
      </c>
      <c r="AF661" s="20">
        <v>10</v>
      </c>
      <c r="AG661" s="20">
        <v>2005</v>
      </c>
      <c r="AH661" s="21">
        <v>38635</v>
      </c>
    </row>
    <row r="662" spans="1:34" x14ac:dyDescent="0.25">
      <c r="A662" s="35">
        <v>1230</v>
      </c>
      <c r="B662" s="20" t="s">
        <v>1841</v>
      </c>
      <c r="C662" s="20" t="s">
        <v>1841</v>
      </c>
      <c r="D662" s="94" t="s">
        <v>1157</v>
      </c>
      <c r="E662" s="20" t="s">
        <v>2055</v>
      </c>
      <c r="F662" s="20" t="s">
        <v>1844</v>
      </c>
      <c r="G662" s="31" t="s">
        <v>40</v>
      </c>
      <c r="H662" s="32">
        <v>1</v>
      </c>
      <c r="J662" s="32">
        <v>1</v>
      </c>
      <c r="O662" s="20">
        <v>0</v>
      </c>
      <c r="P662" s="20">
        <v>1</v>
      </c>
      <c r="Q662" s="20">
        <v>0</v>
      </c>
      <c r="R662" s="20">
        <v>0</v>
      </c>
      <c r="X662" s="20">
        <v>1</v>
      </c>
      <c r="Z662" s="20" t="s">
        <v>1849</v>
      </c>
      <c r="AA662" s="20" t="s">
        <v>1861</v>
      </c>
      <c r="AB662" s="31">
        <f>VLOOKUP(AA662,Masters!$K$2:$L$183,2,FALSE)</f>
        <v>1003</v>
      </c>
      <c r="AC662" s="20" t="s">
        <v>2063</v>
      </c>
      <c r="AD662" s="20" t="s">
        <v>2061</v>
      </c>
      <c r="AE662" s="20">
        <v>27</v>
      </c>
      <c r="AF662" s="20">
        <v>4</v>
      </c>
      <c r="AG662" s="20">
        <v>2000</v>
      </c>
      <c r="AH662" s="21">
        <v>36643</v>
      </c>
    </row>
    <row r="663" spans="1:34" x14ac:dyDescent="0.25">
      <c r="A663" s="35">
        <v>1231</v>
      </c>
      <c r="B663" s="20" t="s">
        <v>1841</v>
      </c>
      <c r="C663" s="20" t="s">
        <v>1841</v>
      </c>
      <c r="D663" s="94" t="s">
        <v>1158</v>
      </c>
      <c r="E663" s="20" t="s">
        <v>2059</v>
      </c>
      <c r="F663" s="20" t="s">
        <v>1843</v>
      </c>
      <c r="G663" s="31" t="s">
        <v>40</v>
      </c>
      <c r="H663" s="32">
        <v>1</v>
      </c>
      <c r="J663" s="32">
        <v>1</v>
      </c>
      <c r="O663" s="20">
        <v>0</v>
      </c>
      <c r="P663" s="20">
        <v>1</v>
      </c>
      <c r="Q663" s="20">
        <v>0</v>
      </c>
      <c r="R663" s="20">
        <v>0</v>
      </c>
      <c r="X663" s="20">
        <v>1</v>
      </c>
      <c r="Z663" s="20" t="s">
        <v>1849</v>
      </c>
      <c r="AA663" s="20" t="s">
        <v>1861</v>
      </c>
      <c r="AB663" s="31">
        <f>VLOOKUP(AA663,Masters!$K$2:$L$183,2,FALSE)</f>
        <v>1003</v>
      </c>
      <c r="AC663" s="20" t="s">
        <v>2064</v>
      </c>
      <c r="AD663" s="20" t="s">
        <v>2061</v>
      </c>
      <c r="AE663" s="20">
        <v>18</v>
      </c>
      <c r="AF663" s="20">
        <v>2</v>
      </c>
      <c r="AG663" s="20">
        <v>2000</v>
      </c>
      <c r="AH663" s="21">
        <v>36574</v>
      </c>
    </row>
    <row r="664" spans="1:34" x14ac:dyDescent="0.25">
      <c r="A664" s="35">
        <v>1235</v>
      </c>
      <c r="B664" s="20" t="s">
        <v>1841</v>
      </c>
      <c r="C664" s="20" t="s">
        <v>1841</v>
      </c>
      <c r="D664" s="94" t="s">
        <v>1162</v>
      </c>
      <c r="E664" s="20" t="s">
        <v>2056</v>
      </c>
      <c r="F664" s="20" t="s">
        <v>1845</v>
      </c>
      <c r="G664" s="31" t="s">
        <v>40</v>
      </c>
      <c r="H664" s="32">
        <v>1</v>
      </c>
      <c r="J664" s="32">
        <v>1</v>
      </c>
      <c r="O664" s="20">
        <v>0</v>
      </c>
      <c r="P664" s="20">
        <v>1</v>
      </c>
      <c r="Q664" s="20">
        <v>0</v>
      </c>
      <c r="R664" s="20">
        <v>0</v>
      </c>
      <c r="X664" s="20">
        <v>1</v>
      </c>
      <c r="Z664" s="20" t="s">
        <v>1852</v>
      </c>
      <c r="AA664" s="20" t="s">
        <v>1861</v>
      </c>
      <c r="AB664" s="31">
        <f>VLOOKUP(AA664,Masters!$K$2:$L$183,2,FALSE)</f>
        <v>1003</v>
      </c>
      <c r="AC664" s="20" t="s">
        <v>2063</v>
      </c>
      <c r="AD664" s="20" t="s">
        <v>2061</v>
      </c>
      <c r="AE664" s="20">
        <v>13</v>
      </c>
      <c r="AF664" s="20">
        <v>10</v>
      </c>
      <c r="AG664" s="20">
        <v>2005</v>
      </c>
      <c r="AH664" s="21">
        <v>38638</v>
      </c>
    </row>
    <row r="665" spans="1:34" x14ac:dyDescent="0.25">
      <c r="A665" s="35">
        <v>1237</v>
      </c>
      <c r="B665" s="20" t="s">
        <v>1841</v>
      </c>
      <c r="C665" s="20" t="s">
        <v>1841</v>
      </c>
      <c r="D665" s="94" t="s">
        <v>1164</v>
      </c>
      <c r="E665" s="20" t="s">
        <v>2059</v>
      </c>
      <c r="F665" s="20" t="s">
        <v>1845</v>
      </c>
      <c r="G665" s="31" t="s">
        <v>40</v>
      </c>
      <c r="H665" s="32">
        <v>1</v>
      </c>
      <c r="J665" s="32">
        <v>1</v>
      </c>
      <c r="O665" s="20">
        <v>0</v>
      </c>
      <c r="P665" s="20">
        <v>1</v>
      </c>
      <c r="Q665" s="20">
        <v>0</v>
      </c>
      <c r="R665" s="20">
        <v>0</v>
      </c>
      <c r="X665" s="20">
        <v>1</v>
      </c>
      <c r="Z665" s="20" t="s">
        <v>1851</v>
      </c>
      <c r="AA665" s="20" t="s">
        <v>1862</v>
      </c>
      <c r="AB665" s="31">
        <f>VLOOKUP(AA665,Masters!$K$2:$L$183,2,FALSE)</f>
        <v>1004</v>
      </c>
      <c r="AC665" s="20" t="s">
        <v>2063</v>
      </c>
      <c r="AD665" s="20" t="s">
        <v>2061</v>
      </c>
      <c r="AE665" s="20">
        <v>18</v>
      </c>
      <c r="AF665" s="20">
        <v>5</v>
      </c>
      <c r="AG665" s="20">
        <v>2003</v>
      </c>
      <c r="AH665" s="21">
        <v>37759</v>
      </c>
    </row>
    <row r="666" spans="1:34" x14ac:dyDescent="0.25">
      <c r="A666" s="35">
        <v>1239</v>
      </c>
      <c r="B666" s="20" t="s">
        <v>1841</v>
      </c>
      <c r="C666" s="20" t="s">
        <v>1841</v>
      </c>
      <c r="D666" s="94" t="s">
        <v>1166</v>
      </c>
      <c r="E666" s="20" t="s">
        <v>126</v>
      </c>
      <c r="F666" s="20" t="s">
        <v>1846</v>
      </c>
      <c r="G666" s="31" t="s">
        <v>40</v>
      </c>
      <c r="H666" s="32">
        <v>1</v>
      </c>
      <c r="J666" s="32">
        <v>1</v>
      </c>
      <c r="O666" s="20">
        <v>0</v>
      </c>
      <c r="P666" s="20">
        <v>1</v>
      </c>
      <c r="Q666" s="20">
        <v>0</v>
      </c>
      <c r="R666" s="20">
        <v>0</v>
      </c>
      <c r="X666" s="20">
        <v>1</v>
      </c>
      <c r="Z666" s="20" t="s">
        <v>753</v>
      </c>
      <c r="AA666" s="20" t="s">
        <v>1859</v>
      </c>
      <c r="AB666" s="31">
        <f>VLOOKUP(AA666,Masters!$K$2:$L$183,2,FALSE)</f>
        <v>1001</v>
      </c>
      <c r="AC666" s="20" t="s">
        <v>2064</v>
      </c>
      <c r="AD666" s="20" t="s">
        <v>2061</v>
      </c>
      <c r="AE666" s="20">
        <v>27</v>
      </c>
      <c r="AF666" s="20">
        <v>2</v>
      </c>
      <c r="AG666" s="20">
        <v>2003</v>
      </c>
      <c r="AH666" s="21">
        <v>37679</v>
      </c>
    </row>
    <row r="667" spans="1:34" x14ac:dyDescent="0.25">
      <c r="A667" s="35">
        <v>1246</v>
      </c>
      <c r="B667" s="20" t="s">
        <v>1841</v>
      </c>
      <c r="C667" s="20" t="s">
        <v>1841</v>
      </c>
      <c r="D667" s="94" t="s">
        <v>1173</v>
      </c>
      <c r="E667" s="20" t="s">
        <v>2052</v>
      </c>
      <c r="F667" s="20" t="s">
        <v>1846</v>
      </c>
      <c r="G667" s="31" t="s">
        <v>40</v>
      </c>
      <c r="H667" s="32">
        <v>1</v>
      </c>
      <c r="J667" s="32">
        <v>1</v>
      </c>
      <c r="O667" s="20">
        <v>0</v>
      </c>
      <c r="P667" s="20">
        <v>1</v>
      </c>
      <c r="Q667" s="20">
        <v>0</v>
      </c>
      <c r="R667" s="20">
        <v>0</v>
      </c>
      <c r="X667" s="20">
        <v>1</v>
      </c>
      <c r="Z667" s="20" t="s">
        <v>753</v>
      </c>
      <c r="AA667" s="20" t="s">
        <v>1863</v>
      </c>
      <c r="AB667" s="31">
        <f>VLOOKUP(AA667,Masters!$K$2:$L$183,2,FALSE)</f>
        <v>1005</v>
      </c>
      <c r="AC667" s="20" t="s">
        <v>2063</v>
      </c>
      <c r="AD667" s="20" t="s">
        <v>2061</v>
      </c>
      <c r="AE667" s="20">
        <v>9</v>
      </c>
      <c r="AF667" s="20">
        <v>10</v>
      </c>
      <c r="AG667" s="20">
        <v>2002</v>
      </c>
      <c r="AH667" s="21">
        <v>37538</v>
      </c>
    </row>
    <row r="668" spans="1:34" x14ac:dyDescent="0.25">
      <c r="A668" s="35">
        <v>1248</v>
      </c>
      <c r="B668" s="20" t="s">
        <v>1841</v>
      </c>
      <c r="C668" s="20" t="s">
        <v>1841</v>
      </c>
      <c r="D668" s="94" t="s">
        <v>1175</v>
      </c>
      <c r="E668" s="20" t="s">
        <v>2053</v>
      </c>
      <c r="F668" s="20" t="s">
        <v>1845</v>
      </c>
      <c r="G668" s="31" t="s">
        <v>40</v>
      </c>
      <c r="H668" s="32">
        <v>1</v>
      </c>
      <c r="J668" s="32">
        <v>1</v>
      </c>
      <c r="O668" s="20">
        <v>0</v>
      </c>
      <c r="P668" s="20">
        <v>1</v>
      </c>
      <c r="Q668" s="20">
        <v>0</v>
      </c>
      <c r="R668" s="20">
        <v>0</v>
      </c>
      <c r="X668" s="20">
        <v>1</v>
      </c>
      <c r="Z668" s="20" t="s">
        <v>34</v>
      </c>
      <c r="AA668" s="20" t="s">
        <v>1862</v>
      </c>
      <c r="AB668" s="31">
        <f>VLOOKUP(AA668,Masters!$K$2:$L$183,2,FALSE)</f>
        <v>1004</v>
      </c>
      <c r="AC668" s="20" t="s">
        <v>2063</v>
      </c>
      <c r="AD668" s="20" t="s">
        <v>2060</v>
      </c>
      <c r="AE668" s="20">
        <v>24</v>
      </c>
      <c r="AF668" s="20">
        <v>1</v>
      </c>
      <c r="AG668" s="20">
        <v>2004</v>
      </c>
      <c r="AH668" s="21">
        <v>38010</v>
      </c>
    </row>
    <row r="669" spans="1:34" x14ac:dyDescent="0.25">
      <c r="A669" s="35">
        <v>1257</v>
      </c>
      <c r="B669" s="20" t="s">
        <v>1841</v>
      </c>
      <c r="C669" s="20" t="s">
        <v>1841</v>
      </c>
      <c r="D669" s="94" t="s">
        <v>1184</v>
      </c>
      <c r="E669" s="20" t="s">
        <v>2056</v>
      </c>
      <c r="F669" s="20" t="s">
        <v>1844</v>
      </c>
      <c r="G669" s="31" t="s">
        <v>40</v>
      </c>
      <c r="H669" s="32">
        <v>1</v>
      </c>
      <c r="J669" s="32">
        <v>1</v>
      </c>
      <c r="O669" s="20">
        <v>0</v>
      </c>
      <c r="P669" s="20">
        <v>1</v>
      </c>
      <c r="Q669" s="20">
        <v>0</v>
      </c>
      <c r="R669" s="20">
        <v>0</v>
      </c>
      <c r="X669" s="20">
        <v>1</v>
      </c>
      <c r="Z669" s="20" t="s">
        <v>1852</v>
      </c>
      <c r="AA669" s="20" t="s">
        <v>1859</v>
      </c>
      <c r="AB669" s="31">
        <f>VLOOKUP(AA669,Masters!$K$2:$L$183,2,FALSE)</f>
        <v>1001</v>
      </c>
      <c r="AC669" s="20" t="s">
        <v>2063</v>
      </c>
      <c r="AD669" s="20" t="s">
        <v>2060</v>
      </c>
      <c r="AE669" s="20">
        <v>29</v>
      </c>
      <c r="AF669" s="20">
        <v>12</v>
      </c>
      <c r="AG669" s="20">
        <v>2004</v>
      </c>
      <c r="AH669" s="21">
        <v>38350</v>
      </c>
    </row>
    <row r="670" spans="1:34" x14ac:dyDescent="0.25">
      <c r="A670" s="35">
        <v>1259</v>
      </c>
      <c r="B670" s="20" t="s">
        <v>1841</v>
      </c>
      <c r="C670" s="20" t="s">
        <v>1841</v>
      </c>
      <c r="D670" s="94" t="s">
        <v>1186</v>
      </c>
      <c r="E670" s="20" t="s">
        <v>126</v>
      </c>
      <c r="F670" s="20" t="s">
        <v>1843</v>
      </c>
      <c r="G670" s="31" t="s">
        <v>40</v>
      </c>
      <c r="H670" s="32">
        <v>1</v>
      </c>
      <c r="J670" s="32">
        <v>1</v>
      </c>
      <c r="O670" s="20">
        <v>0</v>
      </c>
      <c r="P670" s="20">
        <v>1</v>
      </c>
      <c r="Q670" s="20">
        <v>0</v>
      </c>
      <c r="R670" s="20">
        <v>0</v>
      </c>
      <c r="X670" s="20">
        <v>1</v>
      </c>
      <c r="Z670" s="20" t="s">
        <v>1856</v>
      </c>
      <c r="AA670" s="20" t="s">
        <v>1859</v>
      </c>
      <c r="AB670" s="31">
        <f>VLOOKUP(AA670,Masters!$K$2:$L$183,2,FALSE)</f>
        <v>1001</v>
      </c>
      <c r="AC670" s="20" t="s">
        <v>2064</v>
      </c>
      <c r="AD670" s="20" t="s">
        <v>2061</v>
      </c>
      <c r="AE670" s="20">
        <v>23</v>
      </c>
      <c r="AF670" s="20">
        <v>10</v>
      </c>
      <c r="AG670" s="20">
        <v>2000</v>
      </c>
      <c r="AH670" s="21">
        <v>36822</v>
      </c>
    </row>
    <row r="671" spans="1:34" x14ac:dyDescent="0.25">
      <c r="A671" s="35">
        <v>1260</v>
      </c>
      <c r="B671" s="20" t="s">
        <v>1841</v>
      </c>
      <c r="C671" s="20" t="s">
        <v>1841</v>
      </c>
      <c r="D671" s="94" t="s">
        <v>1187</v>
      </c>
      <c r="E671" s="20" t="s">
        <v>2051</v>
      </c>
      <c r="F671" s="20" t="s">
        <v>1846</v>
      </c>
      <c r="G671" s="31" t="s">
        <v>40</v>
      </c>
      <c r="H671" s="32">
        <v>1</v>
      </c>
      <c r="J671" s="32">
        <v>1</v>
      </c>
      <c r="O671" s="20">
        <v>0</v>
      </c>
      <c r="P671" s="20">
        <v>1</v>
      </c>
      <c r="Q671" s="20">
        <v>0</v>
      </c>
      <c r="R671" s="20">
        <v>0</v>
      </c>
      <c r="X671" s="20">
        <v>1</v>
      </c>
      <c r="Z671" s="20" t="s">
        <v>1851</v>
      </c>
      <c r="AA671" s="20" t="s">
        <v>1861</v>
      </c>
      <c r="AB671" s="31">
        <f>VLOOKUP(AA671,Masters!$K$2:$L$183,2,FALSE)</f>
        <v>1003</v>
      </c>
      <c r="AC671" s="20" t="s">
        <v>2063</v>
      </c>
      <c r="AD671" s="20" t="s">
        <v>2060</v>
      </c>
      <c r="AE671" s="20">
        <v>29</v>
      </c>
      <c r="AF671" s="20">
        <v>11</v>
      </c>
      <c r="AG671" s="20">
        <v>2005</v>
      </c>
      <c r="AH671" s="21">
        <v>38685</v>
      </c>
    </row>
    <row r="672" spans="1:34" x14ac:dyDescent="0.25">
      <c r="A672" s="35">
        <v>1264</v>
      </c>
      <c r="B672" s="20" t="s">
        <v>1841</v>
      </c>
      <c r="C672" s="20" t="s">
        <v>1841</v>
      </c>
      <c r="D672" s="94" t="s">
        <v>1191</v>
      </c>
      <c r="E672" s="20" t="s">
        <v>2053</v>
      </c>
      <c r="F672" s="20" t="s">
        <v>1847</v>
      </c>
      <c r="G672" s="31" t="s">
        <v>40</v>
      </c>
      <c r="H672" s="32">
        <v>1</v>
      </c>
      <c r="J672" s="32">
        <v>1</v>
      </c>
      <c r="O672" s="20">
        <v>0</v>
      </c>
      <c r="P672" s="20">
        <v>1</v>
      </c>
      <c r="Q672" s="20">
        <v>0</v>
      </c>
      <c r="R672" s="20">
        <v>0</v>
      </c>
      <c r="X672" s="20">
        <v>1</v>
      </c>
      <c r="Z672" s="20" t="s">
        <v>1857</v>
      </c>
      <c r="AA672" s="20" t="s">
        <v>1861</v>
      </c>
      <c r="AB672" s="31">
        <f>VLOOKUP(AA672,Masters!$K$2:$L$183,2,FALSE)</f>
        <v>1003</v>
      </c>
      <c r="AC672" s="20" t="s">
        <v>2063</v>
      </c>
      <c r="AD672" s="20" t="s">
        <v>2060</v>
      </c>
      <c r="AE672" s="20">
        <v>11</v>
      </c>
      <c r="AF672" s="20">
        <v>8</v>
      </c>
      <c r="AG672" s="20">
        <v>2004</v>
      </c>
      <c r="AH672" s="21">
        <v>38210</v>
      </c>
    </row>
    <row r="673" spans="1:34" x14ac:dyDescent="0.25">
      <c r="A673" s="35">
        <v>1267</v>
      </c>
      <c r="B673" s="20" t="s">
        <v>1841</v>
      </c>
      <c r="C673" s="20" t="s">
        <v>1841</v>
      </c>
      <c r="D673" s="94" t="s">
        <v>1194</v>
      </c>
      <c r="E673" s="20" t="s">
        <v>2052</v>
      </c>
      <c r="F673" s="20" t="s">
        <v>1846</v>
      </c>
      <c r="G673" s="31" t="s">
        <v>40</v>
      </c>
      <c r="H673" s="32">
        <v>1</v>
      </c>
      <c r="J673" s="32">
        <v>1</v>
      </c>
      <c r="O673" s="20">
        <v>0</v>
      </c>
      <c r="P673" s="20">
        <v>1</v>
      </c>
      <c r="Q673" s="20">
        <v>0</v>
      </c>
      <c r="R673" s="20">
        <v>0</v>
      </c>
      <c r="X673" s="20">
        <v>1</v>
      </c>
      <c r="Z673" s="20" t="s">
        <v>1855</v>
      </c>
      <c r="AA673" s="20" t="s">
        <v>1862</v>
      </c>
      <c r="AB673" s="31">
        <f>VLOOKUP(AA673,Masters!$K$2:$L$183,2,FALSE)</f>
        <v>1004</v>
      </c>
      <c r="AC673" s="20" t="s">
        <v>2064</v>
      </c>
      <c r="AD673" s="20" t="s">
        <v>2061</v>
      </c>
      <c r="AE673" s="20">
        <v>3</v>
      </c>
      <c r="AF673" s="20">
        <v>7</v>
      </c>
      <c r="AG673" s="20">
        <v>2004</v>
      </c>
      <c r="AH673" s="21">
        <v>38171</v>
      </c>
    </row>
    <row r="674" spans="1:34" x14ac:dyDescent="0.25">
      <c r="A674" s="35">
        <v>1272</v>
      </c>
      <c r="B674" s="20" t="s">
        <v>1841</v>
      </c>
      <c r="C674" s="20" t="s">
        <v>1841</v>
      </c>
      <c r="D674" s="94" t="s">
        <v>1199</v>
      </c>
      <c r="E674" s="20" t="s">
        <v>133</v>
      </c>
      <c r="F674" s="20" t="s">
        <v>1846</v>
      </c>
      <c r="G674" s="31" t="s">
        <v>40</v>
      </c>
      <c r="H674" s="32">
        <v>1</v>
      </c>
      <c r="J674" s="32">
        <v>1</v>
      </c>
      <c r="O674" s="20">
        <v>0</v>
      </c>
      <c r="P674" s="20">
        <v>1</v>
      </c>
      <c r="Q674" s="20">
        <v>0</v>
      </c>
      <c r="R674" s="20">
        <v>0</v>
      </c>
      <c r="X674" s="20">
        <v>1</v>
      </c>
      <c r="Z674" s="20" t="s">
        <v>1857</v>
      </c>
      <c r="AA674" s="20" t="s">
        <v>1863</v>
      </c>
      <c r="AB674" s="31">
        <f>VLOOKUP(AA674,Masters!$K$2:$L$183,2,FALSE)</f>
        <v>1005</v>
      </c>
      <c r="AC674" s="20" t="s">
        <v>2063</v>
      </c>
      <c r="AD674" s="20" t="s">
        <v>2060</v>
      </c>
      <c r="AE674" s="20">
        <v>12</v>
      </c>
      <c r="AF674" s="20">
        <v>9</v>
      </c>
      <c r="AG674" s="20">
        <v>2002</v>
      </c>
      <c r="AH674" s="21">
        <v>37511</v>
      </c>
    </row>
    <row r="675" spans="1:34" x14ac:dyDescent="0.25">
      <c r="A675" s="35">
        <v>1273</v>
      </c>
      <c r="B675" s="20" t="s">
        <v>1841</v>
      </c>
      <c r="C675" s="20" t="s">
        <v>1841</v>
      </c>
      <c r="D675" s="94" t="s">
        <v>1200</v>
      </c>
      <c r="E675" s="20" t="s">
        <v>2052</v>
      </c>
      <c r="F675" s="20" t="s">
        <v>1843</v>
      </c>
      <c r="G675" s="31" t="s">
        <v>40</v>
      </c>
      <c r="H675" s="32">
        <v>1</v>
      </c>
      <c r="J675" s="32">
        <v>1</v>
      </c>
      <c r="O675" s="20">
        <v>0</v>
      </c>
      <c r="P675" s="20">
        <v>1</v>
      </c>
      <c r="Q675" s="20">
        <v>0</v>
      </c>
      <c r="R675" s="20">
        <v>0</v>
      </c>
      <c r="X675" s="20">
        <v>1</v>
      </c>
      <c r="Z675" s="20" t="s">
        <v>1850</v>
      </c>
      <c r="AA675" s="20" t="s">
        <v>1863</v>
      </c>
      <c r="AB675" s="31">
        <f>VLOOKUP(AA675,Masters!$K$2:$L$183,2,FALSE)</f>
        <v>1005</v>
      </c>
      <c r="AC675" s="20" t="s">
        <v>2064</v>
      </c>
      <c r="AD675" s="20" t="s">
        <v>2061</v>
      </c>
      <c r="AE675" s="20">
        <v>3</v>
      </c>
      <c r="AF675" s="20">
        <v>2</v>
      </c>
      <c r="AG675" s="20">
        <v>2004</v>
      </c>
      <c r="AH675" s="21">
        <v>38020</v>
      </c>
    </row>
    <row r="676" spans="1:34" x14ac:dyDescent="0.25">
      <c r="A676" s="35">
        <v>1275</v>
      </c>
      <c r="B676" s="20" t="s">
        <v>1841</v>
      </c>
      <c r="C676" s="20" t="s">
        <v>1841</v>
      </c>
      <c r="D676" s="94" t="s">
        <v>1202</v>
      </c>
      <c r="E676" s="20" t="s">
        <v>2053</v>
      </c>
      <c r="F676" s="20" t="s">
        <v>1846</v>
      </c>
      <c r="G676" s="31" t="s">
        <v>40</v>
      </c>
      <c r="H676" s="32">
        <v>1</v>
      </c>
      <c r="J676" s="32">
        <v>1</v>
      </c>
      <c r="O676" s="20">
        <v>0</v>
      </c>
      <c r="P676" s="20">
        <v>1</v>
      </c>
      <c r="Q676" s="20">
        <v>0</v>
      </c>
      <c r="R676" s="20">
        <v>0</v>
      </c>
      <c r="X676" s="20">
        <v>1</v>
      </c>
      <c r="Z676" s="20" t="s">
        <v>1851</v>
      </c>
      <c r="AA676" s="20" t="s">
        <v>1863</v>
      </c>
      <c r="AB676" s="31">
        <f>VLOOKUP(AA676,Masters!$K$2:$L$183,2,FALSE)</f>
        <v>1005</v>
      </c>
      <c r="AC676" s="20" t="s">
        <v>2064</v>
      </c>
      <c r="AD676" s="20" t="s">
        <v>2061</v>
      </c>
      <c r="AE676" s="20">
        <v>27</v>
      </c>
      <c r="AF676" s="20">
        <v>7</v>
      </c>
      <c r="AG676" s="20">
        <v>2003</v>
      </c>
      <c r="AH676" s="21">
        <v>37829</v>
      </c>
    </row>
    <row r="677" spans="1:34" x14ac:dyDescent="0.25">
      <c r="A677" s="35">
        <v>1280</v>
      </c>
      <c r="B677" s="20" t="s">
        <v>1841</v>
      </c>
      <c r="C677" s="20" t="s">
        <v>1841</v>
      </c>
      <c r="D677" s="94" t="s">
        <v>1207</v>
      </c>
      <c r="E677" s="20" t="s">
        <v>2059</v>
      </c>
      <c r="F677" s="20" t="s">
        <v>1843</v>
      </c>
      <c r="G677" s="31" t="s">
        <v>40</v>
      </c>
      <c r="H677" s="32">
        <v>1</v>
      </c>
      <c r="J677" s="32">
        <v>1</v>
      </c>
      <c r="O677" s="20">
        <v>0</v>
      </c>
      <c r="P677" s="20">
        <v>1</v>
      </c>
      <c r="Q677" s="20">
        <v>0</v>
      </c>
      <c r="R677" s="20">
        <v>0</v>
      </c>
      <c r="X677" s="20">
        <v>1</v>
      </c>
      <c r="Z677" s="20" t="s">
        <v>1852</v>
      </c>
      <c r="AA677" s="20" t="s">
        <v>1862</v>
      </c>
      <c r="AB677" s="31">
        <f>VLOOKUP(AA677,Masters!$K$2:$L$183,2,FALSE)</f>
        <v>1004</v>
      </c>
      <c r="AC677" s="20" t="s">
        <v>2063</v>
      </c>
      <c r="AD677" s="20" t="s">
        <v>2060</v>
      </c>
      <c r="AE677" s="20">
        <v>28</v>
      </c>
      <c r="AF677" s="20">
        <v>9</v>
      </c>
      <c r="AG677" s="20">
        <v>2001</v>
      </c>
      <c r="AH677" s="21">
        <v>37162</v>
      </c>
    </row>
    <row r="678" spans="1:34" x14ac:dyDescent="0.25">
      <c r="A678" s="35">
        <v>1281</v>
      </c>
      <c r="B678" s="20" t="s">
        <v>1841</v>
      </c>
      <c r="C678" s="20" t="s">
        <v>1841</v>
      </c>
      <c r="D678" s="94" t="s">
        <v>1208</v>
      </c>
      <c r="E678" s="20" t="s">
        <v>2056</v>
      </c>
      <c r="F678" s="20" t="s">
        <v>1844</v>
      </c>
      <c r="G678" s="31" t="s">
        <v>40</v>
      </c>
      <c r="H678" s="32">
        <v>1</v>
      </c>
      <c r="J678" s="32">
        <v>1</v>
      </c>
      <c r="O678" s="20">
        <v>0</v>
      </c>
      <c r="P678" s="20">
        <v>1</v>
      </c>
      <c r="Q678" s="20">
        <v>0</v>
      </c>
      <c r="R678" s="20">
        <v>0</v>
      </c>
      <c r="X678" s="20">
        <v>1</v>
      </c>
      <c r="Z678" s="20" t="s">
        <v>1858</v>
      </c>
      <c r="AA678" s="20" t="s">
        <v>1861</v>
      </c>
      <c r="AB678" s="31">
        <f>VLOOKUP(AA678,Masters!$K$2:$L$183,2,FALSE)</f>
        <v>1003</v>
      </c>
      <c r="AC678" s="20" t="s">
        <v>2063</v>
      </c>
      <c r="AD678" s="20" t="s">
        <v>2060</v>
      </c>
      <c r="AE678" s="20">
        <v>29</v>
      </c>
      <c r="AF678" s="20">
        <v>3</v>
      </c>
      <c r="AG678" s="20">
        <v>2002</v>
      </c>
      <c r="AH678" s="21">
        <v>37344</v>
      </c>
    </row>
    <row r="679" spans="1:34" x14ac:dyDescent="0.25">
      <c r="A679" s="35">
        <v>1283</v>
      </c>
      <c r="B679" s="20" t="s">
        <v>1841</v>
      </c>
      <c r="C679" s="20" t="s">
        <v>1841</v>
      </c>
      <c r="D679" s="94" t="s">
        <v>1210</v>
      </c>
      <c r="E679" s="20" t="s">
        <v>2050</v>
      </c>
      <c r="F679" s="20" t="s">
        <v>1844</v>
      </c>
      <c r="G679" s="31" t="s">
        <v>40</v>
      </c>
      <c r="H679" s="32">
        <v>1</v>
      </c>
      <c r="J679" s="32">
        <v>1</v>
      </c>
      <c r="O679" s="20">
        <v>0</v>
      </c>
      <c r="P679" s="20">
        <v>1</v>
      </c>
      <c r="Q679" s="20">
        <v>0</v>
      </c>
      <c r="R679" s="20">
        <v>0</v>
      </c>
      <c r="X679" s="20">
        <v>1</v>
      </c>
      <c r="Z679" s="20" t="s">
        <v>1853</v>
      </c>
      <c r="AA679" s="20" t="s">
        <v>1863</v>
      </c>
      <c r="AB679" s="31">
        <f>VLOOKUP(AA679,Masters!$K$2:$L$183,2,FALSE)</f>
        <v>1005</v>
      </c>
      <c r="AC679" s="20" t="s">
        <v>2064</v>
      </c>
      <c r="AD679" s="20" t="s">
        <v>2061</v>
      </c>
      <c r="AE679" s="20">
        <v>1</v>
      </c>
      <c r="AF679" s="20">
        <v>6</v>
      </c>
      <c r="AG679" s="20">
        <v>2005</v>
      </c>
      <c r="AH679" s="21">
        <v>38504</v>
      </c>
    </row>
    <row r="680" spans="1:34" x14ac:dyDescent="0.25">
      <c r="A680" s="35">
        <v>1285</v>
      </c>
      <c r="B680" s="20" t="s">
        <v>1841</v>
      </c>
      <c r="C680" s="20" t="s">
        <v>1841</v>
      </c>
      <c r="D680" s="94" t="s">
        <v>1212</v>
      </c>
      <c r="E680" s="20" t="s">
        <v>2057</v>
      </c>
      <c r="F680" s="20" t="s">
        <v>1846</v>
      </c>
      <c r="G680" s="31" t="s">
        <v>40</v>
      </c>
      <c r="H680" s="32">
        <v>1</v>
      </c>
      <c r="J680" s="32">
        <v>1</v>
      </c>
      <c r="O680" s="20">
        <v>0</v>
      </c>
      <c r="P680" s="20">
        <v>1</v>
      </c>
      <c r="Q680" s="20">
        <v>0</v>
      </c>
      <c r="R680" s="20">
        <v>0</v>
      </c>
      <c r="X680" s="20">
        <v>1</v>
      </c>
      <c r="Z680" s="20" t="s">
        <v>100</v>
      </c>
      <c r="AA680" s="20" t="s">
        <v>1861</v>
      </c>
      <c r="AB680" s="31">
        <f>VLOOKUP(AA680,Masters!$K$2:$L$183,2,FALSE)</f>
        <v>1003</v>
      </c>
      <c r="AC680" s="20" t="s">
        <v>2064</v>
      </c>
      <c r="AD680" s="20" t="s">
        <v>2061</v>
      </c>
      <c r="AE680" s="20">
        <v>10</v>
      </c>
      <c r="AF680" s="20">
        <v>3</v>
      </c>
      <c r="AG680" s="20">
        <v>2004</v>
      </c>
      <c r="AH680" s="21">
        <v>38056</v>
      </c>
    </row>
    <row r="681" spans="1:34" x14ac:dyDescent="0.25">
      <c r="A681" s="35">
        <v>1286</v>
      </c>
      <c r="B681" s="20" t="s">
        <v>1841</v>
      </c>
      <c r="C681" s="20" t="s">
        <v>1841</v>
      </c>
      <c r="D681" s="94" t="s">
        <v>1213</v>
      </c>
      <c r="E681" s="20" t="s">
        <v>2055</v>
      </c>
      <c r="F681" s="20" t="s">
        <v>1843</v>
      </c>
      <c r="G681" s="31" t="s">
        <v>40</v>
      </c>
      <c r="H681" s="32">
        <v>1</v>
      </c>
      <c r="J681" s="32">
        <v>1</v>
      </c>
      <c r="O681" s="20">
        <v>0</v>
      </c>
      <c r="P681" s="20">
        <v>1</v>
      </c>
      <c r="Q681" s="20">
        <v>0</v>
      </c>
      <c r="R681" s="20">
        <v>0</v>
      </c>
      <c r="X681" s="20">
        <v>1</v>
      </c>
      <c r="Z681" s="20" t="s">
        <v>1854</v>
      </c>
      <c r="AA681" s="20" t="s">
        <v>1859</v>
      </c>
      <c r="AB681" s="31">
        <f>VLOOKUP(AA681,Masters!$K$2:$L$183,2,FALSE)</f>
        <v>1001</v>
      </c>
      <c r="AC681" s="20" t="s">
        <v>2064</v>
      </c>
      <c r="AD681" s="20" t="s">
        <v>2061</v>
      </c>
      <c r="AE681" s="20">
        <v>1</v>
      </c>
      <c r="AF681" s="20">
        <v>6</v>
      </c>
      <c r="AG681" s="20">
        <v>2003</v>
      </c>
      <c r="AH681" s="21">
        <v>37773</v>
      </c>
    </row>
    <row r="682" spans="1:34" x14ac:dyDescent="0.25">
      <c r="A682" s="35">
        <v>1287</v>
      </c>
      <c r="B682" s="20" t="s">
        <v>1841</v>
      </c>
      <c r="C682" s="20" t="s">
        <v>1841</v>
      </c>
      <c r="D682" s="94" t="s">
        <v>1214</v>
      </c>
      <c r="E682" s="20" t="s">
        <v>2057</v>
      </c>
      <c r="F682" s="20" t="s">
        <v>1847</v>
      </c>
      <c r="G682" s="31" t="s">
        <v>40</v>
      </c>
      <c r="H682" s="32">
        <v>1</v>
      </c>
      <c r="J682" s="32">
        <v>1</v>
      </c>
      <c r="O682" s="20">
        <v>0</v>
      </c>
      <c r="P682" s="20">
        <v>1</v>
      </c>
      <c r="Q682" s="20">
        <v>0</v>
      </c>
      <c r="R682" s="20">
        <v>0</v>
      </c>
      <c r="X682" s="20">
        <v>1</v>
      </c>
      <c r="Z682" s="20" t="s">
        <v>1832</v>
      </c>
      <c r="AA682" s="20" t="s">
        <v>1860</v>
      </c>
      <c r="AB682" s="31">
        <f>VLOOKUP(AA682,Masters!$K$2:$L$183,2,FALSE)</f>
        <v>1002</v>
      </c>
      <c r="AC682" s="20" t="s">
        <v>2064</v>
      </c>
      <c r="AD682" s="20" t="s">
        <v>2061</v>
      </c>
      <c r="AE682" s="20">
        <v>10</v>
      </c>
      <c r="AF682" s="20">
        <v>4</v>
      </c>
      <c r="AG682" s="20">
        <v>2002</v>
      </c>
      <c r="AH682" s="21">
        <v>37356</v>
      </c>
    </row>
    <row r="683" spans="1:34" x14ac:dyDescent="0.25">
      <c r="A683" s="35">
        <v>1289</v>
      </c>
      <c r="B683" s="20" t="s">
        <v>1841</v>
      </c>
      <c r="C683" s="20" t="s">
        <v>1841</v>
      </c>
      <c r="D683" s="94" t="s">
        <v>1216</v>
      </c>
      <c r="E683" s="20" t="s">
        <v>133</v>
      </c>
      <c r="F683" s="20" t="s">
        <v>1843</v>
      </c>
      <c r="G683" s="31" t="s">
        <v>40</v>
      </c>
      <c r="H683" s="32">
        <v>1</v>
      </c>
      <c r="J683" s="32">
        <v>1</v>
      </c>
      <c r="O683" s="20">
        <v>0</v>
      </c>
      <c r="P683" s="20">
        <v>1</v>
      </c>
      <c r="Q683" s="20">
        <v>0</v>
      </c>
      <c r="R683" s="20">
        <v>0</v>
      </c>
      <c r="X683" s="20">
        <v>1</v>
      </c>
      <c r="Z683" s="20" t="s">
        <v>1848</v>
      </c>
      <c r="AA683" s="20" t="s">
        <v>1862</v>
      </c>
      <c r="AB683" s="31">
        <f>VLOOKUP(AA683,Masters!$K$2:$L$183,2,FALSE)</f>
        <v>1004</v>
      </c>
      <c r="AC683" s="20" t="s">
        <v>2064</v>
      </c>
      <c r="AD683" s="20" t="s">
        <v>2061</v>
      </c>
      <c r="AE683" s="20">
        <v>19</v>
      </c>
      <c r="AF683" s="20">
        <v>8</v>
      </c>
      <c r="AG683" s="20">
        <v>2004</v>
      </c>
      <c r="AH683" s="21">
        <v>38218</v>
      </c>
    </row>
    <row r="684" spans="1:34" x14ac:dyDescent="0.25">
      <c r="A684" s="35">
        <v>1290</v>
      </c>
      <c r="B684" s="20" t="s">
        <v>1841</v>
      </c>
      <c r="C684" s="20" t="s">
        <v>1841</v>
      </c>
      <c r="D684" s="94" t="s">
        <v>1217</v>
      </c>
      <c r="E684" s="20" t="s">
        <v>2056</v>
      </c>
      <c r="F684" s="20" t="s">
        <v>1844</v>
      </c>
      <c r="G684" s="31" t="s">
        <v>40</v>
      </c>
      <c r="H684" s="32">
        <v>1</v>
      </c>
      <c r="J684" s="32">
        <v>1</v>
      </c>
      <c r="O684" s="20">
        <v>0</v>
      </c>
      <c r="P684" s="20">
        <v>1</v>
      </c>
      <c r="Q684" s="20">
        <v>0</v>
      </c>
      <c r="R684" s="20">
        <v>0</v>
      </c>
      <c r="X684" s="20">
        <v>1</v>
      </c>
      <c r="Z684" s="20" t="s">
        <v>1858</v>
      </c>
      <c r="AA684" s="20" t="s">
        <v>1860</v>
      </c>
      <c r="AB684" s="31">
        <f>VLOOKUP(AA684,Masters!$K$2:$L$183,2,FALSE)</f>
        <v>1002</v>
      </c>
      <c r="AC684" s="20" t="s">
        <v>2064</v>
      </c>
      <c r="AD684" s="20" t="s">
        <v>2061</v>
      </c>
      <c r="AE684" s="20">
        <v>14</v>
      </c>
      <c r="AF684" s="20">
        <v>4</v>
      </c>
      <c r="AG684" s="20">
        <v>2002</v>
      </c>
      <c r="AH684" s="21">
        <v>37360</v>
      </c>
    </row>
    <row r="685" spans="1:34" x14ac:dyDescent="0.25">
      <c r="A685" s="35">
        <v>1292</v>
      </c>
      <c r="B685" s="20" t="s">
        <v>1841</v>
      </c>
      <c r="C685" s="20" t="s">
        <v>1841</v>
      </c>
      <c r="D685" s="94" t="s">
        <v>1219</v>
      </c>
      <c r="E685" s="20" t="s">
        <v>2050</v>
      </c>
      <c r="F685" s="20" t="s">
        <v>1846</v>
      </c>
      <c r="G685" s="31" t="s">
        <v>40</v>
      </c>
      <c r="H685" s="32">
        <v>1</v>
      </c>
      <c r="J685" s="32">
        <v>1</v>
      </c>
      <c r="O685" s="20">
        <v>0</v>
      </c>
      <c r="P685" s="20">
        <v>1</v>
      </c>
      <c r="Q685" s="20">
        <v>0</v>
      </c>
      <c r="R685" s="20">
        <v>0</v>
      </c>
      <c r="X685" s="20">
        <v>1</v>
      </c>
      <c r="Z685" s="20" t="s">
        <v>753</v>
      </c>
      <c r="AA685" s="20" t="s">
        <v>1863</v>
      </c>
      <c r="AB685" s="31">
        <f>VLOOKUP(AA685,Masters!$K$2:$L$183,2,FALSE)</f>
        <v>1005</v>
      </c>
      <c r="AC685" s="20" t="s">
        <v>2064</v>
      </c>
      <c r="AD685" s="20" t="s">
        <v>2061</v>
      </c>
      <c r="AE685" s="20">
        <v>1</v>
      </c>
      <c r="AF685" s="20">
        <v>10</v>
      </c>
      <c r="AG685" s="20">
        <v>2004</v>
      </c>
      <c r="AH685" s="21">
        <v>38261</v>
      </c>
    </row>
    <row r="686" spans="1:34" x14ac:dyDescent="0.25">
      <c r="A686" s="35">
        <v>1297</v>
      </c>
      <c r="B686" s="20" t="s">
        <v>1841</v>
      </c>
      <c r="C686" s="20" t="s">
        <v>1841</v>
      </c>
      <c r="D686" s="94" t="s">
        <v>1224</v>
      </c>
      <c r="E686" s="20" t="s">
        <v>2056</v>
      </c>
      <c r="F686" s="20" t="s">
        <v>1843</v>
      </c>
      <c r="G686" s="31" t="s">
        <v>40</v>
      </c>
      <c r="H686" s="32">
        <v>1</v>
      </c>
      <c r="J686" s="32">
        <v>1</v>
      </c>
      <c r="O686" s="20">
        <v>0</v>
      </c>
      <c r="P686" s="20">
        <v>1</v>
      </c>
      <c r="Q686" s="20">
        <v>0</v>
      </c>
      <c r="R686" s="20">
        <v>0</v>
      </c>
      <c r="X686" s="20">
        <v>1</v>
      </c>
      <c r="Z686" s="20" t="s">
        <v>1832</v>
      </c>
      <c r="AA686" s="20" t="s">
        <v>1863</v>
      </c>
      <c r="AB686" s="31">
        <f>VLOOKUP(AA686,Masters!$K$2:$L$183,2,FALSE)</f>
        <v>1005</v>
      </c>
      <c r="AC686" s="20" t="s">
        <v>2063</v>
      </c>
      <c r="AD686" s="20" t="s">
        <v>2060</v>
      </c>
      <c r="AE686" s="20">
        <v>24</v>
      </c>
      <c r="AF686" s="20">
        <v>7</v>
      </c>
      <c r="AG686" s="20">
        <v>2002</v>
      </c>
      <c r="AH686" s="21">
        <v>37461</v>
      </c>
    </row>
    <row r="687" spans="1:34" x14ac:dyDescent="0.25">
      <c r="A687" s="35">
        <v>1300</v>
      </c>
      <c r="B687" s="20" t="s">
        <v>1841</v>
      </c>
      <c r="C687" s="20" t="s">
        <v>1841</v>
      </c>
      <c r="D687" s="94" t="s">
        <v>1227</v>
      </c>
      <c r="E687" s="20" t="s">
        <v>2053</v>
      </c>
      <c r="F687" s="20" t="s">
        <v>1847</v>
      </c>
      <c r="G687" s="31" t="s">
        <v>40</v>
      </c>
      <c r="H687" s="32">
        <v>1</v>
      </c>
      <c r="J687" s="32">
        <v>1</v>
      </c>
      <c r="O687" s="20">
        <v>0</v>
      </c>
      <c r="P687" s="20">
        <v>1</v>
      </c>
      <c r="Q687" s="20">
        <v>0</v>
      </c>
      <c r="R687" s="20">
        <v>0</v>
      </c>
      <c r="X687" s="20">
        <v>1</v>
      </c>
      <c r="Z687" s="20" t="s">
        <v>1851</v>
      </c>
      <c r="AA687" s="20" t="s">
        <v>1861</v>
      </c>
      <c r="AB687" s="31">
        <f>VLOOKUP(AA687,Masters!$K$2:$L$183,2,FALSE)</f>
        <v>1003</v>
      </c>
      <c r="AC687" s="20" t="s">
        <v>2063</v>
      </c>
      <c r="AD687" s="20" t="s">
        <v>2060</v>
      </c>
      <c r="AE687" s="20">
        <v>21</v>
      </c>
      <c r="AF687" s="20">
        <v>2</v>
      </c>
      <c r="AG687" s="20">
        <v>2004</v>
      </c>
      <c r="AH687" s="21">
        <v>38038</v>
      </c>
    </row>
    <row r="688" spans="1:34" x14ac:dyDescent="0.25">
      <c r="A688" s="35">
        <v>1302</v>
      </c>
      <c r="B688" s="20" t="s">
        <v>1841</v>
      </c>
      <c r="C688" s="20" t="s">
        <v>1841</v>
      </c>
      <c r="D688" s="94" t="s">
        <v>1229</v>
      </c>
      <c r="E688" s="20" t="s">
        <v>135</v>
      </c>
      <c r="F688" s="20" t="s">
        <v>1847</v>
      </c>
      <c r="G688" s="31" t="s">
        <v>40</v>
      </c>
      <c r="H688" s="32">
        <v>1</v>
      </c>
      <c r="J688" s="32">
        <v>1</v>
      </c>
      <c r="O688" s="20">
        <v>0</v>
      </c>
      <c r="P688" s="20">
        <v>1</v>
      </c>
      <c r="Q688" s="20">
        <v>0</v>
      </c>
      <c r="R688" s="20">
        <v>0</v>
      </c>
      <c r="X688" s="20">
        <v>1</v>
      </c>
      <c r="Z688" s="20" t="s">
        <v>1852</v>
      </c>
      <c r="AA688" s="20" t="s">
        <v>1861</v>
      </c>
      <c r="AB688" s="31">
        <f>VLOOKUP(AA688,Masters!$K$2:$L$183,2,FALSE)</f>
        <v>1003</v>
      </c>
      <c r="AC688" s="20" t="s">
        <v>2063</v>
      </c>
      <c r="AD688" s="20" t="s">
        <v>2061</v>
      </c>
      <c r="AE688" s="20">
        <v>29</v>
      </c>
      <c r="AF688" s="20">
        <v>11</v>
      </c>
      <c r="AG688" s="20">
        <v>2003</v>
      </c>
      <c r="AH688" s="21">
        <v>37954</v>
      </c>
    </row>
    <row r="689" spans="1:34" x14ac:dyDescent="0.25">
      <c r="A689" s="35">
        <v>1303</v>
      </c>
      <c r="B689" s="20" t="s">
        <v>1841</v>
      </c>
      <c r="C689" s="20" t="s">
        <v>1841</v>
      </c>
      <c r="D689" s="94" t="s">
        <v>1230</v>
      </c>
      <c r="E689" s="20" t="s">
        <v>2059</v>
      </c>
      <c r="F689" s="20" t="s">
        <v>1843</v>
      </c>
      <c r="G689" s="31" t="s">
        <v>40</v>
      </c>
      <c r="H689" s="32">
        <v>1</v>
      </c>
      <c r="J689" s="32">
        <v>1</v>
      </c>
      <c r="O689" s="20">
        <v>0</v>
      </c>
      <c r="P689" s="20">
        <v>1</v>
      </c>
      <c r="Q689" s="20">
        <v>0</v>
      </c>
      <c r="R689" s="20">
        <v>0</v>
      </c>
      <c r="X689" s="20">
        <v>1</v>
      </c>
      <c r="Z689" s="20" t="s">
        <v>58</v>
      </c>
      <c r="AA689" s="20" t="s">
        <v>1859</v>
      </c>
      <c r="AB689" s="31">
        <f>VLOOKUP(AA689,Masters!$K$2:$L$183,2,FALSE)</f>
        <v>1001</v>
      </c>
      <c r="AC689" s="20" t="s">
        <v>2063</v>
      </c>
      <c r="AD689" s="20" t="s">
        <v>2061</v>
      </c>
      <c r="AE689" s="20">
        <v>16</v>
      </c>
      <c r="AF689" s="20">
        <v>8</v>
      </c>
      <c r="AG689" s="20">
        <v>2001</v>
      </c>
      <c r="AH689" s="21">
        <v>37119</v>
      </c>
    </row>
    <row r="690" spans="1:34" x14ac:dyDescent="0.25">
      <c r="A690" s="35">
        <v>1304</v>
      </c>
      <c r="B690" s="20" t="s">
        <v>1841</v>
      </c>
      <c r="C690" s="20" t="s">
        <v>1841</v>
      </c>
      <c r="D690" s="94" t="s">
        <v>1231</v>
      </c>
      <c r="E690" s="20" t="s">
        <v>2059</v>
      </c>
      <c r="F690" s="20" t="s">
        <v>1844</v>
      </c>
      <c r="G690" s="31" t="s">
        <v>40</v>
      </c>
      <c r="H690" s="32">
        <v>1</v>
      </c>
      <c r="J690" s="32">
        <v>1</v>
      </c>
      <c r="O690" s="20">
        <v>0</v>
      </c>
      <c r="P690" s="20">
        <v>1</v>
      </c>
      <c r="Q690" s="20">
        <v>0</v>
      </c>
      <c r="R690" s="20">
        <v>0</v>
      </c>
      <c r="X690" s="20">
        <v>1</v>
      </c>
      <c r="Z690" s="20" t="s">
        <v>201</v>
      </c>
      <c r="AA690" s="20" t="s">
        <v>1863</v>
      </c>
      <c r="AB690" s="31">
        <f>VLOOKUP(AA690,Masters!$K$2:$L$183,2,FALSE)</f>
        <v>1005</v>
      </c>
      <c r="AC690" s="20" t="s">
        <v>2064</v>
      </c>
      <c r="AD690" s="20" t="s">
        <v>2061</v>
      </c>
      <c r="AE690" s="20">
        <v>22</v>
      </c>
      <c r="AF690" s="20">
        <v>11</v>
      </c>
      <c r="AG690" s="20">
        <v>2001</v>
      </c>
      <c r="AH690" s="21">
        <v>37217</v>
      </c>
    </row>
    <row r="691" spans="1:34" x14ac:dyDescent="0.25">
      <c r="A691" s="35">
        <v>1306</v>
      </c>
      <c r="B691" s="20" t="s">
        <v>1841</v>
      </c>
      <c r="C691" s="20" t="s">
        <v>1841</v>
      </c>
      <c r="D691" s="94" t="s">
        <v>1233</v>
      </c>
      <c r="E691" s="20" t="s">
        <v>2056</v>
      </c>
      <c r="F691" s="20" t="s">
        <v>1845</v>
      </c>
      <c r="G691" s="31" t="s">
        <v>40</v>
      </c>
      <c r="H691" s="32">
        <v>1</v>
      </c>
      <c r="J691" s="32">
        <v>1</v>
      </c>
      <c r="O691" s="20">
        <v>0</v>
      </c>
      <c r="P691" s="20">
        <v>1</v>
      </c>
      <c r="Q691" s="20">
        <v>0</v>
      </c>
      <c r="R691" s="20">
        <v>0</v>
      </c>
      <c r="X691" s="20">
        <v>1</v>
      </c>
      <c r="Z691" s="20" t="s">
        <v>34</v>
      </c>
      <c r="AA691" s="20" t="s">
        <v>1863</v>
      </c>
      <c r="AB691" s="31">
        <f>VLOOKUP(AA691,Masters!$K$2:$L$183,2,FALSE)</f>
        <v>1005</v>
      </c>
      <c r="AC691" s="20" t="s">
        <v>2064</v>
      </c>
      <c r="AD691" s="20" t="s">
        <v>2061</v>
      </c>
      <c r="AE691" s="20">
        <v>4</v>
      </c>
      <c r="AF691" s="20">
        <v>2</v>
      </c>
      <c r="AG691" s="20">
        <v>2002</v>
      </c>
      <c r="AH691" s="21">
        <v>37291</v>
      </c>
    </row>
    <row r="692" spans="1:34" x14ac:dyDescent="0.25">
      <c r="A692" s="35">
        <v>1307</v>
      </c>
      <c r="B692" s="20" t="s">
        <v>1841</v>
      </c>
      <c r="C692" s="20" t="s">
        <v>1841</v>
      </c>
      <c r="D692" s="94" t="s">
        <v>1234</v>
      </c>
      <c r="E692" s="20" t="s">
        <v>2055</v>
      </c>
      <c r="F692" s="20" t="s">
        <v>1845</v>
      </c>
      <c r="G692" s="31" t="s">
        <v>40</v>
      </c>
      <c r="H692" s="32">
        <v>1</v>
      </c>
      <c r="J692" s="32">
        <v>1</v>
      </c>
      <c r="O692" s="20">
        <v>0</v>
      </c>
      <c r="P692" s="20">
        <v>1</v>
      </c>
      <c r="Q692" s="20">
        <v>0</v>
      </c>
      <c r="R692" s="20">
        <v>0</v>
      </c>
      <c r="X692" s="20">
        <v>1</v>
      </c>
      <c r="Z692" s="20" t="s">
        <v>1848</v>
      </c>
      <c r="AA692" s="20" t="s">
        <v>1863</v>
      </c>
      <c r="AB692" s="31">
        <f>VLOOKUP(AA692,Masters!$K$2:$L$183,2,FALSE)</f>
        <v>1005</v>
      </c>
      <c r="AC692" s="20" t="s">
        <v>2063</v>
      </c>
      <c r="AD692" s="20" t="s">
        <v>2060</v>
      </c>
      <c r="AE692" s="20">
        <v>26</v>
      </c>
      <c r="AF692" s="20">
        <v>4</v>
      </c>
      <c r="AG692" s="20">
        <v>2005</v>
      </c>
      <c r="AH692" s="21">
        <v>38468</v>
      </c>
    </row>
    <row r="693" spans="1:34" x14ac:dyDescent="0.25">
      <c r="A693" s="35">
        <v>1308</v>
      </c>
      <c r="B693" s="20" t="s">
        <v>1841</v>
      </c>
      <c r="C693" s="20" t="s">
        <v>1841</v>
      </c>
      <c r="D693" s="94" t="s">
        <v>1235</v>
      </c>
      <c r="E693" s="20" t="s">
        <v>2050</v>
      </c>
      <c r="F693" s="20" t="s">
        <v>1846</v>
      </c>
      <c r="G693" s="31" t="s">
        <v>40</v>
      </c>
      <c r="H693" s="32">
        <v>1</v>
      </c>
      <c r="J693" s="32">
        <v>1</v>
      </c>
      <c r="O693" s="20">
        <v>0</v>
      </c>
      <c r="P693" s="20">
        <v>1</v>
      </c>
      <c r="Q693" s="20">
        <v>0</v>
      </c>
      <c r="R693" s="20">
        <v>0</v>
      </c>
      <c r="X693" s="20">
        <v>1</v>
      </c>
      <c r="Z693" s="20" t="s">
        <v>201</v>
      </c>
      <c r="AA693" s="20" t="s">
        <v>1862</v>
      </c>
      <c r="AB693" s="31">
        <f>VLOOKUP(AA693,Masters!$K$2:$L$183,2,FALSE)</f>
        <v>1004</v>
      </c>
      <c r="AC693" s="20" t="s">
        <v>2063</v>
      </c>
      <c r="AD693" s="20" t="s">
        <v>2061</v>
      </c>
      <c r="AE693" s="20">
        <v>6</v>
      </c>
      <c r="AF693" s="20">
        <v>1</v>
      </c>
      <c r="AG693" s="20">
        <v>2005</v>
      </c>
      <c r="AH693" s="21">
        <v>38358</v>
      </c>
    </row>
    <row r="694" spans="1:34" x14ac:dyDescent="0.25">
      <c r="A694" s="35">
        <v>1310</v>
      </c>
      <c r="B694" s="20" t="s">
        <v>1841</v>
      </c>
      <c r="C694" s="20" t="s">
        <v>1841</v>
      </c>
      <c r="D694" s="94" t="s">
        <v>1237</v>
      </c>
      <c r="E694" s="20" t="s">
        <v>2057</v>
      </c>
      <c r="F694" s="20" t="s">
        <v>1844</v>
      </c>
      <c r="G694" s="31" t="s">
        <v>40</v>
      </c>
      <c r="H694" s="32">
        <v>1</v>
      </c>
      <c r="J694" s="32">
        <v>1</v>
      </c>
      <c r="O694" s="20">
        <v>0</v>
      </c>
      <c r="P694" s="20">
        <v>1</v>
      </c>
      <c r="Q694" s="20">
        <v>0</v>
      </c>
      <c r="R694" s="20">
        <v>0</v>
      </c>
      <c r="X694" s="20">
        <v>1</v>
      </c>
      <c r="Z694" s="20" t="s">
        <v>1835</v>
      </c>
      <c r="AA694" s="20" t="s">
        <v>1859</v>
      </c>
      <c r="AB694" s="31">
        <f>VLOOKUP(AA694,Masters!$K$2:$L$183,2,FALSE)</f>
        <v>1001</v>
      </c>
      <c r="AC694" s="20" t="s">
        <v>2063</v>
      </c>
      <c r="AD694" s="20" t="s">
        <v>2060</v>
      </c>
      <c r="AE694" s="20">
        <v>20</v>
      </c>
      <c r="AF694" s="20">
        <v>8</v>
      </c>
      <c r="AG694" s="20">
        <v>2004</v>
      </c>
      <c r="AH694" s="21">
        <v>38219</v>
      </c>
    </row>
    <row r="695" spans="1:34" x14ac:dyDescent="0.25">
      <c r="A695" s="35">
        <v>1312</v>
      </c>
      <c r="B695" s="20" t="s">
        <v>1841</v>
      </c>
      <c r="C695" s="20" t="s">
        <v>1841</v>
      </c>
      <c r="D695" s="94" t="s">
        <v>1239</v>
      </c>
      <c r="E695" s="20" t="s">
        <v>2059</v>
      </c>
      <c r="F695" s="20" t="s">
        <v>1847</v>
      </c>
      <c r="G695" s="31" t="s">
        <v>40</v>
      </c>
      <c r="H695" s="32">
        <v>1</v>
      </c>
      <c r="J695" s="32">
        <v>1</v>
      </c>
      <c r="O695" s="20">
        <v>0</v>
      </c>
      <c r="P695" s="20">
        <v>1</v>
      </c>
      <c r="Q695" s="20">
        <v>0</v>
      </c>
      <c r="R695" s="20">
        <v>0</v>
      </c>
      <c r="X695" s="20">
        <v>1</v>
      </c>
      <c r="Z695" s="20" t="s">
        <v>1835</v>
      </c>
      <c r="AA695" s="20" t="s">
        <v>1861</v>
      </c>
      <c r="AB695" s="31">
        <f>VLOOKUP(AA695,Masters!$K$2:$L$183,2,FALSE)</f>
        <v>1003</v>
      </c>
      <c r="AC695" s="20" t="s">
        <v>2063</v>
      </c>
      <c r="AD695" s="20" t="s">
        <v>2060</v>
      </c>
      <c r="AE695" s="20">
        <v>22</v>
      </c>
      <c r="AF695" s="20">
        <v>1</v>
      </c>
      <c r="AG695" s="20">
        <v>2005</v>
      </c>
      <c r="AH695" s="21">
        <v>38374</v>
      </c>
    </row>
    <row r="696" spans="1:34" x14ac:dyDescent="0.25">
      <c r="A696" s="35">
        <v>1315</v>
      </c>
      <c r="B696" s="20" t="s">
        <v>1841</v>
      </c>
      <c r="C696" s="20" t="s">
        <v>1841</v>
      </c>
      <c r="D696" s="94" t="s">
        <v>1242</v>
      </c>
      <c r="E696" s="20" t="s">
        <v>2057</v>
      </c>
      <c r="F696" s="20" t="s">
        <v>1847</v>
      </c>
      <c r="G696" s="31" t="s">
        <v>40</v>
      </c>
      <c r="H696" s="32">
        <v>1</v>
      </c>
      <c r="J696" s="32">
        <v>1</v>
      </c>
      <c r="O696" s="20">
        <v>0</v>
      </c>
      <c r="P696" s="20">
        <v>1</v>
      </c>
      <c r="Q696" s="20">
        <v>0</v>
      </c>
      <c r="R696" s="20">
        <v>0</v>
      </c>
      <c r="X696" s="20">
        <v>1</v>
      </c>
      <c r="Z696" s="20" t="s">
        <v>1853</v>
      </c>
      <c r="AA696" s="20" t="s">
        <v>1863</v>
      </c>
      <c r="AB696" s="31">
        <f>VLOOKUP(AA696,Masters!$K$2:$L$183,2,FALSE)</f>
        <v>1005</v>
      </c>
      <c r="AC696" s="20" t="s">
        <v>2063</v>
      </c>
      <c r="AD696" s="20" t="s">
        <v>2060</v>
      </c>
      <c r="AE696" s="20">
        <v>3</v>
      </c>
      <c r="AF696" s="20">
        <v>4</v>
      </c>
      <c r="AG696" s="20">
        <v>2004</v>
      </c>
      <c r="AH696" s="21">
        <v>38080</v>
      </c>
    </row>
    <row r="697" spans="1:34" x14ac:dyDescent="0.25">
      <c r="A697" s="35">
        <v>1317</v>
      </c>
      <c r="B697" s="20" t="s">
        <v>1841</v>
      </c>
      <c r="C697" s="20" t="s">
        <v>1841</v>
      </c>
      <c r="D697" s="94" t="s">
        <v>1244</v>
      </c>
      <c r="E697" s="20" t="s">
        <v>2058</v>
      </c>
      <c r="F697" s="20" t="s">
        <v>1843</v>
      </c>
      <c r="G697" s="31" t="s">
        <v>40</v>
      </c>
      <c r="H697" s="32">
        <v>1</v>
      </c>
      <c r="J697" s="32">
        <v>1</v>
      </c>
      <c r="O697" s="20">
        <v>0</v>
      </c>
      <c r="P697" s="20">
        <v>1</v>
      </c>
      <c r="Q697" s="20">
        <v>0</v>
      </c>
      <c r="R697" s="20">
        <v>0</v>
      </c>
      <c r="X697" s="20">
        <v>1</v>
      </c>
      <c r="Z697" s="20" t="s">
        <v>1850</v>
      </c>
      <c r="AA697" s="20" t="s">
        <v>1860</v>
      </c>
      <c r="AB697" s="31">
        <f>VLOOKUP(AA697,Masters!$K$2:$L$183,2,FALSE)</f>
        <v>1002</v>
      </c>
      <c r="AC697" s="20" t="s">
        <v>2063</v>
      </c>
      <c r="AD697" s="20" t="s">
        <v>2061</v>
      </c>
      <c r="AE697" s="20">
        <v>1</v>
      </c>
      <c r="AF697" s="20">
        <v>1</v>
      </c>
      <c r="AG697" s="20">
        <v>2004</v>
      </c>
      <c r="AH697" s="21">
        <v>37987</v>
      </c>
    </row>
    <row r="698" spans="1:34" x14ac:dyDescent="0.25">
      <c r="A698" s="35">
        <v>1319</v>
      </c>
      <c r="B698" s="20" t="s">
        <v>1841</v>
      </c>
      <c r="C698" s="20" t="s">
        <v>1841</v>
      </c>
      <c r="D698" s="94" t="s">
        <v>1246</v>
      </c>
      <c r="E698" s="20" t="s">
        <v>2057</v>
      </c>
      <c r="F698" s="20" t="s">
        <v>1844</v>
      </c>
      <c r="G698" s="31" t="s">
        <v>40</v>
      </c>
      <c r="H698" s="32">
        <v>1</v>
      </c>
      <c r="J698" s="32">
        <v>1</v>
      </c>
      <c r="O698" s="20">
        <v>0</v>
      </c>
      <c r="P698" s="20">
        <v>1</v>
      </c>
      <c r="Q698" s="20">
        <v>0</v>
      </c>
      <c r="R698" s="20">
        <v>0</v>
      </c>
      <c r="X698" s="20">
        <v>1</v>
      </c>
      <c r="Z698" s="20" t="s">
        <v>1848</v>
      </c>
      <c r="AA698" s="20" t="s">
        <v>1862</v>
      </c>
      <c r="AB698" s="31">
        <f>VLOOKUP(AA698,Masters!$K$2:$L$183,2,FALSE)</f>
        <v>1004</v>
      </c>
      <c r="AC698" s="20" t="s">
        <v>2063</v>
      </c>
      <c r="AD698" s="20" t="s">
        <v>2060</v>
      </c>
      <c r="AE698" s="20">
        <v>20</v>
      </c>
      <c r="AF698" s="20">
        <v>12</v>
      </c>
      <c r="AG698" s="20">
        <v>2001</v>
      </c>
      <c r="AH698" s="21">
        <v>37245</v>
      </c>
    </row>
    <row r="699" spans="1:34" x14ac:dyDescent="0.25">
      <c r="A699" s="35">
        <v>1321</v>
      </c>
      <c r="B699" s="20" t="s">
        <v>1841</v>
      </c>
      <c r="C699" s="20" t="s">
        <v>1841</v>
      </c>
      <c r="D699" s="94" t="s">
        <v>1248</v>
      </c>
      <c r="E699" s="20" t="s">
        <v>133</v>
      </c>
      <c r="F699" s="20" t="s">
        <v>1843</v>
      </c>
      <c r="G699" s="31" t="s">
        <v>40</v>
      </c>
      <c r="H699" s="32">
        <v>1</v>
      </c>
      <c r="J699" s="32">
        <v>1</v>
      </c>
      <c r="O699" s="20">
        <v>0</v>
      </c>
      <c r="P699" s="20">
        <v>1</v>
      </c>
      <c r="Q699" s="20">
        <v>0</v>
      </c>
      <c r="R699" s="20">
        <v>0</v>
      </c>
      <c r="X699" s="20">
        <v>1</v>
      </c>
      <c r="Z699" s="20" t="s">
        <v>753</v>
      </c>
      <c r="AA699" s="20" t="s">
        <v>1862</v>
      </c>
      <c r="AB699" s="31">
        <f>VLOOKUP(AA699,Masters!$K$2:$L$183,2,FALSE)</f>
        <v>1004</v>
      </c>
      <c r="AC699" s="20" t="s">
        <v>2064</v>
      </c>
      <c r="AD699" s="20" t="s">
        <v>2061</v>
      </c>
      <c r="AE699" s="20">
        <v>17</v>
      </c>
      <c r="AF699" s="20">
        <v>5</v>
      </c>
      <c r="AG699" s="20">
        <v>2002</v>
      </c>
      <c r="AH699" s="21">
        <v>37393</v>
      </c>
    </row>
    <row r="700" spans="1:34" x14ac:dyDescent="0.25">
      <c r="A700" s="35">
        <v>1323</v>
      </c>
      <c r="B700" s="20" t="s">
        <v>1841</v>
      </c>
      <c r="C700" s="20" t="s">
        <v>1841</v>
      </c>
      <c r="D700" s="94" t="s">
        <v>1250</v>
      </c>
      <c r="E700" s="20" t="s">
        <v>133</v>
      </c>
      <c r="F700" s="20" t="s">
        <v>1844</v>
      </c>
      <c r="G700" s="31" t="s">
        <v>40</v>
      </c>
      <c r="H700" s="32">
        <v>1</v>
      </c>
      <c r="J700" s="32">
        <v>1</v>
      </c>
      <c r="O700" s="20">
        <v>0</v>
      </c>
      <c r="P700" s="20">
        <v>1</v>
      </c>
      <c r="Q700" s="20">
        <v>0</v>
      </c>
      <c r="R700" s="20">
        <v>0</v>
      </c>
      <c r="X700" s="20">
        <v>1</v>
      </c>
      <c r="Z700" s="20" t="s">
        <v>1848</v>
      </c>
      <c r="AA700" s="20" t="s">
        <v>1862</v>
      </c>
      <c r="AB700" s="31">
        <f>VLOOKUP(AA700,Masters!$K$2:$L$183,2,FALSE)</f>
        <v>1004</v>
      </c>
      <c r="AC700" s="20" t="s">
        <v>2063</v>
      </c>
      <c r="AD700" s="20" t="s">
        <v>2060</v>
      </c>
      <c r="AE700" s="20">
        <v>22</v>
      </c>
      <c r="AF700" s="20">
        <v>3</v>
      </c>
      <c r="AG700" s="20">
        <v>2002</v>
      </c>
      <c r="AH700" s="21">
        <v>37337</v>
      </c>
    </row>
    <row r="701" spans="1:34" x14ac:dyDescent="0.25">
      <c r="A701" s="35">
        <v>1326</v>
      </c>
      <c r="B701" s="20" t="s">
        <v>1841</v>
      </c>
      <c r="C701" s="20" t="s">
        <v>1841</v>
      </c>
      <c r="D701" s="94" t="s">
        <v>1253</v>
      </c>
      <c r="E701" s="20" t="s">
        <v>2050</v>
      </c>
      <c r="F701" s="20" t="s">
        <v>1845</v>
      </c>
      <c r="G701" s="31" t="s">
        <v>40</v>
      </c>
      <c r="H701" s="32">
        <v>1</v>
      </c>
      <c r="J701" s="32">
        <v>1</v>
      </c>
      <c r="O701" s="20">
        <v>0</v>
      </c>
      <c r="P701" s="20">
        <v>1</v>
      </c>
      <c r="Q701" s="20">
        <v>0</v>
      </c>
      <c r="R701" s="20">
        <v>0</v>
      </c>
      <c r="X701" s="20">
        <v>1</v>
      </c>
      <c r="Z701" s="20" t="s">
        <v>1832</v>
      </c>
      <c r="AA701" s="20" t="s">
        <v>1860</v>
      </c>
      <c r="AB701" s="31">
        <f>VLOOKUP(AA701,Masters!$K$2:$L$183,2,FALSE)</f>
        <v>1002</v>
      </c>
      <c r="AC701" s="20" t="s">
        <v>2063</v>
      </c>
      <c r="AD701" s="20" t="s">
        <v>2060</v>
      </c>
      <c r="AE701" s="20">
        <v>17</v>
      </c>
      <c r="AF701" s="20">
        <v>8</v>
      </c>
      <c r="AG701" s="20">
        <v>2004</v>
      </c>
      <c r="AH701" s="21">
        <v>38216</v>
      </c>
    </row>
    <row r="702" spans="1:34" x14ac:dyDescent="0.25">
      <c r="A702" s="35">
        <v>1329</v>
      </c>
      <c r="B702" s="20" t="s">
        <v>1841</v>
      </c>
      <c r="C702" s="20" t="s">
        <v>1841</v>
      </c>
      <c r="D702" s="94" t="s">
        <v>1256</v>
      </c>
      <c r="E702" s="20" t="s">
        <v>2050</v>
      </c>
      <c r="F702" s="20" t="s">
        <v>1846</v>
      </c>
      <c r="G702" s="31" t="s">
        <v>40</v>
      </c>
      <c r="H702" s="32">
        <v>1</v>
      </c>
      <c r="J702" s="32">
        <v>1</v>
      </c>
      <c r="O702" s="20">
        <v>0</v>
      </c>
      <c r="P702" s="20">
        <v>1</v>
      </c>
      <c r="Q702" s="20">
        <v>0</v>
      </c>
      <c r="R702" s="20">
        <v>0</v>
      </c>
      <c r="X702" s="20">
        <v>1</v>
      </c>
      <c r="Z702" s="20" t="s">
        <v>1858</v>
      </c>
      <c r="AA702" s="20" t="s">
        <v>1860</v>
      </c>
      <c r="AB702" s="31">
        <f>VLOOKUP(AA702,Masters!$K$2:$L$183,2,FALSE)</f>
        <v>1002</v>
      </c>
      <c r="AC702" s="20" t="s">
        <v>2063</v>
      </c>
      <c r="AD702" s="20" t="s">
        <v>2060</v>
      </c>
      <c r="AE702" s="20">
        <v>21</v>
      </c>
      <c r="AF702" s="20">
        <v>12</v>
      </c>
      <c r="AG702" s="20">
        <v>2001</v>
      </c>
      <c r="AH702" s="21">
        <v>37246</v>
      </c>
    </row>
    <row r="703" spans="1:34" x14ac:dyDescent="0.25">
      <c r="A703" s="35">
        <v>1330</v>
      </c>
      <c r="B703" s="20" t="s">
        <v>1841</v>
      </c>
      <c r="C703" s="20" t="s">
        <v>1841</v>
      </c>
      <c r="D703" s="94" t="s">
        <v>1257</v>
      </c>
      <c r="E703" s="20" t="s">
        <v>2059</v>
      </c>
      <c r="F703" s="20" t="s">
        <v>1847</v>
      </c>
      <c r="G703" s="31" t="s">
        <v>40</v>
      </c>
      <c r="H703" s="32">
        <v>1</v>
      </c>
      <c r="J703" s="32">
        <v>1</v>
      </c>
      <c r="O703" s="20">
        <v>0</v>
      </c>
      <c r="P703" s="20">
        <v>1</v>
      </c>
      <c r="Q703" s="20">
        <v>0</v>
      </c>
      <c r="R703" s="20">
        <v>0</v>
      </c>
      <c r="X703" s="20">
        <v>1</v>
      </c>
      <c r="Z703" s="20" t="s">
        <v>1856</v>
      </c>
      <c r="AA703" s="20" t="s">
        <v>1863</v>
      </c>
      <c r="AB703" s="31">
        <f>VLOOKUP(AA703,Masters!$K$2:$L$183,2,FALSE)</f>
        <v>1005</v>
      </c>
      <c r="AC703" s="20" t="s">
        <v>2063</v>
      </c>
      <c r="AD703" s="20" t="s">
        <v>2060</v>
      </c>
      <c r="AE703" s="20">
        <v>20</v>
      </c>
      <c r="AF703" s="20">
        <v>3</v>
      </c>
      <c r="AG703" s="20">
        <v>2003</v>
      </c>
      <c r="AH703" s="21">
        <v>37700</v>
      </c>
    </row>
    <row r="704" spans="1:34" x14ac:dyDescent="0.25">
      <c r="A704" s="35">
        <v>1331</v>
      </c>
      <c r="B704" s="20" t="s">
        <v>1841</v>
      </c>
      <c r="C704" s="20" t="s">
        <v>1841</v>
      </c>
      <c r="D704" s="94" t="s">
        <v>1258</v>
      </c>
      <c r="E704" s="20" t="s">
        <v>2055</v>
      </c>
      <c r="F704" s="20" t="s">
        <v>1844</v>
      </c>
      <c r="G704" s="31" t="s">
        <v>40</v>
      </c>
      <c r="H704" s="32">
        <v>1</v>
      </c>
      <c r="J704" s="32">
        <v>1</v>
      </c>
      <c r="O704" s="20">
        <v>0</v>
      </c>
      <c r="P704" s="20">
        <v>1</v>
      </c>
      <c r="Q704" s="20">
        <v>0</v>
      </c>
      <c r="R704" s="20">
        <v>0</v>
      </c>
      <c r="X704" s="20">
        <v>1</v>
      </c>
      <c r="Z704" s="20" t="s">
        <v>1835</v>
      </c>
      <c r="AA704" s="20" t="s">
        <v>1860</v>
      </c>
      <c r="AB704" s="31">
        <f>VLOOKUP(AA704,Masters!$K$2:$L$183,2,FALSE)</f>
        <v>1002</v>
      </c>
      <c r="AC704" s="20" t="s">
        <v>2063</v>
      </c>
      <c r="AD704" s="20" t="s">
        <v>2060</v>
      </c>
      <c r="AE704" s="20">
        <v>16</v>
      </c>
      <c r="AF704" s="20">
        <v>9</v>
      </c>
      <c r="AG704" s="20">
        <v>2003</v>
      </c>
      <c r="AH704" s="21">
        <v>37880</v>
      </c>
    </row>
    <row r="705" spans="1:34" x14ac:dyDescent="0.25">
      <c r="A705" s="35">
        <v>1334</v>
      </c>
      <c r="B705" s="20" t="s">
        <v>1841</v>
      </c>
      <c r="C705" s="20" t="s">
        <v>1841</v>
      </c>
      <c r="D705" s="94" t="s">
        <v>1261</v>
      </c>
      <c r="E705" s="20" t="s">
        <v>2056</v>
      </c>
      <c r="F705" s="20" t="s">
        <v>1846</v>
      </c>
      <c r="G705" s="31" t="s">
        <v>40</v>
      </c>
      <c r="H705" s="32">
        <v>1</v>
      </c>
      <c r="J705" s="32">
        <v>1</v>
      </c>
      <c r="O705" s="20">
        <v>0</v>
      </c>
      <c r="P705" s="20">
        <v>1</v>
      </c>
      <c r="Q705" s="20">
        <v>0</v>
      </c>
      <c r="R705" s="20">
        <v>0</v>
      </c>
      <c r="X705" s="20">
        <v>1</v>
      </c>
      <c r="Z705" s="20" t="s">
        <v>34</v>
      </c>
      <c r="AA705" s="20" t="s">
        <v>1861</v>
      </c>
      <c r="AB705" s="31">
        <f>VLOOKUP(AA705,Masters!$K$2:$L$183,2,FALSE)</f>
        <v>1003</v>
      </c>
      <c r="AC705" s="20" t="s">
        <v>2063</v>
      </c>
      <c r="AD705" s="20" t="s">
        <v>2060</v>
      </c>
      <c r="AE705" s="20">
        <v>20</v>
      </c>
      <c r="AF705" s="20">
        <v>12</v>
      </c>
      <c r="AG705" s="20">
        <v>2004</v>
      </c>
      <c r="AH705" s="21">
        <v>38341</v>
      </c>
    </row>
    <row r="706" spans="1:34" x14ac:dyDescent="0.25">
      <c r="A706" s="35">
        <v>1335</v>
      </c>
      <c r="B706" s="20" t="s">
        <v>1841</v>
      </c>
      <c r="C706" s="20" t="s">
        <v>1841</v>
      </c>
      <c r="D706" s="94" t="s">
        <v>1262</v>
      </c>
      <c r="E706" s="20" t="s">
        <v>2056</v>
      </c>
      <c r="F706" s="20" t="s">
        <v>1843</v>
      </c>
      <c r="G706" s="31" t="s">
        <v>40</v>
      </c>
      <c r="H706" s="32">
        <v>1</v>
      </c>
      <c r="J706" s="32">
        <v>1</v>
      </c>
      <c r="O706" s="20">
        <v>0</v>
      </c>
      <c r="P706" s="20">
        <v>1</v>
      </c>
      <c r="Q706" s="20">
        <v>0</v>
      </c>
      <c r="R706" s="20">
        <v>0</v>
      </c>
      <c r="X706" s="20">
        <v>1</v>
      </c>
      <c r="Z706" s="20" t="s">
        <v>100</v>
      </c>
      <c r="AA706" s="20" t="s">
        <v>1860</v>
      </c>
      <c r="AB706" s="31">
        <f>VLOOKUP(AA706,Masters!$K$2:$L$183,2,FALSE)</f>
        <v>1002</v>
      </c>
      <c r="AC706" s="20" t="s">
        <v>2063</v>
      </c>
      <c r="AD706" s="20" t="s">
        <v>2060</v>
      </c>
      <c r="AE706" s="20">
        <v>12</v>
      </c>
      <c r="AF706" s="20">
        <v>6</v>
      </c>
      <c r="AG706" s="20">
        <v>2003</v>
      </c>
      <c r="AH706" s="21">
        <v>37784</v>
      </c>
    </row>
    <row r="707" spans="1:34" x14ac:dyDescent="0.25">
      <c r="A707" s="35">
        <v>1341</v>
      </c>
      <c r="B707" s="20" t="s">
        <v>1841</v>
      </c>
      <c r="C707" s="20" t="s">
        <v>1841</v>
      </c>
      <c r="D707" s="94" t="s">
        <v>1268</v>
      </c>
      <c r="E707" s="20" t="s">
        <v>2053</v>
      </c>
      <c r="F707" s="20" t="s">
        <v>1845</v>
      </c>
      <c r="G707" s="31" t="s">
        <v>40</v>
      </c>
      <c r="H707" s="32">
        <v>1</v>
      </c>
      <c r="J707" s="32">
        <v>1</v>
      </c>
      <c r="O707" s="20">
        <v>0</v>
      </c>
      <c r="P707" s="20">
        <v>1</v>
      </c>
      <c r="Q707" s="20">
        <v>0</v>
      </c>
      <c r="R707" s="20">
        <v>0</v>
      </c>
      <c r="X707" s="20">
        <v>1</v>
      </c>
      <c r="Z707" s="20" t="s">
        <v>1850</v>
      </c>
      <c r="AA707" s="20" t="s">
        <v>1860</v>
      </c>
      <c r="AB707" s="31">
        <f>VLOOKUP(AA707,Masters!$K$2:$L$183,2,FALSE)</f>
        <v>1002</v>
      </c>
      <c r="AC707" s="20" t="s">
        <v>2064</v>
      </c>
      <c r="AD707" s="20" t="s">
        <v>2061</v>
      </c>
      <c r="AE707" s="20">
        <v>23</v>
      </c>
      <c r="AF707" s="20">
        <v>10</v>
      </c>
      <c r="AG707" s="20">
        <v>2000</v>
      </c>
      <c r="AH707" s="21">
        <v>36822</v>
      </c>
    </row>
    <row r="708" spans="1:34" x14ac:dyDescent="0.25">
      <c r="A708" s="35">
        <v>1344</v>
      </c>
      <c r="B708" s="20" t="s">
        <v>1841</v>
      </c>
      <c r="C708" s="20" t="s">
        <v>1841</v>
      </c>
      <c r="D708" s="94" t="s">
        <v>1271</v>
      </c>
      <c r="E708" s="20" t="s">
        <v>2051</v>
      </c>
      <c r="F708" s="20" t="s">
        <v>1847</v>
      </c>
      <c r="G708" s="31" t="s">
        <v>40</v>
      </c>
      <c r="H708" s="32">
        <v>1</v>
      </c>
      <c r="J708" s="32">
        <v>1</v>
      </c>
      <c r="O708" s="20">
        <v>0</v>
      </c>
      <c r="P708" s="20">
        <v>1</v>
      </c>
      <c r="Q708" s="20">
        <v>0</v>
      </c>
      <c r="R708" s="20">
        <v>0</v>
      </c>
      <c r="X708" s="20">
        <v>1</v>
      </c>
      <c r="Z708" s="20" t="s">
        <v>1851</v>
      </c>
      <c r="AA708" s="20" t="s">
        <v>1861</v>
      </c>
      <c r="AB708" s="31">
        <f>VLOOKUP(AA708,Masters!$K$2:$L$183,2,FALSE)</f>
        <v>1003</v>
      </c>
      <c r="AC708" s="20" t="s">
        <v>2063</v>
      </c>
      <c r="AD708" s="20" t="s">
        <v>2060</v>
      </c>
      <c r="AE708" s="20">
        <v>23</v>
      </c>
      <c r="AF708" s="20">
        <v>10</v>
      </c>
      <c r="AG708" s="20">
        <v>2005</v>
      </c>
      <c r="AH708" s="21">
        <v>38648</v>
      </c>
    </row>
    <row r="709" spans="1:34" x14ac:dyDescent="0.25">
      <c r="A709" s="35">
        <v>1345</v>
      </c>
      <c r="B709" s="20" t="s">
        <v>1841</v>
      </c>
      <c r="C709" s="20" t="s">
        <v>1841</v>
      </c>
      <c r="D709" s="94" t="s">
        <v>1272</v>
      </c>
      <c r="E709" s="20" t="s">
        <v>126</v>
      </c>
      <c r="F709" s="20" t="s">
        <v>1845</v>
      </c>
      <c r="G709" s="31" t="s">
        <v>40</v>
      </c>
      <c r="H709" s="32">
        <v>1</v>
      </c>
      <c r="J709" s="32">
        <v>1</v>
      </c>
      <c r="O709" s="20">
        <v>0</v>
      </c>
      <c r="P709" s="20">
        <v>1</v>
      </c>
      <c r="Q709" s="20">
        <v>0</v>
      </c>
      <c r="R709" s="20">
        <v>0</v>
      </c>
      <c r="X709" s="20">
        <v>1</v>
      </c>
      <c r="Z709" s="20" t="s">
        <v>1832</v>
      </c>
      <c r="AA709" s="20" t="s">
        <v>1861</v>
      </c>
      <c r="AB709" s="31">
        <f>VLOOKUP(AA709,Masters!$K$2:$L$183,2,FALSE)</f>
        <v>1003</v>
      </c>
      <c r="AC709" s="20" t="s">
        <v>2063</v>
      </c>
      <c r="AD709" s="20" t="s">
        <v>2060</v>
      </c>
      <c r="AE709" s="20">
        <v>4</v>
      </c>
      <c r="AF709" s="20">
        <v>7</v>
      </c>
      <c r="AG709" s="20">
        <v>2004</v>
      </c>
      <c r="AH709" s="21">
        <v>38172</v>
      </c>
    </row>
    <row r="710" spans="1:34" x14ac:dyDescent="0.25">
      <c r="A710" s="35">
        <v>1346</v>
      </c>
      <c r="B710" s="20" t="s">
        <v>1841</v>
      </c>
      <c r="C710" s="20" t="s">
        <v>1841</v>
      </c>
      <c r="D710" s="94" t="s">
        <v>1273</v>
      </c>
      <c r="E710" s="20" t="s">
        <v>2054</v>
      </c>
      <c r="F710" s="20" t="s">
        <v>1843</v>
      </c>
      <c r="G710" s="31" t="s">
        <v>40</v>
      </c>
      <c r="H710" s="32">
        <v>1</v>
      </c>
      <c r="J710" s="32">
        <v>1</v>
      </c>
      <c r="O710" s="20">
        <v>0</v>
      </c>
      <c r="P710" s="20">
        <v>1</v>
      </c>
      <c r="Q710" s="20">
        <v>0</v>
      </c>
      <c r="R710" s="20">
        <v>0</v>
      </c>
      <c r="X710" s="20">
        <v>1</v>
      </c>
      <c r="Z710" s="20" t="s">
        <v>1832</v>
      </c>
      <c r="AA710" s="20" t="s">
        <v>1862</v>
      </c>
      <c r="AB710" s="31">
        <f>VLOOKUP(AA710,Masters!$K$2:$L$183,2,FALSE)</f>
        <v>1004</v>
      </c>
      <c r="AC710" s="20" t="s">
        <v>2063</v>
      </c>
      <c r="AD710" s="20" t="s">
        <v>2060</v>
      </c>
      <c r="AE710" s="20">
        <v>18</v>
      </c>
      <c r="AF710" s="20">
        <v>3</v>
      </c>
      <c r="AG710" s="20">
        <v>2000</v>
      </c>
      <c r="AH710" s="21">
        <v>36603</v>
      </c>
    </row>
    <row r="711" spans="1:34" x14ac:dyDescent="0.25">
      <c r="A711" s="35">
        <v>1348</v>
      </c>
      <c r="B711" s="20" t="s">
        <v>1841</v>
      </c>
      <c r="C711" s="20" t="s">
        <v>1841</v>
      </c>
      <c r="D711" s="94" t="s">
        <v>1275</v>
      </c>
      <c r="E711" s="20" t="s">
        <v>2053</v>
      </c>
      <c r="F711" s="20" t="s">
        <v>1845</v>
      </c>
      <c r="G711" s="31" t="s">
        <v>40</v>
      </c>
      <c r="H711" s="32">
        <v>1</v>
      </c>
      <c r="J711" s="32">
        <v>1</v>
      </c>
      <c r="O711" s="20">
        <v>0</v>
      </c>
      <c r="P711" s="20">
        <v>1</v>
      </c>
      <c r="Q711" s="20">
        <v>0</v>
      </c>
      <c r="R711" s="20">
        <v>0</v>
      </c>
      <c r="X711" s="20">
        <v>1</v>
      </c>
      <c r="Z711" s="20" t="s">
        <v>1854</v>
      </c>
      <c r="AA711" s="20" t="s">
        <v>1863</v>
      </c>
      <c r="AB711" s="31">
        <f>VLOOKUP(AA711,Masters!$K$2:$L$183,2,FALSE)</f>
        <v>1005</v>
      </c>
      <c r="AC711" s="20" t="s">
        <v>2063</v>
      </c>
      <c r="AD711" s="20" t="s">
        <v>2060</v>
      </c>
      <c r="AE711" s="20">
        <v>10</v>
      </c>
      <c r="AF711" s="20">
        <v>9</v>
      </c>
      <c r="AG711" s="20">
        <v>2004</v>
      </c>
      <c r="AH711" s="21">
        <v>38240</v>
      </c>
    </row>
    <row r="712" spans="1:34" x14ac:dyDescent="0.25">
      <c r="A712" s="35">
        <v>1352</v>
      </c>
      <c r="B712" s="20" t="s">
        <v>1841</v>
      </c>
      <c r="C712" s="20" t="s">
        <v>1841</v>
      </c>
      <c r="D712" s="94" t="s">
        <v>1279</v>
      </c>
      <c r="E712" s="20" t="s">
        <v>126</v>
      </c>
      <c r="F712" s="20" t="s">
        <v>1846</v>
      </c>
      <c r="G712" s="31" t="s">
        <v>40</v>
      </c>
      <c r="H712" s="32">
        <v>1</v>
      </c>
      <c r="J712" s="32">
        <v>1</v>
      </c>
      <c r="O712" s="20">
        <v>0</v>
      </c>
      <c r="P712" s="20">
        <v>1</v>
      </c>
      <c r="Q712" s="20">
        <v>0</v>
      </c>
      <c r="R712" s="20">
        <v>0</v>
      </c>
      <c r="X712" s="20">
        <v>1</v>
      </c>
      <c r="Z712" s="20" t="s">
        <v>58</v>
      </c>
      <c r="AA712" s="20" t="s">
        <v>1862</v>
      </c>
      <c r="AB712" s="31">
        <f>VLOOKUP(AA712,Masters!$K$2:$L$183,2,FALSE)</f>
        <v>1004</v>
      </c>
      <c r="AC712" s="20" t="s">
        <v>2063</v>
      </c>
      <c r="AD712" s="20" t="s">
        <v>2060</v>
      </c>
      <c r="AE712" s="20">
        <v>3</v>
      </c>
      <c r="AF712" s="20">
        <v>3</v>
      </c>
      <c r="AG712" s="20">
        <v>2001</v>
      </c>
      <c r="AH712" s="21">
        <v>36953</v>
      </c>
    </row>
    <row r="713" spans="1:34" x14ac:dyDescent="0.25">
      <c r="A713" s="35">
        <v>1360</v>
      </c>
      <c r="B713" s="20" t="s">
        <v>1841</v>
      </c>
      <c r="C713" s="20" t="s">
        <v>1841</v>
      </c>
      <c r="D713" s="94" t="s">
        <v>1287</v>
      </c>
      <c r="E713" s="20" t="s">
        <v>2051</v>
      </c>
      <c r="F713" s="20" t="s">
        <v>1843</v>
      </c>
      <c r="G713" s="31" t="s">
        <v>40</v>
      </c>
      <c r="H713" s="32">
        <v>1</v>
      </c>
      <c r="J713" s="32">
        <v>1</v>
      </c>
      <c r="O713" s="20">
        <v>0</v>
      </c>
      <c r="P713" s="20">
        <v>1</v>
      </c>
      <c r="Q713" s="20">
        <v>0</v>
      </c>
      <c r="R713" s="20">
        <v>0</v>
      </c>
      <c r="X713" s="20">
        <v>1</v>
      </c>
      <c r="Z713" s="20" t="s">
        <v>1849</v>
      </c>
      <c r="AA713" s="20" t="s">
        <v>1863</v>
      </c>
      <c r="AB713" s="31">
        <f>VLOOKUP(AA713,Masters!$K$2:$L$183,2,FALSE)</f>
        <v>1005</v>
      </c>
      <c r="AC713" s="20" t="s">
        <v>2063</v>
      </c>
      <c r="AD713" s="20" t="s">
        <v>2060</v>
      </c>
      <c r="AE713" s="20">
        <v>16</v>
      </c>
      <c r="AF713" s="20">
        <v>5</v>
      </c>
      <c r="AG713" s="20">
        <v>2005</v>
      </c>
      <c r="AH713" s="21">
        <v>38488</v>
      </c>
    </row>
    <row r="714" spans="1:34" x14ac:dyDescent="0.25">
      <c r="A714" s="35">
        <v>1361</v>
      </c>
      <c r="B714" s="20" t="s">
        <v>1841</v>
      </c>
      <c r="C714" s="20" t="s">
        <v>1841</v>
      </c>
      <c r="D714" s="94" t="s">
        <v>1288</v>
      </c>
      <c r="E714" s="20" t="s">
        <v>2056</v>
      </c>
      <c r="F714" s="20" t="s">
        <v>1845</v>
      </c>
      <c r="G714" s="31" t="s">
        <v>40</v>
      </c>
      <c r="H714" s="32">
        <v>1</v>
      </c>
      <c r="J714" s="32">
        <v>1</v>
      </c>
      <c r="O714" s="20">
        <v>0</v>
      </c>
      <c r="P714" s="20">
        <v>1</v>
      </c>
      <c r="Q714" s="20">
        <v>0</v>
      </c>
      <c r="R714" s="20">
        <v>0</v>
      </c>
      <c r="X714" s="20">
        <v>1</v>
      </c>
      <c r="Z714" s="20" t="s">
        <v>1857</v>
      </c>
      <c r="AA714" s="20" t="s">
        <v>1859</v>
      </c>
      <c r="AB714" s="31">
        <f>VLOOKUP(AA714,Masters!$K$2:$L$183,2,FALSE)</f>
        <v>1001</v>
      </c>
      <c r="AC714" s="20" t="s">
        <v>2063</v>
      </c>
      <c r="AD714" s="20" t="s">
        <v>2060</v>
      </c>
      <c r="AE714" s="20">
        <v>12</v>
      </c>
      <c r="AF714" s="20">
        <v>2</v>
      </c>
      <c r="AG714" s="20">
        <v>2000</v>
      </c>
      <c r="AH714" s="21">
        <v>36568</v>
      </c>
    </row>
    <row r="715" spans="1:34" x14ac:dyDescent="0.25">
      <c r="A715" s="35">
        <v>1364</v>
      </c>
      <c r="B715" s="20" t="s">
        <v>1841</v>
      </c>
      <c r="C715" s="20" t="s">
        <v>1841</v>
      </c>
      <c r="D715" s="94" t="s">
        <v>1291</v>
      </c>
      <c r="E715" s="20" t="s">
        <v>135</v>
      </c>
      <c r="F715" s="20" t="s">
        <v>1847</v>
      </c>
      <c r="G715" s="31" t="s">
        <v>40</v>
      </c>
      <c r="H715" s="32">
        <v>1</v>
      </c>
      <c r="J715" s="32">
        <v>1</v>
      </c>
      <c r="O715" s="20">
        <v>0</v>
      </c>
      <c r="P715" s="20">
        <v>1</v>
      </c>
      <c r="Q715" s="20">
        <v>0</v>
      </c>
      <c r="R715" s="20">
        <v>0</v>
      </c>
      <c r="X715" s="20">
        <v>1</v>
      </c>
      <c r="Z715" s="20" t="s">
        <v>1856</v>
      </c>
      <c r="AA715" s="20" t="s">
        <v>1859</v>
      </c>
      <c r="AB715" s="31">
        <f>VLOOKUP(AA715,Masters!$K$2:$L$183,2,FALSE)</f>
        <v>1001</v>
      </c>
      <c r="AC715" s="20" t="s">
        <v>2063</v>
      </c>
      <c r="AD715" s="20" t="s">
        <v>2060</v>
      </c>
      <c r="AE715" s="20">
        <v>16</v>
      </c>
      <c r="AF715" s="20">
        <v>12</v>
      </c>
      <c r="AG715" s="20">
        <v>2002</v>
      </c>
      <c r="AH715" s="21">
        <v>37606</v>
      </c>
    </row>
    <row r="716" spans="1:34" x14ac:dyDescent="0.25">
      <c r="A716" s="35">
        <v>1366</v>
      </c>
      <c r="B716" s="20" t="s">
        <v>1841</v>
      </c>
      <c r="C716" s="20" t="s">
        <v>1841</v>
      </c>
      <c r="D716" s="94" t="s">
        <v>1293</v>
      </c>
      <c r="E716" s="20" t="s">
        <v>2054</v>
      </c>
      <c r="F716" s="20" t="s">
        <v>1844</v>
      </c>
      <c r="G716" s="31" t="s">
        <v>40</v>
      </c>
      <c r="H716" s="32">
        <v>1</v>
      </c>
      <c r="J716" s="32">
        <v>1</v>
      </c>
      <c r="O716" s="20">
        <v>0</v>
      </c>
      <c r="P716" s="20">
        <v>1</v>
      </c>
      <c r="Q716" s="20">
        <v>0</v>
      </c>
      <c r="R716" s="20">
        <v>0</v>
      </c>
      <c r="X716" s="20">
        <v>1</v>
      </c>
      <c r="Z716" s="20" t="s">
        <v>1858</v>
      </c>
      <c r="AA716" s="20" t="s">
        <v>1862</v>
      </c>
      <c r="AB716" s="31">
        <f>VLOOKUP(AA716,Masters!$K$2:$L$183,2,FALSE)</f>
        <v>1004</v>
      </c>
      <c r="AC716" s="20" t="s">
        <v>2064</v>
      </c>
      <c r="AD716" s="20" t="s">
        <v>2061</v>
      </c>
      <c r="AE716" s="20">
        <v>23</v>
      </c>
      <c r="AF716" s="20">
        <v>1</v>
      </c>
      <c r="AG716" s="20">
        <v>2002</v>
      </c>
      <c r="AH716" s="21">
        <v>37279</v>
      </c>
    </row>
    <row r="717" spans="1:34" x14ac:dyDescent="0.25">
      <c r="A717" s="35">
        <v>1368</v>
      </c>
      <c r="B717" s="20" t="s">
        <v>1841</v>
      </c>
      <c r="C717" s="20" t="s">
        <v>1841</v>
      </c>
      <c r="D717" s="94" t="s">
        <v>1295</v>
      </c>
      <c r="E717" s="20" t="s">
        <v>2056</v>
      </c>
      <c r="F717" s="20" t="s">
        <v>1843</v>
      </c>
      <c r="G717" s="31" t="s">
        <v>40</v>
      </c>
      <c r="H717" s="32">
        <v>1</v>
      </c>
      <c r="J717" s="32">
        <v>1</v>
      </c>
      <c r="O717" s="20">
        <v>0</v>
      </c>
      <c r="P717" s="20">
        <v>1</v>
      </c>
      <c r="Q717" s="20">
        <v>0</v>
      </c>
      <c r="R717" s="20">
        <v>0</v>
      </c>
      <c r="X717" s="20">
        <v>1</v>
      </c>
      <c r="Z717" s="20" t="s">
        <v>58</v>
      </c>
      <c r="AA717" s="20" t="s">
        <v>1862</v>
      </c>
      <c r="AB717" s="31">
        <f>VLOOKUP(AA717,Masters!$K$2:$L$183,2,FALSE)</f>
        <v>1004</v>
      </c>
      <c r="AC717" s="20" t="s">
        <v>2063</v>
      </c>
      <c r="AD717" s="20" t="s">
        <v>2060</v>
      </c>
      <c r="AE717" s="20">
        <v>21</v>
      </c>
      <c r="AF717" s="20">
        <v>9</v>
      </c>
      <c r="AG717" s="20">
        <v>2003</v>
      </c>
      <c r="AH717" s="21">
        <v>37885</v>
      </c>
    </row>
    <row r="718" spans="1:34" x14ac:dyDescent="0.25">
      <c r="A718" s="35">
        <v>1369</v>
      </c>
      <c r="B718" s="20" t="s">
        <v>1841</v>
      </c>
      <c r="C718" s="20" t="s">
        <v>1841</v>
      </c>
      <c r="D718" s="94" t="s">
        <v>1296</v>
      </c>
      <c r="E718" s="20" t="s">
        <v>2057</v>
      </c>
      <c r="F718" s="20" t="s">
        <v>1846</v>
      </c>
      <c r="G718" s="31" t="s">
        <v>40</v>
      </c>
      <c r="H718" s="32">
        <v>1</v>
      </c>
      <c r="J718" s="32">
        <v>1</v>
      </c>
      <c r="O718" s="20">
        <v>0</v>
      </c>
      <c r="P718" s="20">
        <v>1</v>
      </c>
      <c r="Q718" s="20">
        <v>0</v>
      </c>
      <c r="R718" s="20">
        <v>0</v>
      </c>
      <c r="X718" s="20">
        <v>1</v>
      </c>
      <c r="Z718" s="20" t="s">
        <v>1832</v>
      </c>
      <c r="AA718" s="20" t="s">
        <v>1862</v>
      </c>
      <c r="AB718" s="31">
        <f>VLOOKUP(AA718,Masters!$K$2:$L$183,2,FALSE)</f>
        <v>1004</v>
      </c>
      <c r="AC718" s="20" t="s">
        <v>2063</v>
      </c>
      <c r="AD718" s="20" t="s">
        <v>2060</v>
      </c>
      <c r="AE718" s="20">
        <v>21</v>
      </c>
      <c r="AF718" s="20">
        <v>2</v>
      </c>
      <c r="AG718" s="20">
        <v>2000</v>
      </c>
      <c r="AH718" s="21">
        <v>36577</v>
      </c>
    </row>
    <row r="719" spans="1:34" x14ac:dyDescent="0.25">
      <c r="A719" s="35">
        <v>1370</v>
      </c>
      <c r="B719" s="20" t="s">
        <v>1841</v>
      </c>
      <c r="C719" s="20" t="s">
        <v>1841</v>
      </c>
      <c r="D719" s="94" t="s">
        <v>1297</v>
      </c>
      <c r="E719" s="20" t="s">
        <v>2053</v>
      </c>
      <c r="F719" s="20" t="s">
        <v>1845</v>
      </c>
      <c r="G719" s="31" t="s">
        <v>40</v>
      </c>
      <c r="H719" s="32">
        <v>1</v>
      </c>
      <c r="J719" s="32">
        <v>1</v>
      </c>
      <c r="O719" s="20">
        <v>0</v>
      </c>
      <c r="P719" s="20">
        <v>1</v>
      </c>
      <c r="Q719" s="20">
        <v>0</v>
      </c>
      <c r="R719" s="20">
        <v>0</v>
      </c>
      <c r="X719" s="20">
        <v>1</v>
      </c>
      <c r="Z719" s="20" t="s">
        <v>1855</v>
      </c>
      <c r="AA719" s="20" t="s">
        <v>1860</v>
      </c>
      <c r="AB719" s="31">
        <f>VLOOKUP(AA719,Masters!$K$2:$L$183,2,FALSE)</f>
        <v>1002</v>
      </c>
      <c r="AC719" s="20" t="s">
        <v>2063</v>
      </c>
      <c r="AD719" s="20" t="s">
        <v>2060</v>
      </c>
      <c r="AE719" s="20">
        <v>31</v>
      </c>
      <c r="AF719" s="20">
        <v>10</v>
      </c>
      <c r="AG719" s="20">
        <v>2005</v>
      </c>
      <c r="AH719" s="21">
        <v>38656</v>
      </c>
    </row>
    <row r="720" spans="1:34" x14ac:dyDescent="0.25">
      <c r="A720" s="35">
        <v>1371</v>
      </c>
      <c r="B720" s="20" t="s">
        <v>1841</v>
      </c>
      <c r="C720" s="20" t="s">
        <v>1841</v>
      </c>
      <c r="D720" s="94" t="s">
        <v>1298</v>
      </c>
      <c r="E720" s="20" t="s">
        <v>2057</v>
      </c>
      <c r="F720" s="20" t="s">
        <v>1847</v>
      </c>
      <c r="G720" s="31" t="s">
        <v>40</v>
      </c>
      <c r="H720" s="32">
        <v>1</v>
      </c>
      <c r="J720" s="32">
        <v>1</v>
      </c>
      <c r="O720" s="20">
        <v>0</v>
      </c>
      <c r="P720" s="20">
        <v>1</v>
      </c>
      <c r="Q720" s="20">
        <v>0</v>
      </c>
      <c r="R720" s="20">
        <v>0</v>
      </c>
      <c r="X720" s="20">
        <v>1</v>
      </c>
      <c r="Z720" s="20" t="s">
        <v>1852</v>
      </c>
      <c r="AA720" s="20" t="s">
        <v>1862</v>
      </c>
      <c r="AB720" s="31">
        <f>VLOOKUP(AA720,Masters!$K$2:$L$183,2,FALSE)</f>
        <v>1004</v>
      </c>
      <c r="AC720" s="20" t="s">
        <v>2063</v>
      </c>
      <c r="AD720" s="20" t="s">
        <v>2060</v>
      </c>
      <c r="AE720" s="20">
        <v>28</v>
      </c>
      <c r="AF720" s="20">
        <v>12</v>
      </c>
      <c r="AG720" s="20">
        <v>2000</v>
      </c>
      <c r="AH720" s="21">
        <v>36888</v>
      </c>
    </row>
    <row r="721" spans="1:34" x14ac:dyDescent="0.25">
      <c r="A721" s="35">
        <v>1380</v>
      </c>
      <c r="B721" s="20" t="s">
        <v>1841</v>
      </c>
      <c r="C721" s="20" t="s">
        <v>1841</v>
      </c>
      <c r="D721" s="94" t="s">
        <v>1307</v>
      </c>
      <c r="E721" s="20" t="s">
        <v>2053</v>
      </c>
      <c r="F721" s="20" t="s">
        <v>1845</v>
      </c>
      <c r="G721" s="31" t="s">
        <v>40</v>
      </c>
      <c r="H721" s="32">
        <v>1</v>
      </c>
      <c r="J721" s="32">
        <v>1</v>
      </c>
      <c r="O721" s="20">
        <v>0</v>
      </c>
      <c r="P721" s="20">
        <v>1</v>
      </c>
      <c r="Q721" s="20">
        <v>0</v>
      </c>
      <c r="R721" s="20">
        <v>0</v>
      </c>
      <c r="X721" s="20">
        <v>1</v>
      </c>
      <c r="Z721" s="20" t="s">
        <v>1852</v>
      </c>
      <c r="AA721" s="20" t="s">
        <v>1862</v>
      </c>
      <c r="AB721" s="31">
        <f>VLOOKUP(AA721,Masters!$K$2:$L$183,2,FALSE)</f>
        <v>1004</v>
      </c>
      <c r="AC721" s="20" t="s">
        <v>2063</v>
      </c>
      <c r="AD721" s="20" t="s">
        <v>2060</v>
      </c>
      <c r="AE721" s="20">
        <v>11</v>
      </c>
      <c r="AF721" s="20">
        <v>6</v>
      </c>
      <c r="AG721" s="20">
        <v>2002</v>
      </c>
      <c r="AH721" s="21">
        <v>37418</v>
      </c>
    </row>
    <row r="722" spans="1:34" x14ac:dyDescent="0.25">
      <c r="A722" s="35">
        <v>1381</v>
      </c>
      <c r="B722" s="20" t="s">
        <v>1841</v>
      </c>
      <c r="C722" s="20" t="s">
        <v>1841</v>
      </c>
      <c r="D722" s="94" t="s">
        <v>1308</v>
      </c>
      <c r="E722" s="20" t="s">
        <v>2056</v>
      </c>
      <c r="F722" s="20" t="s">
        <v>1843</v>
      </c>
      <c r="G722" s="31" t="s">
        <v>40</v>
      </c>
      <c r="H722" s="32">
        <v>1</v>
      </c>
      <c r="J722" s="32">
        <v>1</v>
      </c>
      <c r="O722" s="20">
        <v>0</v>
      </c>
      <c r="P722" s="20">
        <v>1</v>
      </c>
      <c r="Q722" s="20">
        <v>0</v>
      </c>
      <c r="R722" s="20">
        <v>0</v>
      </c>
      <c r="X722" s="20">
        <v>1</v>
      </c>
      <c r="Z722" s="20" t="s">
        <v>100</v>
      </c>
      <c r="AA722" s="20" t="s">
        <v>1860</v>
      </c>
      <c r="AB722" s="31">
        <f>VLOOKUP(AA722,Masters!$K$2:$L$183,2,FALSE)</f>
        <v>1002</v>
      </c>
      <c r="AC722" s="20" t="s">
        <v>2063</v>
      </c>
      <c r="AD722" s="20" t="s">
        <v>2060</v>
      </c>
      <c r="AE722" s="20">
        <v>6</v>
      </c>
      <c r="AF722" s="20">
        <v>11</v>
      </c>
      <c r="AG722" s="20">
        <v>2000</v>
      </c>
      <c r="AH722" s="21">
        <v>36836</v>
      </c>
    </row>
    <row r="723" spans="1:34" x14ac:dyDescent="0.25">
      <c r="A723" s="35">
        <v>1385</v>
      </c>
      <c r="B723" s="20" t="s">
        <v>1841</v>
      </c>
      <c r="C723" s="20" t="s">
        <v>1841</v>
      </c>
      <c r="D723" s="94" t="s">
        <v>1312</v>
      </c>
      <c r="E723" s="20" t="s">
        <v>2055</v>
      </c>
      <c r="F723" s="20" t="s">
        <v>1847</v>
      </c>
      <c r="G723" s="31" t="s">
        <v>40</v>
      </c>
      <c r="H723" s="32">
        <v>1</v>
      </c>
      <c r="J723" s="32">
        <v>1</v>
      </c>
      <c r="O723" s="20">
        <v>0</v>
      </c>
      <c r="P723" s="20">
        <v>1</v>
      </c>
      <c r="Q723" s="20">
        <v>0</v>
      </c>
      <c r="R723" s="20">
        <v>0</v>
      </c>
      <c r="X723" s="20">
        <v>1</v>
      </c>
      <c r="Z723" s="20" t="s">
        <v>1848</v>
      </c>
      <c r="AA723" s="20" t="s">
        <v>1862</v>
      </c>
      <c r="AB723" s="31">
        <f>VLOOKUP(AA723,Masters!$K$2:$L$183,2,FALSE)</f>
        <v>1004</v>
      </c>
      <c r="AC723" s="20" t="s">
        <v>2063</v>
      </c>
      <c r="AD723" s="20" t="s">
        <v>2060</v>
      </c>
      <c r="AE723" s="20">
        <v>4</v>
      </c>
      <c r="AF723" s="20">
        <v>6</v>
      </c>
      <c r="AG723" s="20">
        <v>2005</v>
      </c>
      <c r="AH723" s="21">
        <v>38507</v>
      </c>
    </row>
    <row r="724" spans="1:34" x14ac:dyDescent="0.25">
      <c r="A724" s="35">
        <v>1386</v>
      </c>
      <c r="B724" s="20" t="s">
        <v>1841</v>
      </c>
      <c r="C724" s="20" t="s">
        <v>1841</v>
      </c>
      <c r="D724" s="94" t="s">
        <v>1313</v>
      </c>
      <c r="E724" s="20" t="s">
        <v>133</v>
      </c>
      <c r="F724" s="20" t="s">
        <v>1845</v>
      </c>
      <c r="G724" s="31" t="s">
        <v>40</v>
      </c>
      <c r="H724" s="32">
        <v>1</v>
      </c>
      <c r="I724" s="32" t="s">
        <v>263</v>
      </c>
      <c r="J724" s="32">
        <v>1</v>
      </c>
      <c r="K724" s="33" t="s">
        <v>263</v>
      </c>
      <c r="L724" s="34" t="s">
        <v>263</v>
      </c>
      <c r="M724" s="32" t="s">
        <v>263</v>
      </c>
      <c r="N724" s="32" t="s">
        <v>263</v>
      </c>
      <c r="O724" s="20" t="s">
        <v>265</v>
      </c>
      <c r="P724" s="20" t="s">
        <v>264</v>
      </c>
      <c r="Q724" s="20" t="s">
        <v>265</v>
      </c>
      <c r="R724" s="20" t="s">
        <v>265</v>
      </c>
      <c r="S724" s="20" t="s">
        <v>263</v>
      </c>
      <c r="T724" s="20" t="s">
        <v>263</v>
      </c>
      <c r="U724" s="20" t="s">
        <v>263</v>
      </c>
      <c r="V724" s="20" t="s">
        <v>263</v>
      </c>
      <c r="X724" s="20" t="s">
        <v>264</v>
      </c>
      <c r="Y724" s="20" t="s">
        <v>263</v>
      </c>
      <c r="Z724" s="20" t="s">
        <v>1857</v>
      </c>
      <c r="AA724" s="20" t="s">
        <v>1862</v>
      </c>
      <c r="AB724" s="31">
        <f>VLOOKUP(AA724,Masters!$K$2:$L$183,2,FALSE)</f>
        <v>1004</v>
      </c>
      <c r="AC724" s="20" t="s">
        <v>2064</v>
      </c>
      <c r="AD724" s="20" t="s">
        <v>2061</v>
      </c>
      <c r="AE724" s="20">
        <v>7</v>
      </c>
      <c r="AF724" s="20">
        <v>6</v>
      </c>
      <c r="AG724" s="20">
        <v>2002</v>
      </c>
      <c r="AH724" s="21">
        <v>37414</v>
      </c>
    </row>
    <row r="725" spans="1:34" x14ac:dyDescent="0.25">
      <c r="A725" s="35">
        <v>1387</v>
      </c>
      <c r="B725" s="20" t="s">
        <v>1841</v>
      </c>
      <c r="C725" s="20" t="s">
        <v>1841</v>
      </c>
      <c r="D725" s="94" t="s">
        <v>1314</v>
      </c>
      <c r="E725" s="20" t="s">
        <v>133</v>
      </c>
      <c r="F725" s="20" t="s">
        <v>1846</v>
      </c>
      <c r="G725" s="31" t="s">
        <v>40</v>
      </c>
      <c r="H725" s="32">
        <v>1</v>
      </c>
      <c r="J725" s="32">
        <v>1</v>
      </c>
      <c r="O725" s="20">
        <v>0</v>
      </c>
      <c r="P725" s="20">
        <v>1</v>
      </c>
      <c r="Q725" s="20">
        <v>0</v>
      </c>
      <c r="R725" s="20">
        <v>0</v>
      </c>
      <c r="X725" s="20">
        <v>1</v>
      </c>
      <c r="Z725" s="20" t="s">
        <v>1835</v>
      </c>
      <c r="AA725" s="20" t="s">
        <v>1860</v>
      </c>
      <c r="AB725" s="31">
        <f>VLOOKUP(AA725,Masters!$K$2:$L$183,2,FALSE)</f>
        <v>1002</v>
      </c>
      <c r="AC725" s="20" t="s">
        <v>2063</v>
      </c>
      <c r="AD725" s="20" t="s">
        <v>2060</v>
      </c>
      <c r="AE725" s="20">
        <v>15</v>
      </c>
      <c r="AF725" s="20">
        <v>5</v>
      </c>
      <c r="AG725" s="20">
        <v>2004</v>
      </c>
      <c r="AH725" s="21">
        <v>38122</v>
      </c>
    </row>
    <row r="726" spans="1:34" x14ac:dyDescent="0.25">
      <c r="A726" s="35">
        <v>1391</v>
      </c>
      <c r="B726" s="20" t="s">
        <v>1841</v>
      </c>
      <c r="C726" s="20" t="s">
        <v>1841</v>
      </c>
      <c r="D726" s="94" t="s">
        <v>1318</v>
      </c>
      <c r="E726" s="20" t="s">
        <v>133</v>
      </c>
      <c r="F726" s="20" t="s">
        <v>1847</v>
      </c>
      <c r="G726" s="31" t="s">
        <v>40</v>
      </c>
      <c r="H726" s="32">
        <v>1</v>
      </c>
      <c r="J726" s="32">
        <v>1</v>
      </c>
      <c r="O726" s="20">
        <v>0</v>
      </c>
      <c r="P726" s="20">
        <v>1</v>
      </c>
      <c r="Q726" s="20">
        <v>0</v>
      </c>
      <c r="R726" s="20">
        <v>0</v>
      </c>
      <c r="X726" s="20">
        <v>1</v>
      </c>
      <c r="Z726" s="20" t="s">
        <v>100</v>
      </c>
      <c r="AA726" s="20" t="s">
        <v>1860</v>
      </c>
      <c r="AB726" s="31">
        <f>VLOOKUP(AA726,Masters!$K$2:$L$183,2,FALSE)</f>
        <v>1002</v>
      </c>
      <c r="AC726" s="20" t="s">
        <v>2063</v>
      </c>
      <c r="AD726" s="20" t="s">
        <v>2060</v>
      </c>
      <c r="AE726" s="20">
        <v>23</v>
      </c>
      <c r="AF726" s="20">
        <v>5</v>
      </c>
      <c r="AG726" s="20">
        <v>2000</v>
      </c>
      <c r="AH726" s="21">
        <v>36669</v>
      </c>
    </row>
    <row r="727" spans="1:34" x14ac:dyDescent="0.25">
      <c r="A727" s="35">
        <v>1392</v>
      </c>
      <c r="B727" s="20" t="s">
        <v>1841</v>
      </c>
      <c r="C727" s="20" t="s">
        <v>1841</v>
      </c>
      <c r="D727" s="94" t="s">
        <v>1319</v>
      </c>
      <c r="E727" s="20" t="s">
        <v>2055</v>
      </c>
      <c r="F727" s="20" t="s">
        <v>1847</v>
      </c>
      <c r="G727" s="31" t="s">
        <v>40</v>
      </c>
      <c r="H727" s="32">
        <v>1</v>
      </c>
      <c r="J727" s="32">
        <v>1</v>
      </c>
      <c r="O727" s="20">
        <v>0</v>
      </c>
      <c r="P727" s="20">
        <v>1</v>
      </c>
      <c r="Q727" s="20">
        <v>0</v>
      </c>
      <c r="R727" s="20">
        <v>0</v>
      </c>
      <c r="X727" s="20">
        <v>1</v>
      </c>
      <c r="Z727" s="20" t="s">
        <v>78</v>
      </c>
      <c r="AA727" s="20" t="s">
        <v>1862</v>
      </c>
      <c r="AB727" s="31">
        <f>VLOOKUP(AA727,Masters!$K$2:$L$183,2,FALSE)</f>
        <v>1004</v>
      </c>
      <c r="AC727" s="20" t="s">
        <v>2063</v>
      </c>
      <c r="AD727" s="20" t="s">
        <v>2060</v>
      </c>
      <c r="AE727" s="20">
        <v>16</v>
      </c>
      <c r="AF727" s="20">
        <v>1</v>
      </c>
      <c r="AG727" s="20">
        <v>2003</v>
      </c>
      <c r="AH727" s="21">
        <v>37637</v>
      </c>
    </row>
    <row r="728" spans="1:34" x14ac:dyDescent="0.25">
      <c r="A728" s="35">
        <v>1393</v>
      </c>
      <c r="B728" s="20" t="s">
        <v>1841</v>
      </c>
      <c r="C728" s="20" t="s">
        <v>1841</v>
      </c>
      <c r="D728" s="94" t="s">
        <v>1320</v>
      </c>
      <c r="E728" s="20" t="s">
        <v>2054</v>
      </c>
      <c r="F728" s="20" t="s">
        <v>1847</v>
      </c>
      <c r="G728" s="31" t="s">
        <v>40</v>
      </c>
      <c r="H728" s="32">
        <v>1</v>
      </c>
      <c r="J728" s="32">
        <v>1</v>
      </c>
      <c r="O728" s="20">
        <v>0</v>
      </c>
      <c r="P728" s="20">
        <v>1</v>
      </c>
      <c r="Q728" s="20">
        <v>0</v>
      </c>
      <c r="R728" s="20">
        <v>0</v>
      </c>
      <c r="X728" s="20">
        <v>1</v>
      </c>
      <c r="Z728" s="20" t="s">
        <v>201</v>
      </c>
      <c r="AA728" s="20" t="s">
        <v>1861</v>
      </c>
      <c r="AB728" s="31">
        <f>VLOOKUP(AA728,Masters!$K$2:$L$183,2,FALSE)</f>
        <v>1003</v>
      </c>
      <c r="AC728" s="20" t="s">
        <v>2063</v>
      </c>
      <c r="AD728" s="20" t="s">
        <v>2060</v>
      </c>
      <c r="AE728" s="20">
        <v>8</v>
      </c>
      <c r="AF728" s="20">
        <v>12</v>
      </c>
      <c r="AG728" s="20">
        <v>2002</v>
      </c>
      <c r="AH728" s="21">
        <v>37598</v>
      </c>
    </row>
    <row r="729" spans="1:34" x14ac:dyDescent="0.25">
      <c r="A729" s="35">
        <v>1394</v>
      </c>
      <c r="B729" s="20" t="s">
        <v>1841</v>
      </c>
      <c r="C729" s="20" t="s">
        <v>1841</v>
      </c>
      <c r="D729" s="94" t="s">
        <v>1321</v>
      </c>
      <c r="E729" s="20" t="s">
        <v>2050</v>
      </c>
      <c r="F729" s="20" t="s">
        <v>1843</v>
      </c>
      <c r="G729" s="31" t="s">
        <v>40</v>
      </c>
      <c r="H729" s="32">
        <v>1</v>
      </c>
      <c r="J729" s="32">
        <v>1</v>
      </c>
      <c r="O729" s="20">
        <v>0</v>
      </c>
      <c r="P729" s="20">
        <v>1</v>
      </c>
      <c r="Q729" s="20">
        <v>0</v>
      </c>
      <c r="R729" s="20">
        <v>0</v>
      </c>
      <c r="X729" s="20">
        <v>1</v>
      </c>
      <c r="Z729" s="20" t="s">
        <v>1854</v>
      </c>
      <c r="AA729" s="20" t="s">
        <v>1863</v>
      </c>
      <c r="AB729" s="31">
        <f>VLOOKUP(AA729,Masters!$K$2:$L$183,2,FALSE)</f>
        <v>1005</v>
      </c>
      <c r="AC729" s="20" t="s">
        <v>2063</v>
      </c>
      <c r="AD729" s="20" t="s">
        <v>2060</v>
      </c>
      <c r="AE729" s="20">
        <v>3</v>
      </c>
      <c r="AF729" s="20">
        <v>8</v>
      </c>
      <c r="AG729" s="20">
        <v>2005</v>
      </c>
      <c r="AH729" s="21">
        <v>38567</v>
      </c>
    </row>
    <row r="730" spans="1:34" x14ac:dyDescent="0.25">
      <c r="A730" s="35">
        <v>1396</v>
      </c>
      <c r="B730" s="20" t="s">
        <v>1841</v>
      </c>
      <c r="C730" s="20" t="s">
        <v>1841</v>
      </c>
      <c r="D730" s="94" t="s">
        <v>1323</v>
      </c>
      <c r="E730" s="20" t="s">
        <v>2055</v>
      </c>
      <c r="F730" s="20" t="s">
        <v>1843</v>
      </c>
      <c r="G730" s="31" t="s">
        <v>40</v>
      </c>
      <c r="H730" s="32">
        <v>1</v>
      </c>
      <c r="J730" s="32">
        <v>1</v>
      </c>
      <c r="O730" s="20">
        <v>0</v>
      </c>
      <c r="P730" s="20">
        <v>1</v>
      </c>
      <c r="Q730" s="20">
        <v>0</v>
      </c>
      <c r="R730" s="20">
        <v>0</v>
      </c>
      <c r="X730" s="20">
        <v>1</v>
      </c>
      <c r="Z730" s="20" t="s">
        <v>1835</v>
      </c>
      <c r="AA730" s="20" t="s">
        <v>1862</v>
      </c>
      <c r="AB730" s="31">
        <f>VLOOKUP(AA730,Masters!$K$2:$L$183,2,FALSE)</f>
        <v>1004</v>
      </c>
      <c r="AC730" s="20" t="s">
        <v>2063</v>
      </c>
      <c r="AD730" s="20" t="s">
        <v>2060</v>
      </c>
      <c r="AE730" s="20">
        <v>27</v>
      </c>
      <c r="AF730" s="20">
        <v>11</v>
      </c>
      <c r="AG730" s="20">
        <v>2001</v>
      </c>
      <c r="AH730" s="21">
        <v>37222</v>
      </c>
    </row>
    <row r="731" spans="1:34" x14ac:dyDescent="0.25">
      <c r="A731" s="35">
        <v>1398</v>
      </c>
      <c r="B731" s="20" t="s">
        <v>1841</v>
      </c>
      <c r="C731" s="20" t="s">
        <v>1841</v>
      </c>
      <c r="D731" s="94" t="s">
        <v>1325</v>
      </c>
      <c r="E731" s="20" t="s">
        <v>126</v>
      </c>
      <c r="F731" s="20" t="s">
        <v>1847</v>
      </c>
      <c r="G731" s="31" t="s">
        <v>40</v>
      </c>
      <c r="H731" s="32">
        <v>1</v>
      </c>
      <c r="J731" s="32">
        <v>1</v>
      </c>
      <c r="O731" s="20">
        <v>0</v>
      </c>
      <c r="P731" s="20">
        <v>1</v>
      </c>
      <c r="Q731" s="20">
        <v>0</v>
      </c>
      <c r="R731" s="20">
        <v>0</v>
      </c>
      <c r="X731" s="20">
        <v>1</v>
      </c>
      <c r="Z731" s="20" t="s">
        <v>1858</v>
      </c>
      <c r="AA731" s="20" t="s">
        <v>1862</v>
      </c>
      <c r="AB731" s="31">
        <f>VLOOKUP(AA731,Masters!$K$2:$L$183,2,FALSE)</f>
        <v>1004</v>
      </c>
      <c r="AC731" s="20" t="s">
        <v>2063</v>
      </c>
      <c r="AD731" s="20" t="s">
        <v>2060</v>
      </c>
      <c r="AE731" s="20">
        <v>21</v>
      </c>
      <c r="AF731" s="20">
        <v>5</v>
      </c>
      <c r="AG731" s="20">
        <v>2001</v>
      </c>
      <c r="AH731" s="21">
        <v>37032</v>
      </c>
    </row>
    <row r="732" spans="1:34" x14ac:dyDescent="0.25">
      <c r="A732" s="35">
        <v>1401</v>
      </c>
      <c r="B732" s="20" t="s">
        <v>1841</v>
      </c>
      <c r="C732" s="20" t="s">
        <v>1841</v>
      </c>
      <c r="D732" s="94" t="s">
        <v>1328</v>
      </c>
      <c r="E732" s="20" t="s">
        <v>126</v>
      </c>
      <c r="F732" s="20" t="s">
        <v>1847</v>
      </c>
      <c r="G732" s="31" t="s">
        <v>40</v>
      </c>
      <c r="H732" s="32">
        <v>1</v>
      </c>
      <c r="J732" s="32">
        <v>1</v>
      </c>
      <c r="O732" s="20">
        <v>0</v>
      </c>
      <c r="P732" s="20">
        <v>1</v>
      </c>
      <c r="Q732" s="20">
        <v>0</v>
      </c>
      <c r="R732" s="20">
        <v>0</v>
      </c>
      <c r="X732" s="20">
        <v>1</v>
      </c>
      <c r="Z732" s="20" t="s">
        <v>1848</v>
      </c>
      <c r="AA732" s="20" t="s">
        <v>1860</v>
      </c>
      <c r="AB732" s="31">
        <f>VLOOKUP(AA732,Masters!$K$2:$L$183,2,FALSE)</f>
        <v>1002</v>
      </c>
      <c r="AC732" s="20" t="s">
        <v>2063</v>
      </c>
      <c r="AD732" s="20" t="s">
        <v>2060</v>
      </c>
      <c r="AE732" s="20">
        <v>22</v>
      </c>
      <c r="AF732" s="20">
        <v>12</v>
      </c>
      <c r="AG732" s="20">
        <v>2001</v>
      </c>
      <c r="AH732" s="21">
        <v>37247</v>
      </c>
    </row>
    <row r="733" spans="1:34" x14ac:dyDescent="0.25">
      <c r="A733" s="35">
        <v>1402</v>
      </c>
      <c r="B733" s="20" t="s">
        <v>1841</v>
      </c>
      <c r="C733" s="20" t="s">
        <v>1841</v>
      </c>
      <c r="D733" s="94" t="s">
        <v>1329</v>
      </c>
      <c r="E733" s="20" t="s">
        <v>2050</v>
      </c>
      <c r="F733" s="20" t="s">
        <v>1845</v>
      </c>
      <c r="G733" s="31" t="s">
        <v>40</v>
      </c>
      <c r="H733" s="32">
        <v>1</v>
      </c>
      <c r="J733" s="32">
        <v>1</v>
      </c>
      <c r="O733" s="20">
        <v>0</v>
      </c>
      <c r="P733" s="20">
        <v>1</v>
      </c>
      <c r="Q733" s="20">
        <v>0</v>
      </c>
      <c r="R733" s="20">
        <v>0</v>
      </c>
      <c r="X733" s="20">
        <v>1</v>
      </c>
      <c r="Z733" s="20" t="s">
        <v>1854</v>
      </c>
      <c r="AA733" s="20" t="s">
        <v>1859</v>
      </c>
      <c r="AB733" s="31">
        <f>VLOOKUP(AA733,Masters!$K$2:$L$183,2,FALSE)</f>
        <v>1001</v>
      </c>
      <c r="AC733" s="20" t="s">
        <v>2063</v>
      </c>
      <c r="AD733" s="20" t="s">
        <v>2060</v>
      </c>
      <c r="AE733" s="20">
        <v>1</v>
      </c>
      <c r="AF733" s="20">
        <v>6</v>
      </c>
      <c r="AG733" s="20">
        <v>2005</v>
      </c>
      <c r="AH733" s="21">
        <v>38504</v>
      </c>
    </row>
    <row r="734" spans="1:34" x14ac:dyDescent="0.25">
      <c r="A734" s="35">
        <v>1408</v>
      </c>
      <c r="B734" s="20" t="s">
        <v>1841</v>
      </c>
      <c r="C734" s="20" t="s">
        <v>1841</v>
      </c>
      <c r="D734" s="94" t="s">
        <v>1335</v>
      </c>
      <c r="E734" s="20" t="s">
        <v>2056</v>
      </c>
      <c r="F734" s="20" t="s">
        <v>1845</v>
      </c>
      <c r="G734" s="31" t="s">
        <v>40</v>
      </c>
      <c r="H734" s="32">
        <v>1</v>
      </c>
      <c r="J734" s="32">
        <v>1</v>
      </c>
      <c r="O734" s="20">
        <v>0</v>
      </c>
      <c r="P734" s="20">
        <v>1</v>
      </c>
      <c r="Q734" s="20">
        <v>0</v>
      </c>
      <c r="R734" s="20">
        <v>0</v>
      </c>
      <c r="X734" s="20">
        <v>1</v>
      </c>
      <c r="Z734" s="20" t="s">
        <v>753</v>
      </c>
      <c r="AA734" s="20" t="s">
        <v>1859</v>
      </c>
      <c r="AB734" s="31">
        <f>VLOOKUP(AA734,Masters!$K$2:$L$183,2,FALSE)</f>
        <v>1001</v>
      </c>
      <c r="AC734" s="20" t="s">
        <v>2063</v>
      </c>
      <c r="AD734" s="20" t="s">
        <v>2060</v>
      </c>
      <c r="AE734" s="20">
        <v>8</v>
      </c>
      <c r="AF734" s="20">
        <v>6</v>
      </c>
      <c r="AG734" s="20">
        <v>2005</v>
      </c>
      <c r="AH734" s="21">
        <v>38511</v>
      </c>
    </row>
    <row r="735" spans="1:34" x14ac:dyDescent="0.25">
      <c r="A735" s="35">
        <v>1409</v>
      </c>
      <c r="B735" s="20" t="s">
        <v>1841</v>
      </c>
      <c r="C735" s="20" t="s">
        <v>1841</v>
      </c>
      <c r="D735" s="94" t="s">
        <v>1336</v>
      </c>
      <c r="E735" s="20" t="s">
        <v>135</v>
      </c>
      <c r="F735" s="20" t="s">
        <v>1847</v>
      </c>
      <c r="G735" s="31" t="s">
        <v>40</v>
      </c>
      <c r="H735" s="32">
        <v>1</v>
      </c>
      <c r="J735" s="32">
        <v>1</v>
      </c>
      <c r="O735" s="20">
        <v>0</v>
      </c>
      <c r="P735" s="20">
        <v>1</v>
      </c>
      <c r="Q735" s="20">
        <v>0</v>
      </c>
      <c r="R735" s="20">
        <v>0</v>
      </c>
      <c r="X735" s="20">
        <v>1</v>
      </c>
      <c r="Z735" s="20" t="s">
        <v>78</v>
      </c>
      <c r="AA735" s="20" t="s">
        <v>1860</v>
      </c>
      <c r="AB735" s="31">
        <f>VLOOKUP(AA735,Masters!$K$2:$L$183,2,FALSE)</f>
        <v>1002</v>
      </c>
      <c r="AC735" s="20" t="s">
        <v>2063</v>
      </c>
      <c r="AD735" s="20" t="s">
        <v>2060</v>
      </c>
      <c r="AE735" s="20">
        <v>29</v>
      </c>
      <c r="AF735" s="20">
        <v>11</v>
      </c>
      <c r="AG735" s="20">
        <v>2005</v>
      </c>
      <c r="AH735" s="21">
        <v>38685</v>
      </c>
    </row>
    <row r="736" spans="1:34" x14ac:dyDescent="0.25">
      <c r="A736" s="35">
        <v>1412</v>
      </c>
      <c r="B736" s="20" t="s">
        <v>1841</v>
      </c>
      <c r="C736" s="20" t="s">
        <v>1841</v>
      </c>
      <c r="D736" s="94" t="s">
        <v>1339</v>
      </c>
      <c r="E736" s="20" t="s">
        <v>2052</v>
      </c>
      <c r="F736" s="20" t="s">
        <v>1843</v>
      </c>
      <c r="G736" s="31" t="s">
        <v>40</v>
      </c>
      <c r="H736" s="32">
        <v>1</v>
      </c>
      <c r="J736" s="32">
        <v>1</v>
      </c>
      <c r="O736" s="20">
        <v>0</v>
      </c>
      <c r="P736" s="20">
        <v>1</v>
      </c>
      <c r="Q736" s="20">
        <v>0</v>
      </c>
      <c r="R736" s="20">
        <v>0</v>
      </c>
      <c r="X736" s="20">
        <v>1</v>
      </c>
      <c r="Z736" s="20" t="s">
        <v>100</v>
      </c>
      <c r="AA736" s="20" t="s">
        <v>1860</v>
      </c>
      <c r="AB736" s="31">
        <f>VLOOKUP(AA736,Masters!$K$2:$L$183,2,FALSE)</f>
        <v>1002</v>
      </c>
      <c r="AC736" s="20" t="s">
        <v>2063</v>
      </c>
      <c r="AD736" s="20" t="s">
        <v>2060</v>
      </c>
      <c r="AE736" s="20">
        <v>13</v>
      </c>
      <c r="AF736" s="20">
        <v>12</v>
      </c>
      <c r="AG736" s="20">
        <v>2003</v>
      </c>
      <c r="AH736" s="21">
        <v>37968</v>
      </c>
    </row>
    <row r="737" spans="1:34" x14ac:dyDescent="0.25">
      <c r="A737" s="35">
        <v>1416</v>
      </c>
      <c r="B737" s="20" t="s">
        <v>1841</v>
      </c>
      <c r="C737" s="20" t="s">
        <v>1841</v>
      </c>
      <c r="D737" s="94" t="s">
        <v>1343</v>
      </c>
      <c r="E737" s="20" t="s">
        <v>2055</v>
      </c>
      <c r="F737" s="20" t="s">
        <v>1843</v>
      </c>
      <c r="G737" s="31" t="s">
        <v>40</v>
      </c>
      <c r="H737" s="32">
        <v>1</v>
      </c>
      <c r="J737" s="32">
        <v>1</v>
      </c>
      <c r="O737" s="20">
        <v>0</v>
      </c>
      <c r="P737" s="20">
        <v>1</v>
      </c>
      <c r="Q737" s="20">
        <v>0</v>
      </c>
      <c r="R737" s="20">
        <v>0</v>
      </c>
      <c r="X737" s="20">
        <v>1</v>
      </c>
      <c r="Z737" s="20" t="s">
        <v>1855</v>
      </c>
      <c r="AA737" s="20" t="s">
        <v>1862</v>
      </c>
      <c r="AB737" s="31">
        <f>VLOOKUP(AA737,Masters!$K$2:$L$183,2,FALSE)</f>
        <v>1004</v>
      </c>
      <c r="AC737" s="20" t="s">
        <v>2063</v>
      </c>
      <c r="AD737" s="20" t="s">
        <v>2060</v>
      </c>
      <c r="AE737" s="20">
        <v>20</v>
      </c>
      <c r="AF737" s="20">
        <v>1</v>
      </c>
      <c r="AG737" s="20">
        <v>2004</v>
      </c>
      <c r="AH737" s="21">
        <v>38006</v>
      </c>
    </row>
    <row r="738" spans="1:34" x14ac:dyDescent="0.25">
      <c r="A738" s="35">
        <v>1419</v>
      </c>
      <c r="B738" s="20" t="s">
        <v>1841</v>
      </c>
      <c r="C738" s="20" t="s">
        <v>1841</v>
      </c>
      <c r="D738" s="94" t="s">
        <v>1346</v>
      </c>
      <c r="E738" s="20" t="s">
        <v>133</v>
      </c>
      <c r="F738" s="20" t="s">
        <v>1846</v>
      </c>
      <c r="G738" s="31" t="s">
        <v>40</v>
      </c>
      <c r="H738" s="32">
        <v>1</v>
      </c>
      <c r="J738" s="32">
        <v>1</v>
      </c>
      <c r="O738" s="20">
        <v>0</v>
      </c>
      <c r="P738" s="20">
        <v>1</v>
      </c>
      <c r="Q738" s="20">
        <v>0</v>
      </c>
      <c r="R738" s="20">
        <v>0</v>
      </c>
      <c r="X738" s="20">
        <v>1</v>
      </c>
      <c r="Z738" s="20" t="s">
        <v>1835</v>
      </c>
      <c r="AA738" s="20" t="s">
        <v>1861</v>
      </c>
      <c r="AB738" s="31">
        <f>VLOOKUP(AA738,Masters!$K$2:$L$183,2,FALSE)</f>
        <v>1003</v>
      </c>
      <c r="AC738" s="20" t="s">
        <v>2063</v>
      </c>
      <c r="AD738" s="20" t="s">
        <v>2060</v>
      </c>
      <c r="AE738" s="20">
        <v>14</v>
      </c>
      <c r="AF738" s="20">
        <v>3</v>
      </c>
      <c r="AG738" s="20">
        <v>2002</v>
      </c>
      <c r="AH738" s="21">
        <v>37329</v>
      </c>
    </row>
    <row r="739" spans="1:34" x14ac:dyDescent="0.25">
      <c r="A739" s="35">
        <v>1420</v>
      </c>
      <c r="B739" s="20" t="s">
        <v>1841</v>
      </c>
      <c r="C739" s="20" t="s">
        <v>1841</v>
      </c>
      <c r="D739" s="94" t="s">
        <v>1347</v>
      </c>
      <c r="E739" s="20" t="s">
        <v>2058</v>
      </c>
      <c r="F739" s="20" t="s">
        <v>1843</v>
      </c>
      <c r="G739" s="31" t="s">
        <v>40</v>
      </c>
      <c r="H739" s="32">
        <v>1</v>
      </c>
      <c r="J739" s="32">
        <v>1</v>
      </c>
      <c r="O739" s="20">
        <v>0</v>
      </c>
      <c r="P739" s="20">
        <v>1</v>
      </c>
      <c r="Q739" s="20">
        <v>0</v>
      </c>
      <c r="R739" s="20">
        <v>0</v>
      </c>
      <c r="X739" s="20">
        <v>1</v>
      </c>
      <c r="Z739" s="20" t="s">
        <v>1854</v>
      </c>
      <c r="AA739" s="20" t="s">
        <v>1859</v>
      </c>
      <c r="AB739" s="31">
        <f>VLOOKUP(AA739,Masters!$K$2:$L$183,2,FALSE)</f>
        <v>1001</v>
      </c>
      <c r="AC739" s="20" t="s">
        <v>2063</v>
      </c>
      <c r="AD739" s="20" t="s">
        <v>2060</v>
      </c>
      <c r="AE739" s="20">
        <v>5</v>
      </c>
      <c r="AF739" s="20">
        <v>6</v>
      </c>
      <c r="AG739" s="20">
        <v>2000</v>
      </c>
      <c r="AH739" s="21">
        <v>36682</v>
      </c>
    </row>
    <row r="740" spans="1:34" x14ac:dyDescent="0.25">
      <c r="A740" s="35">
        <v>1430</v>
      </c>
      <c r="B740" s="20" t="s">
        <v>1841</v>
      </c>
      <c r="C740" s="20" t="s">
        <v>1841</v>
      </c>
      <c r="D740" s="94" t="s">
        <v>1357</v>
      </c>
      <c r="E740" s="20" t="s">
        <v>2050</v>
      </c>
      <c r="F740" s="20" t="s">
        <v>1846</v>
      </c>
      <c r="G740" s="31" t="s">
        <v>40</v>
      </c>
      <c r="H740" s="32">
        <v>1</v>
      </c>
      <c r="J740" s="32">
        <v>1</v>
      </c>
      <c r="O740" s="20">
        <v>0</v>
      </c>
      <c r="P740" s="20">
        <v>1</v>
      </c>
      <c r="Q740" s="20">
        <v>0</v>
      </c>
      <c r="R740" s="20">
        <v>0</v>
      </c>
      <c r="X740" s="20">
        <v>1</v>
      </c>
      <c r="Z740" s="20" t="s">
        <v>1851</v>
      </c>
      <c r="AA740" s="20" t="s">
        <v>1862</v>
      </c>
      <c r="AB740" s="31">
        <f>VLOOKUP(AA740,Masters!$K$2:$L$183,2,FALSE)</f>
        <v>1004</v>
      </c>
      <c r="AC740" s="20" t="s">
        <v>2063</v>
      </c>
      <c r="AD740" s="20" t="s">
        <v>2060</v>
      </c>
      <c r="AE740" s="20">
        <v>6</v>
      </c>
      <c r="AF740" s="20">
        <v>5</v>
      </c>
      <c r="AG740" s="20">
        <v>2002</v>
      </c>
      <c r="AH740" s="21">
        <v>37382</v>
      </c>
    </row>
    <row r="741" spans="1:34" x14ac:dyDescent="0.25">
      <c r="A741" s="35">
        <v>1434</v>
      </c>
      <c r="B741" s="20" t="s">
        <v>1841</v>
      </c>
      <c r="C741" s="20" t="s">
        <v>1841</v>
      </c>
      <c r="D741" s="94" t="s">
        <v>1361</v>
      </c>
      <c r="E741" s="20" t="s">
        <v>2057</v>
      </c>
      <c r="F741" s="20" t="s">
        <v>1845</v>
      </c>
      <c r="G741" s="31" t="s">
        <v>40</v>
      </c>
      <c r="H741" s="32">
        <v>1</v>
      </c>
      <c r="J741" s="32">
        <v>1</v>
      </c>
      <c r="O741" s="20">
        <v>0</v>
      </c>
      <c r="P741" s="20">
        <v>1</v>
      </c>
      <c r="Q741" s="20">
        <v>0</v>
      </c>
      <c r="R741" s="20">
        <v>0</v>
      </c>
      <c r="X741" s="20">
        <v>1</v>
      </c>
      <c r="Z741" s="20" t="s">
        <v>1849</v>
      </c>
      <c r="AA741" s="20" t="s">
        <v>1863</v>
      </c>
      <c r="AB741" s="31">
        <f>VLOOKUP(AA741,Masters!$K$2:$L$183,2,FALSE)</f>
        <v>1005</v>
      </c>
      <c r="AC741" s="20" t="s">
        <v>2063</v>
      </c>
      <c r="AD741" s="20" t="s">
        <v>2061</v>
      </c>
      <c r="AE741" s="20">
        <v>30</v>
      </c>
      <c r="AF741" s="20">
        <v>6</v>
      </c>
      <c r="AG741" s="20">
        <v>2001</v>
      </c>
      <c r="AH741" s="21">
        <v>37072</v>
      </c>
    </row>
    <row r="742" spans="1:34" x14ac:dyDescent="0.25">
      <c r="A742" s="35">
        <v>1435</v>
      </c>
      <c r="B742" s="20" t="s">
        <v>1841</v>
      </c>
      <c r="C742" s="20" t="s">
        <v>1841</v>
      </c>
      <c r="D742" s="94" t="s">
        <v>1362</v>
      </c>
      <c r="E742" s="20" t="s">
        <v>2052</v>
      </c>
      <c r="F742" s="20" t="s">
        <v>1843</v>
      </c>
      <c r="G742" s="31" t="s">
        <v>40</v>
      </c>
      <c r="H742" s="32">
        <v>1</v>
      </c>
      <c r="J742" s="32">
        <v>1</v>
      </c>
      <c r="O742" s="20">
        <v>0</v>
      </c>
      <c r="P742" s="20">
        <v>1</v>
      </c>
      <c r="Q742" s="20">
        <v>0</v>
      </c>
      <c r="R742" s="20">
        <v>0</v>
      </c>
      <c r="X742" s="20">
        <v>1</v>
      </c>
      <c r="Z742" s="20" t="s">
        <v>1835</v>
      </c>
      <c r="AA742" s="20" t="s">
        <v>1861</v>
      </c>
      <c r="AB742" s="31">
        <f>VLOOKUP(AA742,Masters!$K$2:$L$183,2,FALSE)</f>
        <v>1003</v>
      </c>
      <c r="AC742" s="20" t="s">
        <v>2063</v>
      </c>
      <c r="AD742" s="20" t="s">
        <v>2060</v>
      </c>
      <c r="AE742" s="20">
        <v>21</v>
      </c>
      <c r="AF742" s="20">
        <v>6</v>
      </c>
      <c r="AG742" s="20">
        <v>2004</v>
      </c>
      <c r="AH742" s="21">
        <v>38159</v>
      </c>
    </row>
    <row r="743" spans="1:34" x14ac:dyDescent="0.25">
      <c r="A743" s="35">
        <v>1436</v>
      </c>
      <c r="B743" s="20" t="s">
        <v>1841</v>
      </c>
      <c r="C743" s="20" t="s">
        <v>1841</v>
      </c>
      <c r="D743" s="94" t="s">
        <v>1363</v>
      </c>
      <c r="E743" s="20" t="s">
        <v>2052</v>
      </c>
      <c r="F743" s="20" t="s">
        <v>1843</v>
      </c>
      <c r="G743" s="31" t="s">
        <v>40</v>
      </c>
      <c r="H743" s="32">
        <v>1</v>
      </c>
      <c r="J743" s="32">
        <v>1</v>
      </c>
      <c r="O743" s="20">
        <v>0</v>
      </c>
      <c r="P743" s="20">
        <v>1</v>
      </c>
      <c r="Q743" s="20">
        <v>0</v>
      </c>
      <c r="R743" s="20">
        <v>0</v>
      </c>
      <c r="X743" s="20">
        <v>1</v>
      </c>
      <c r="Z743" s="20" t="s">
        <v>1850</v>
      </c>
      <c r="AA743" s="20" t="s">
        <v>1861</v>
      </c>
      <c r="AB743" s="31">
        <f>VLOOKUP(AA743,Masters!$K$2:$L$183,2,FALSE)</f>
        <v>1003</v>
      </c>
      <c r="AC743" s="20" t="s">
        <v>2063</v>
      </c>
      <c r="AD743" s="20" t="s">
        <v>2060</v>
      </c>
      <c r="AE743" s="20">
        <v>9</v>
      </c>
      <c r="AF743" s="20">
        <v>8</v>
      </c>
      <c r="AG743" s="20">
        <v>2004</v>
      </c>
      <c r="AH743" s="21">
        <v>38208</v>
      </c>
    </row>
    <row r="744" spans="1:34" x14ac:dyDescent="0.25">
      <c r="A744" s="35">
        <v>1438</v>
      </c>
      <c r="B744" s="20" t="s">
        <v>1841</v>
      </c>
      <c r="C744" s="20" t="s">
        <v>1841</v>
      </c>
      <c r="D744" s="94" t="s">
        <v>1365</v>
      </c>
      <c r="E744" s="20" t="s">
        <v>133</v>
      </c>
      <c r="F744" s="20" t="s">
        <v>1843</v>
      </c>
      <c r="G744" s="31" t="s">
        <v>40</v>
      </c>
      <c r="H744" s="32">
        <v>1</v>
      </c>
      <c r="J744" s="32">
        <v>1</v>
      </c>
      <c r="O744" s="20">
        <v>0</v>
      </c>
      <c r="P744" s="20">
        <v>1</v>
      </c>
      <c r="Q744" s="20">
        <v>0</v>
      </c>
      <c r="R744" s="20">
        <v>0</v>
      </c>
      <c r="X744" s="20">
        <v>1</v>
      </c>
      <c r="Z744" s="20" t="s">
        <v>58</v>
      </c>
      <c r="AA744" s="20" t="s">
        <v>1861</v>
      </c>
      <c r="AB744" s="31">
        <f>VLOOKUP(AA744,Masters!$K$2:$L$183,2,FALSE)</f>
        <v>1003</v>
      </c>
      <c r="AC744" s="20" t="s">
        <v>2064</v>
      </c>
      <c r="AD744" s="20" t="s">
        <v>2061</v>
      </c>
      <c r="AE744" s="20">
        <v>31</v>
      </c>
      <c r="AF744" s="20">
        <v>1</v>
      </c>
      <c r="AG744" s="20">
        <v>2003</v>
      </c>
      <c r="AH744" s="21">
        <v>37652</v>
      </c>
    </row>
    <row r="745" spans="1:34" x14ac:dyDescent="0.25">
      <c r="A745" s="35">
        <v>1450</v>
      </c>
      <c r="B745" s="20" t="s">
        <v>1841</v>
      </c>
      <c r="C745" s="20" t="s">
        <v>1841</v>
      </c>
      <c r="D745" s="94" t="s">
        <v>1377</v>
      </c>
      <c r="E745" s="20" t="s">
        <v>135</v>
      </c>
      <c r="F745" s="20" t="s">
        <v>1846</v>
      </c>
      <c r="G745" s="31" t="s">
        <v>40</v>
      </c>
      <c r="H745" s="32">
        <v>1</v>
      </c>
      <c r="J745" s="32">
        <v>1</v>
      </c>
      <c r="O745" s="20">
        <v>0</v>
      </c>
      <c r="P745" s="20">
        <v>1</v>
      </c>
      <c r="Q745" s="20">
        <v>0</v>
      </c>
      <c r="R745" s="20">
        <v>0</v>
      </c>
      <c r="X745" s="20">
        <v>1</v>
      </c>
      <c r="Z745" s="20" t="s">
        <v>1853</v>
      </c>
      <c r="AA745" s="20" t="s">
        <v>1862</v>
      </c>
      <c r="AB745" s="31">
        <f>VLOOKUP(AA745,Masters!$K$2:$L$183,2,FALSE)</f>
        <v>1004</v>
      </c>
      <c r="AC745" s="20" t="s">
        <v>2063</v>
      </c>
      <c r="AD745" s="20" t="s">
        <v>2060</v>
      </c>
      <c r="AE745" s="20">
        <v>22</v>
      </c>
      <c r="AF745" s="20">
        <v>1</v>
      </c>
      <c r="AG745" s="20">
        <v>2002</v>
      </c>
      <c r="AH745" s="21">
        <v>37278</v>
      </c>
    </row>
    <row r="746" spans="1:34" x14ac:dyDescent="0.25">
      <c r="A746" s="35">
        <v>1451</v>
      </c>
      <c r="B746" s="20" t="s">
        <v>1841</v>
      </c>
      <c r="C746" s="20" t="s">
        <v>1841</v>
      </c>
      <c r="D746" s="94" t="s">
        <v>1378</v>
      </c>
      <c r="E746" s="20" t="s">
        <v>2059</v>
      </c>
      <c r="F746" s="20" t="s">
        <v>1844</v>
      </c>
      <c r="G746" s="31" t="s">
        <v>40</v>
      </c>
      <c r="H746" s="32">
        <v>1</v>
      </c>
      <c r="J746" s="32">
        <v>1</v>
      </c>
      <c r="O746" s="20">
        <v>0</v>
      </c>
      <c r="P746" s="20">
        <v>1</v>
      </c>
      <c r="Q746" s="20">
        <v>0</v>
      </c>
      <c r="R746" s="20">
        <v>0</v>
      </c>
      <c r="X746" s="20">
        <v>1</v>
      </c>
      <c r="Z746" s="20" t="s">
        <v>1835</v>
      </c>
      <c r="AA746" s="20" t="s">
        <v>1863</v>
      </c>
      <c r="AB746" s="31">
        <f>VLOOKUP(AA746,Masters!$K$2:$L$183,2,FALSE)</f>
        <v>1005</v>
      </c>
      <c r="AC746" s="20" t="s">
        <v>2063</v>
      </c>
      <c r="AD746" s="20" t="s">
        <v>2060</v>
      </c>
      <c r="AE746" s="20">
        <v>21</v>
      </c>
      <c r="AF746" s="20">
        <v>12</v>
      </c>
      <c r="AG746" s="20">
        <v>2005</v>
      </c>
      <c r="AH746" s="21">
        <v>38707</v>
      </c>
    </row>
    <row r="747" spans="1:34" x14ac:dyDescent="0.25">
      <c r="A747" s="35">
        <v>1452</v>
      </c>
      <c r="B747" s="20" t="s">
        <v>1841</v>
      </c>
      <c r="C747" s="20" t="s">
        <v>1841</v>
      </c>
      <c r="D747" s="94" t="s">
        <v>1379</v>
      </c>
      <c r="E747" s="20" t="s">
        <v>135</v>
      </c>
      <c r="F747" s="20" t="s">
        <v>1845</v>
      </c>
      <c r="G747" s="31" t="s">
        <v>40</v>
      </c>
      <c r="H747" s="32">
        <v>1</v>
      </c>
      <c r="J747" s="32">
        <v>1</v>
      </c>
      <c r="O747" s="20">
        <v>0</v>
      </c>
      <c r="P747" s="20">
        <v>1</v>
      </c>
      <c r="Q747" s="20">
        <v>0</v>
      </c>
      <c r="R747" s="20">
        <v>0</v>
      </c>
      <c r="X747" s="20">
        <v>1</v>
      </c>
      <c r="Z747" s="20" t="s">
        <v>58</v>
      </c>
      <c r="AA747" s="20" t="s">
        <v>1861</v>
      </c>
      <c r="AB747" s="31">
        <f>VLOOKUP(AA747,Masters!$K$2:$L$183,2,FALSE)</f>
        <v>1003</v>
      </c>
      <c r="AC747" s="20" t="s">
        <v>2063</v>
      </c>
      <c r="AD747" s="20" t="s">
        <v>2060</v>
      </c>
      <c r="AE747" s="20">
        <v>10</v>
      </c>
      <c r="AF747" s="20">
        <v>3</v>
      </c>
      <c r="AG747" s="20">
        <v>2005</v>
      </c>
      <c r="AH747" s="21">
        <v>38421</v>
      </c>
    </row>
    <row r="748" spans="1:34" x14ac:dyDescent="0.25">
      <c r="A748" s="35">
        <v>1454</v>
      </c>
      <c r="B748" s="20" t="s">
        <v>1841</v>
      </c>
      <c r="C748" s="20" t="s">
        <v>1841</v>
      </c>
      <c r="D748" s="94" t="s">
        <v>1381</v>
      </c>
      <c r="E748" s="20" t="s">
        <v>2052</v>
      </c>
      <c r="F748" s="20" t="s">
        <v>1846</v>
      </c>
      <c r="G748" s="31" t="s">
        <v>40</v>
      </c>
      <c r="H748" s="32">
        <v>1</v>
      </c>
      <c r="J748" s="32">
        <v>1</v>
      </c>
      <c r="O748" s="20">
        <v>0</v>
      </c>
      <c r="P748" s="20">
        <v>1</v>
      </c>
      <c r="Q748" s="20">
        <v>0</v>
      </c>
      <c r="R748" s="20">
        <v>0</v>
      </c>
      <c r="X748" s="20">
        <v>1</v>
      </c>
      <c r="Z748" s="20" t="s">
        <v>1854</v>
      </c>
      <c r="AA748" s="20" t="s">
        <v>1861</v>
      </c>
      <c r="AB748" s="31">
        <f>VLOOKUP(AA748,Masters!$K$2:$L$183,2,FALSE)</f>
        <v>1003</v>
      </c>
      <c r="AC748" s="20" t="s">
        <v>2063</v>
      </c>
      <c r="AD748" s="20" t="s">
        <v>2060</v>
      </c>
      <c r="AE748" s="20">
        <v>23</v>
      </c>
      <c r="AF748" s="20">
        <v>7</v>
      </c>
      <c r="AG748" s="20">
        <v>2003</v>
      </c>
      <c r="AH748" s="21">
        <v>37825</v>
      </c>
    </row>
    <row r="749" spans="1:34" x14ac:dyDescent="0.25">
      <c r="A749" s="35">
        <v>1455</v>
      </c>
      <c r="B749" s="20" t="s">
        <v>1841</v>
      </c>
      <c r="C749" s="20" t="s">
        <v>1841</v>
      </c>
      <c r="D749" s="94" t="s">
        <v>1382</v>
      </c>
      <c r="E749" s="20" t="s">
        <v>2052</v>
      </c>
      <c r="F749" s="20" t="s">
        <v>1845</v>
      </c>
      <c r="G749" s="31" t="s">
        <v>40</v>
      </c>
      <c r="H749" s="32">
        <v>1</v>
      </c>
      <c r="J749" s="32">
        <v>1</v>
      </c>
      <c r="O749" s="20">
        <v>0</v>
      </c>
      <c r="P749" s="20">
        <v>1</v>
      </c>
      <c r="Q749" s="20">
        <v>0</v>
      </c>
      <c r="R749" s="20">
        <v>0</v>
      </c>
      <c r="X749" s="20">
        <v>1</v>
      </c>
      <c r="Z749" s="20" t="s">
        <v>201</v>
      </c>
      <c r="AA749" s="20" t="s">
        <v>1863</v>
      </c>
      <c r="AB749" s="31">
        <f>VLOOKUP(AA749,Masters!$K$2:$L$183,2,FALSE)</f>
        <v>1005</v>
      </c>
      <c r="AC749" s="20" t="s">
        <v>2063</v>
      </c>
      <c r="AD749" s="20" t="s">
        <v>2060</v>
      </c>
      <c r="AE749" s="20">
        <v>6</v>
      </c>
      <c r="AF749" s="20">
        <v>4</v>
      </c>
      <c r="AG749" s="20">
        <v>2001</v>
      </c>
      <c r="AH749" s="21">
        <v>36987</v>
      </c>
    </row>
    <row r="750" spans="1:34" x14ac:dyDescent="0.25">
      <c r="A750" s="35">
        <v>1456</v>
      </c>
      <c r="B750" s="20" t="s">
        <v>1841</v>
      </c>
      <c r="C750" s="20" t="s">
        <v>1841</v>
      </c>
      <c r="D750" s="94" t="s">
        <v>1383</v>
      </c>
      <c r="E750" s="20" t="s">
        <v>2053</v>
      </c>
      <c r="F750" s="20" t="s">
        <v>1843</v>
      </c>
      <c r="G750" s="31" t="s">
        <v>40</v>
      </c>
      <c r="H750" s="32">
        <v>1</v>
      </c>
      <c r="J750" s="32">
        <v>1</v>
      </c>
      <c r="O750" s="20">
        <v>0</v>
      </c>
      <c r="P750" s="20">
        <v>1</v>
      </c>
      <c r="Q750" s="20">
        <v>0</v>
      </c>
      <c r="R750" s="20">
        <v>0</v>
      </c>
      <c r="X750" s="20">
        <v>1</v>
      </c>
      <c r="Z750" s="20" t="s">
        <v>1852</v>
      </c>
      <c r="AA750" s="20" t="s">
        <v>1860</v>
      </c>
      <c r="AB750" s="31">
        <f>VLOOKUP(AA750,Masters!$K$2:$L$183,2,FALSE)</f>
        <v>1002</v>
      </c>
      <c r="AC750" s="20" t="s">
        <v>2063</v>
      </c>
      <c r="AD750" s="20" t="s">
        <v>2060</v>
      </c>
      <c r="AE750" s="20">
        <v>5</v>
      </c>
      <c r="AF750" s="20">
        <v>10</v>
      </c>
      <c r="AG750" s="20">
        <v>2002</v>
      </c>
      <c r="AH750" s="21">
        <v>37534</v>
      </c>
    </row>
    <row r="751" spans="1:34" x14ac:dyDescent="0.25">
      <c r="A751" s="35">
        <v>1468</v>
      </c>
      <c r="B751" s="20" t="s">
        <v>1841</v>
      </c>
      <c r="C751" s="20" t="s">
        <v>1841</v>
      </c>
      <c r="D751" s="94" t="s">
        <v>1395</v>
      </c>
      <c r="E751" s="20" t="s">
        <v>2057</v>
      </c>
      <c r="F751" s="20" t="s">
        <v>1845</v>
      </c>
      <c r="G751" s="31" t="s">
        <v>40</v>
      </c>
      <c r="H751" s="32">
        <v>1</v>
      </c>
      <c r="J751" s="32">
        <v>1</v>
      </c>
      <c r="O751" s="20">
        <v>0</v>
      </c>
      <c r="P751" s="20">
        <v>1</v>
      </c>
      <c r="Q751" s="20">
        <v>0</v>
      </c>
      <c r="R751" s="20">
        <v>0</v>
      </c>
      <c r="X751" s="20">
        <v>1</v>
      </c>
      <c r="Z751" s="20" t="s">
        <v>34</v>
      </c>
      <c r="AA751" s="20" t="s">
        <v>1859</v>
      </c>
      <c r="AB751" s="31">
        <f>VLOOKUP(AA751,Masters!$K$2:$L$183,2,FALSE)</f>
        <v>1001</v>
      </c>
      <c r="AC751" s="20" t="s">
        <v>2063</v>
      </c>
      <c r="AD751" s="20" t="s">
        <v>2060</v>
      </c>
      <c r="AE751" s="20">
        <v>10</v>
      </c>
      <c r="AF751" s="20">
        <v>6</v>
      </c>
      <c r="AG751" s="20">
        <v>2003</v>
      </c>
      <c r="AH751" s="21">
        <v>37782</v>
      </c>
    </row>
    <row r="752" spans="1:34" x14ac:dyDescent="0.25">
      <c r="A752" s="35">
        <v>1470</v>
      </c>
      <c r="B752" s="20" t="s">
        <v>1841</v>
      </c>
      <c r="C752" s="20" t="s">
        <v>1841</v>
      </c>
      <c r="D752" s="94" t="s">
        <v>1397</v>
      </c>
      <c r="E752" s="20" t="s">
        <v>2058</v>
      </c>
      <c r="F752" s="20" t="s">
        <v>1845</v>
      </c>
      <c r="G752" s="31" t="s">
        <v>40</v>
      </c>
      <c r="H752" s="32">
        <v>1</v>
      </c>
      <c r="J752" s="32">
        <v>1</v>
      </c>
      <c r="O752" s="20">
        <v>0</v>
      </c>
      <c r="P752" s="20">
        <v>1</v>
      </c>
      <c r="Q752" s="20">
        <v>0</v>
      </c>
      <c r="R752" s="20">
        <v>0</v>
      </c>
      <c r="X752" s="20">
        <v>1</v>
      </c>
      <c r="Z752" s="20" t="s">
        <v>1858</v>
      </c>
      <c r="AA752" s="20" t="s">
        <v>1862</v>
      </c>
      <c r="AB752" s="31">
        <f>VLOOKUP(AA752,Masters!$K$2:$L$183,2,FALSE)</f>
        <v>1004</v>
      </c>
      <c r="AC752" s="20" t="s">
        <v>2063</v>
      </c>
      <c r="AD752" s="20" t="s">
        <v>2060</v>
      </c>
      <c r="AE752" s="20">
        <v>12</v>
      </c>
      <c r="AF752" s="20">
        <v>3</v>
      </c>
      <c r="AG752" s="20">
        <v>2004</v>
      </c>
      <c r="AH752" s="21">
        <v>38058</v>
      </c>
    </row>
    <row r="753" spans="1:34" x14ac:dyDescent="0.25">
      <c r="A753" s="35">
        <v>1471</v>
      </c>
      <c r="B753" s="20" t="s">
        <v>1841</v>
      </c>
      <c r="C753" s="20" t="s">
        <v>1841</v>
      </c>
      <c r="D753" s="94" t="s">
        <v>1398</v>
      </c>
      <c r="E753" s="20" t="s">
        <v>133</v>
      </c>
      <c r="F753" s="20" t="s">
        <v>1846</v>
      </c>
      <c r="G753" s="31" t="s">
        <v>40</v>
      </c>
      <c r="H753" s="32">
        <v>1</v>
      </c>
      <c r="J753" s="32">
        <v>1</v>
      </c>
      <c r="O753" s="20">
        <v>0</v>
      </c>
      <c r="P753" s="20">
        <v>1</v>
      </c>
      <c r="Q753" s="20">
        <v>0</v>
      </c>
      <c r="R753" s="20">
        <v>0</v>
      </c>
      <c r="X753" s="20">
        <v>1</v>
      </c>
      <c r="Z753" s="20" t="s">
        <v>1852</v>
      </c>
      <c r="AA753" s="20" t="s">
        <v>1861</v>
      </c>
      <c r="AB753" s="31">
        <f>VLOOKUP(AA753,Masters!$K$2:$L$183,2,FALSE)</f>
        <v>1003</v>
      </c>
      <c r="AC753" s="20" t="s">
        <v>2063</v>
      </c>
      <c r="AD753" s="20" t="s">
        <v>2060</v>
      </c>
      <c r="AE753" s="20">
        <v>9</v>
      </c>
      <c r="AF753" s="20">
        <v>8</v>
      </c>
      <c r="AG753" s="20">
        <v>2005</v>
      </c>
      <c r="AH753" s="21">
        <v>38573</v>
      </c>
    </row>
    <row r="754" spans="1:34" x14ac:dyDescent="0.25">
      <c r="A754" s="35">
        <v>1472</v>
      </c>
      <c r="B754" s="20" t="s">
        <v>1841</v>
      </c>
      <c r="C754" s="20" t="s">
        <v>1841</v>
      </c>
      <c r="D754" s="94" t="s">
        <v>1399</v>
      </c>
      <c r="E754" s="20" t="s">
        <v>2050</v>
      </c>
      <c r="F754" s="20" t="s">
        <v>1845</v>
      </c>
      <c r="G754" s="31" t="s">
        <v>40</v>
      </c>
      <c r="H754" s="32">
        <v>1</v>
      </c>
      <c r="J754" s="32">
        <v>1</v>
      </c>
      <c r="O754" s="20">
        <v>0</v>
      </c>
      <c r="P754" s="20">
        <v>1</v>
      </c>
      <c r="Q754" s="20">
        <v>0</v>
      </c>
      <c r="R754" s="20">
        <v>0</v>
      </c>
      <c r="X754" s="20">
        <v>1</v>
      </c>
      <c r="Z754" s="20" t="s">
        <v>1857</v>
      </c>
      <c r="AA754" s="20" t="s">
        <v>1863</v>
      </c>
      <c r="AB754" s="31">
        <f>VLOOKUP(AA754,Masters!$K$2:$L$183,2,FALSE)</f>
        <v>1005</v>
      </c>
      <c r="AC754" s="20" t="s">
        <v>2063</v>
      </c>
      <c r="AD754" s="20" t="s">
        <v>2060</v>
      </c>
      <c r="AE754" s="20">
        <v>16</v>
      </c>
      <c r="AF754" s="20">
        <v>12</v>
      </c>
      <c r="AG754" s="20">
        <v>2005</v>
      </c>
      <c r="AH754" s="21">
        <v>38702</v>
      </c>
    </row>
    <row r="755" spans="1:34" x14ac:dyDescent="0.25">
      <c r="A755" s="35">
        <v>1473</v>
      </c>
      <c r="B755" s="20" t="s">
        <v>1841</v>
      </c>
      <c r="C755" s="20" t="s">
        <v>1841</v>
      </c>
      <c r="D755" s="94" t="s">
        <v>1400</v>
      </c>
      <c r="E755" s="20" t="s">
        <v>2058</v>
      </c>
      <c r="F755" s="20" t="s">
        <v>1847</v>
      </c>
      <c r="G755" s="31" t="s">
        <v>40</v>
      </c>
      <c r="H755" s="32">
        <v>1</v>
      </c>
      <c r="J755" s="32">
        <v>1</v>
      </c>
      <c r="O755" s="20">
        <v>0</v>
      </c>
      <c r="P755" s="20">
        <v>1</v>
      </c>
      <c r="Q755" s="20">
        <v>0</v>
      </c>
      <c r="R755" s="20">
        <v>0</v>
      </c>
      <c r="X755" s="20">
        <v>1</v>
      </c>
      <c r="Z755" s="20" t="s">
        <v>1858</v>
      </c>
      <c r="AA755" s="20" t="s">
        <v>1860</v>
      </c>
      <c r="AB755" s="31">
        <f>VLOOKUP(AA755,Masters!$K$2:$L$183,2,FALSE)</f>
        <v>1002</v>
      </c>
      <c r="AC755" s="20" t="s">
        <v>2063</v>
      </c>
      <c r="AD755" s="20" t="s">
        <v>2060</v>
      </c>
      <c r="AE755" s="20">
        <v>27</v>
      </c>
      <c r="AF755" s="20">
        <v>2</v>
      </c>
      <c r="AG755" s="20">
        <v>2002</v>
      </c>
      <c r="AH755" s="21">
        <v>37314</v>
      </c>
    </row>
    <row r="756" spans="1:34" x14ac:dyDescent="0.25">
      <c r="A756" s="35">
        <v>1475</v>
      </c>
      <c r="B756" s="20" t="s">
        <v>1841</v>
      </c>
      <c r="C756" s="20" t="s">
        <v>1841</v>
      </c>
      <c r="D756" s="94" t="s">
        <v>1402</v>
      </c>
      <c r="E756" s="20" t="s">
        <v>2059</v>
      </c>
      <c r="F756" s="20" t="s">
        <v>1843</v>
      </c>
      <c r="G756" s="31" t="s">
        <v>40</v>
      </c>
      <c r="H756" s="32">
        <v>1</v>
      </c>
      <c r="J756" s="32">
        <v>1</v>
      </c>
      <c r="O756" s="20">
        <v>0</v>
      </c>
      <c r="P756" s="20">
        <v>1</v>
      </c>
      <c r="Q756" s="20">
        <v>0</v>
      </c>
      <c r="R756" s="20">
        <v>0</v>
      </c>
      <c r="X756" s="20">
        <v>1</v>
      </c>
      <c r="Z756" s="20" t="s">
        <v>1853</v>
      </c>
      <c r="AA756" s="20" t="s">
        <v>1862</v>
      </c>
      <c r="AB756" s="31">
        <f>VLOOKUP(AA756,Masters!$K$2:$L$183,2,FALSE)</f>
        <v>1004</v>
      </c>
      <c r="AC756" s="20" t="s">
        <v>2063</v>
      </c>
      <c r="AD756" s="20" t="s">
        <v>2060</v>
      </c>
      <c r="AE756" s="20">
        <v>20</v>
      </c>
      <c r="AF756" s="20">
        <v>3</v>
      </c>
      <c r="AG756" s="20">
        <v>2005</v>
      </c>
      <c r="AH756" s="21">
        <v>38431</v>
      </c>
    </row>
    <row r="757" spans="1:34" x14ac:dyDescent="0.25">
      <c r="A757" s="35">
        <v>1478</v>
      </c>
      <c r="B757" s="20" t="s">
        <v>1841</v>
      </c>
      <c r="C757" s="20" t="s">
        <v>1841</v>
      </c>
      <c r="D757" s="94" t="s">
        <v>1405</v>
      </c>
      <c r="E757" s="20" t="s">
        <v>2055</v>
      </c>
      <c r="F757" s="20" t="s">
        <v>1845</v>
      </c>
      <c r="G757" s="31" t="s">
        <v>40</v>
      </c>
      <c r="H757" s="32">
        <v>1</v>
      </c>
      <c r="J757" s="32">
        <v>1</v>
      </c>
      <c r="O757" s="20">
        <v>0</v>
      </c>
      <c r="P757" s="20">
        <v>1</v>
      </c>
      <c r="Q757" s="20">
        <v>0</v>
      </c>
      <c r="R757" s="20">
        <v>0</v>
      </c>
      <c r="X757" s="20">
        <v>1</v>
      </c>
      <c r="Z757" s="20" t="s">
        <v>753</v>
      </c>
      <c r="AA757" s="20" t="s">
        <v>1863</v>
      </c>
      <c r="AB757" s="31">
        <f>VLOOKUP(AA757,Masters!$K$2:$L$183,2,FALSE)</f>
        <v>1005</v>
      </c>
      <c r="AC757" s="20" t="s">
        <v>2063</v>
      </c>
      <c r="AD757" s="20" t="s">
        <v>2060</v>
      </c>
      <c r="AE757" s="20">
        <v>5</v>
      </c>
      <c r="AF757" s="20">
        <v>2</v>
      </c>
      <c r="AG757" s="20">
        <v>2000</v>
      </c>
      <c r="AH757" s="21">
        <v>36561</v>
      </c>
    </row>
    <row r="758" spans="1:34" x14ac:dyDescent="0.25">
      <c r="A758" s="35">
        <v>1483</v>
      </c>
      <c r="B758" s="20" t="s">
        <v>1841</v>
      </c>
      <c r="C758" s="20" t="s">
        <v>1841</v>
      </c>
      <c r="D758" s="94" t="s">
        <v>1410</v>
      </c>
      <c r="E758" s="20" t="s">
        <v>2053</v>
      </c>
      <c r="F758" s="20" t="s">
        <v>1844</v>
      </c>
      <c r="G758" s="31" t="s">
        <v>40</v>
      </c>
      <c r="H758" s="32">
        <v>1</v>
      </c>
      <c r="J758" s="32">
        <v>1</v>
      </c>
      <c r="O758" s="20">
        <v>0</v>
      </c>
      <c r="P758" s="20">
        <v>1</v>
      </c>
      <c r="Q758" s="20">
        <v>0</v>
      </c>
      <c r="R758" s="20">
        <v>0</v>
      </c>
      <c r="X758" s="20">
        <v>1</v>
      </c>
      <c r="Z758" s="20" t="s">
        <v>1851</v>
      </c>
      <c r="AA758" s="20" t="s">
        <v>1861</v>
      </c>
      <c r="AB758" s="31">
        <f>VLOOKUP(AA758,Masters!$K$2:$L$183,2,FALSE)</f>
        <v>1003</v>
      </c>
      <c r="AC758" s="20" t="s">
        <v>2063</v>
      </c>
      <c r="AD758" s="20" t="s">
        <v>2060</v>
      </c>
      <c r="AE758" s="20">
        <v>1</v>
      </c>
      <c r="AF758" s="20">
        <v>9</v>
      </c>
      <c r="AG758" s="20">
        <v>2000</v>
      </c>
      <c r="AH758" s="21">
        <v>36770</v>
      </c>
    </row>
    <row r="759" spans="1:34" x14ac:dyDescent="0.25">
      <c r="A759" s="35">
        <v>1484</v>
      </c>
      <c r="B759" s="20" t="s">
        <v>1841</v>
      </c>
      <c r="C759" s="20" t="s">
        <v>1841</v>
      </c>
      <c r="D759" s="94" t="s">
        <v>1411</v>
      </c>
      <c r="E759" s="20" t="s">
        <v>2052</v>
      </c>
      <c r="F759" s="20" t="s">
        <v>1846</v>
      </c>
      <c r="G759" s="31" t="s">
        <v>40</v>
      </c>
      <c r="H759" s="32">
        <v>1</v>
      </c>
      <c r="J759" s="32">
        <v>1</v>
      </c>
      <c r="O759" s="20">
        <v>0</v>
      </c>
      <c r="P759" s="20">
        <v>1</v>
      </c>
      <c r="Q759" s="20">
        <v>0</v>
      </c>
      <c r="R759" s="20">
        <v>0</v>
      </c>
      <c r="X759" s="20">
        <v>1</v>
      </c>
      <c r="Z759" s="20" t="s">
        <v>1851</v>
      </c>
      <c r="AA759" s="20" t="s">
        <v>1863</v>
      </c>
      <c r="AB759" s="31">
        <f>VLOOKUP(AA759,Masters!$K$2:$L$183,2,FALSE)</f>
        <v>1005</v>
      </c>
      <c r="AC759" s="20" t="s">
        <v>2063</v>
      </c>
      <c r="AD759" s="20" t="s">
        <v>2060</v>
      </c>
      <c r="AE759" s="20">
        <v>8</v>
      </c>
      <c r="AF759" s="20">
        <v>7</v>
      </c>
      <c r="AG759" s="20">
        <v>2003</v>
      </c>
      <c r="AH759" s="21">
        <v>37810</v>
      </c>
    </row>
    <row r="760" spans="1:34" x14ac:dyDescent="0.25">
      <c r="A760" s="35">
        <v>1485</v>
      </c>
      <c r="B760" s="20" t="s">
        <v>1841</v>
      </c>
      <c r="C760" s="20" t="s">
        <v>1841</v>
      </c>
      <c r="D760" s="94" t="s">
        <v>1412</v>
      </c>
      <c r="E760" s="20" t="s">
        <v>2050</v>
      </c>
      <c r="F760" s="20" t="s">
        <v>1846</v>
      </c>
      <c r="G760" s="31" t="s">
        <v>40</v>
      </c>
      <c r="H760" s="32">
        <v>1</v>
      </c>
      <c r="J760" s="32">
        <v>1</v>
      </c>
      <c r="O760" s="20">
        <v>0</v>
      </c>
      <c r="P760" s="20">
        <v>1</v>
      </c>
      <c r="Q760" s="20">
        <v>0</v>
      </c>
      <c r="R760" s="20">
        <v>0</v>
      </c>
      <c r="X760" s="20">
        <v>1</v>
      </c>
      <c r="Z760" s="20" t="s">
        <v>58</v>
      </c>
      <c r="AA760" s="20" t="s">
        <v>1859</v>
      </c>
      <c r="AB760" s="31">
        <f>VLOOKUP(AA760,Masters!$K$2:$L$183,2,FALSE)</f>
        <v>1001</v>
      </c>
      <c r="AC760" s="20" t="s">
        <v>2063</v>
      </c>
      <c r="AD760" s="20" t="s">
        <v>2060</v>
      </c>
      <c r="AE760" s="20">
        <v>5</v>
      </c>
      <c r="AF760" s="20">
        <v>9</v>
      </c>
      <c r="AG760" s="20">
        <v>2004</v>
      </c>
      <c r="AH760" s="21">
        <v>38235</v>
      </c>
    </row>
    <row r="761" spans="1:34" x14ac:dyDescent="0.25">
      <c r="A761" s="35">
        <v>1486</v>
      </c>
      <c r="B761" s="20" t="s">
        <v>1841</v>
      </c>
      <c r="C761" s="20" t="s">
        <v>1841</v>
      </c>
      <c r="D761" s="94" t="s">
        <v>1413</v>
      </c>
      <c r="E761" s="20" t="s">
        <v>2054</v>
      </c>
      <c r="F761" s="20" t="s">
        <v>1843</v>
      </c>
      <c r="G761" s="31" t="s">
        <v>40</v>
      </c>
      <c r="H761" s="32">
        <v>1</v>
      </c>
      <c r="J761" s="32">
        <v>1</v>
      </c>
      <c r="O761" s="20">
        <v>0</v>
      </c>
      <c r="P761" s="20">
        <v>1</v>
      </c>
      <c r="Q761" s="20">
        <v>0</v>
      </c>
      <c r="R761" s="20">
        <v>0</v>
      </c>
      <c r="X761" s="20">
        <v>1</v>
      </c>
      <c r="Z761" s="20" t="s">
        <v>1856</v>
      </c>
      <c r="AA761" s="20" t="s">
        <v>1863</v>
      </c>
      <c r="AB761" s="31">
        <f>VLOOKUP(AA761,Masters!$K$2:$L$183,2,FALSE)</f>
        <v>1005</v>
      </c>
      <c r="AC761" s="20" t="s">
        <v>2063</v>
      </c>
      <c r="AD761" s="20" t="s">
        <v>2060</v>
      </c>
      <c r="AE761" s="20">
        <v>20</v>
      </c>
      <c r="AF761" s="20">
        <v>7</v>
      </c>
      <c r="AG761" s="20">
        <v>2000</v>
      </c>
      <c r="AH761" s="21">
        <v>36727</v>
      </c>
    </row>
    <row r="762" spans="1:34" x14ac:dyDescent="0.25">
      <c r="A762" s="35">
        <v>1487</v>
      </c>
      <c r="B762" s="20" t="s">
        <v>1841</v>
      </c>
      <c r="C762" s="20" t="s">
        <v>1841</v>
      </c>
      <c r="D762" s="94" t="s">
        <v>1414</v>
      </c>
      <c r="E762" s="20" t="s">
        <v>2059</v>
      </c>
      <c r="F762" s="20" t="s">
        <v>1846</v>
      </c>
      <c r="G762" s="31" t="s">
        <v>40</v>
      </c>
      <c r="H762" s="32">
        <v>1</v>
      </c>
      <c r="J762" s="32">
        <v>1</v>
      </c>
      <c r="O762" s="20">
        <v>0</v>
      </c>
      <c r="P762" s="20">
        <v>1</v>
      </c>
      <c r="Q762" s="20">
        <v>0</v>
      </c>
      <c r="R762" s="20">
        <v>0</v>
      </c>
      <c r="X762" s="20">
        <v>1</v>
      </c>
      <c r="Z762" s="20" t="s">
        <v>1835</v>
      </c>
      <c r="AA762" s="20" t="s">
        <v>1860</v>
      </c>
      <c r="AB762" s="31">
        <f>VLOOKUP(AA762,Masters!$K$2:$L$183,2,FALSE)</f>
        <v>1002</v>
      </c>
      <c r="AC762" s="20" t="s">
        <v>2063</v>
      </c>
      <c r="AD762" s="20" t="s">
        <v>2060</v>
      </c>
      <c r="AE762" s="20">
        <v>11</v>
      </c>
      <c r="AF762" s="20">
        <v>2</v>
      </c>
      <c r="AG762" s="20">
        <v>2002</v>
      </c>
      <c r="AH762" s="21">
        <v>37298</v>
      </c>
    </row>
    <row r="763" spans="1:34" x14ac:dyDescent="0.25">
      <c r="A763" s="35">
        <v>1488</v>
      </c>
      <c r="B763" s="20" t="s">
        <v>1841</v>
      </c>
      <c r="C763" s="20" t="s">
        <v>1841</v>
      </c>
      <c r="D763" s="94" t="s">
        <v>1415</v>
      </c>
      <c r="E763" s="20" t="s">
        <v>135</v>
      </c>
      <c r="F763" s="20" t="s">
        <v>1847</v>
      </c>
      <c r="G763" s="31" t="s">
        <v>40</v>
      </c>
      <c r="H763" s="32">
        <v>1</v>
      </c>
      <c r="J763" s="32">
        <v>1</v>
      </c>
      <c r="O763" s="20">
        <v>0</v>
      </c>
      <c r="P763" s="20">
        <v>1</v>
      </c>
      <c r="Q763" s="20">
        <v>0</v>
      </c>
      <c r="R763" s="20">
        <v>0</v>
      </c>
      <c r="X763" s="20">
        <v>1</v>
      </c>
      <c r="Z763" s="20" t="s">
        <v>1855</v>
      </c>
      <c r="AA763" s="20" t="s">
        <v>1861</v>
      </c>
      <c r="AB763" s="31">
        <f>VLOOKUP(AA763,Masters!$K$2:$L$183,2,FALSE)</f>
        <v>1003</v>
      </c>
      <c r="AC763" s="20" t="s">
        <v>2063</v>
      </c>
      <c r="AD763" s="20" t="s">
        <v>2060</v>
      </c>
      <c r="AE763" s="20">
        <v>12</v>
      </c>
      <c r="AF763" s="20">
        <v>4</v>
      </c>
      <c r="AG763" s="20">
        <v>2000</v>
      </c>
      <c r="AH763" s="21">
        <v>36628</v>
      </c>
    </row>
    <row r="764" spans="1:34" x14ac:dyDescent="0.25">
      <c r="A764" s="35">
        <v>1489</v>
      </c>
      <c r="B764" s="20" t="s">
        <v>1841</v>
      </c>
      <c r="C764" s="20" t="s">
        <v>1841</v>
      </c>
      <c r="D764" s="94" t="s">
        <v>1416</v>
      </c>
      <c r="E764" s="20" t="s">
        <v>2052</v>
      </c>
      <c r="F764" s="20" t="s">
        <v>1845</v>
      </c>
      <c r="G764" s="31" t="s">
        <v>40</v>
      </c>
      <c r="H764" s="32">
        <v>1</v>
      </c>
      <c r="J764" s="32">
        <v>1</v>
      </c>
      <c r="O764" s="20">
        <v>0</v>
      </c>
      <c r="P764" s="20">
        <v>1</v>
      </c>
      <c r="Q764" s="20">
        <v>0</v>
      </c>
      <c r="R764" s="20">
        <v>0</v>
      </c>
      <c r="X764" s="20">
        <v>1</v>
      </c>
      <c r="Z764" s="20" t="s">
        <v>1858</v>
      </c>
      <c r="AA764" s="20" t="s">
        <v>1861</v>
      </c>
      <c r="AB764" s="31">
        <f>VLOOKUP(AA764,Masters!$K$2:$L$183,2,FALSE)</f>
        <v>1003</v>
      </c>
      <c r="AC764" s="20" t="s">
        <v>2063</v>
      </c>
      <c r="AD764" s="20" t="s">
        <v>2060</v>
      </c>
      <c r="AE764" s="20">
        <v>16</v>
      </c>
      <c r="AF764" s="20">
        <v>6</v>
      </c>
      <c r="AG764" s="20">
        <v>2005</v>
      </c>
      <c r="AH764" s="21">
        <v>38519</v>
      </c>
    </row>
    <row r="765" spans="1:34" x14ac:dyDescent="0.25">
      <c r="A765" s="35">
        <v>1494</v>
      </c>
      <c r="B765" s="20" t="s">
        <v>1841</v>
      </c>
      <c r="C765" s="20" t="s">
        <v>1841</v>
      </c>
      <c r="D765" s="94" t="s">
        <v>1421</v>
      </c>
      <c r="E765" s="20" t="s">
        <v>2059</v>
      </c>
      <c r="F765" s="20" t="s">
        <v>1847</v>
      </c>
      <c r="G765" s="31" t="s">
        <v>40</v>
      </c>
      <c r="H765" s="32">
        <v>1</v>
      </c>
      <c r="J765" s="32">
        <v>1</v>
      </c>
      <c r="O765" s="20">
        <v>0</v>
      </c>
      <c r="P765" s="20">
        <v>1</v>
      </c>
      <c r="Q765" s="20">
        <v>0</v>
      </c>
      <c r="R765" s="20">
        <v>0</v>
      </c>
      <c r="X765" s="20">
        <v>1</v>
      </c>
      <c r="Z765" s="20" t="s">
        <v>34</v>
      </c>
      <c r="AA765" s="20" t="s">
        <v>1859</v>
      </c>
      <c r="AB765" s="31">
        <f>VLOOKUP(AA765,Masters!$K$2:$L$183,2,FALSE)</f>
        <v>1001</v>
      </c>
      <c r="AC765" s="20" t="s">
        <v>2063</v>
      </c>
      <c r="AD765" s="20" t="s">
        <v>2060</v>
      </c>
      <c r="AE765" s="20">
        <v>31</v>
      </c>
      <c r="AF765" s="20">
        <v>7</v>
      </c>
      <c r="AG765" s="20">
        <v>2001</v>
      </c>
      <c r="AH765" s="21">
        <v>37103</v>
      </c>
    </row>
    <row r="766" spans="1:34" x14ac:dyDescent="0.25">
      <c r="A766" s="35">
        <v>1496</v>
      </c>
      <c r="B766" s="20" t="s">
        <v>1841</v>
      </c>
      <c r="C766" s="20" t="s">
        <v>1841</v>
      </c>
      <c r="D766" s="94" t="s">
        <v>1423</v>
      </c>
      <c r="E766" s="20" t="s">
        <v>2058</v>
      </c>
      <c r="F766" s="20" t="s">
        <v>1845</v>
      </c>
      <c r="G766" s="31" t="s">
        <v>40</v>
      </c>
      <c r="H766" s="32">
        <v>1</v>
      </c>
      <c r="J766" s="32">
        <v>1</v>
      </c>
      <c r="O766" s="20">
        <v>0</v>
      </c>
      <c r="P766" s="20">
        <v>1</v>
      </c>
      <c r="Q766" s="20">
        <v>0</v>
      </c>
      <c r="R766" s="20">
        <v>0</v>
      </c>
      <c r="X766" s="20">
        <v>1</v>
      </c>
      <c r="Z766" s="20" t="s">
        <v>58</v>
      </c>
      <c r="AA766" s="20" t="s">
        <v>1862</v>
      </c>
      <c r="AB766" s="31">
        <f>VLOOKUP(AA766,Masters!$K$2:$L$183,2,FALSE)</f>
        <v>1004</v>
      </c>
      <c r="AC766" s="20" t="s">
        <v>2064</v>
      </c>
      <c r="AD766" s="20" t="s">
        <v>2061</v>
      </c>
      <c r="AE766" s="20">
        <v>23</v>
      </c>
      <c r="AF766" s="20">
        <v>12</v>
      </c>
      <c r="AG766" s="20">
        <v>2001</v>
      </c>
      <c r="AH766" s="21">
        <v>37248</v>
      </c>
    </row>
    <row r="767" spans="1:34" x14ac:dyDescent="0.25">
      <c r="A767" s="35">
        <v>1498</v>
      </c>
      <c r="B767" s="20" t="s">
        <v>1841</v>
      </c>
      <c r="C767" s="20" t="s">
        <v>1841</v>
      </c>
      <c r="D767" s="94" t="s">
        <v>1425</v>
      </c>
      <c r="E767" s="20" t="s">
        <v>126</v>
      </c>
      <c r="F767" s="20" t="s">
        <v>1847</v>
      </c>
      <c r="G767" s="31" t="s">
        <v>40</v>
      </c>
      <c r="H767" s="32">
        <v>1</v>
      </c>
      <c r="J767" s="32">
        <v>1</v>
      </c>
      <c r="O767" s="20">
        <v>0</v>
      </c>
      <c r="P767" s="20">
        <v>1</v>
      </c>
      <c r="Q767" s="20">
        <v>0</v>
      </c>
      <c r="R767" s="20">
        <v>0</v>
      </c>
      <c r="X767" s="20">
        <v>1</v>
      </c>
      <c r="Z767" s="20" t="s">
        <v>58</v>
      </c>
      <c r="AA767" s="20" t="s">
        <v>1859</v>
      </c>
      <c r="AB767" s="31">
        <f>VLOOKUP(AA767,Masters!$K$2:$L$183,2,FALSE)</f>
        <v>1001</v>
      </c>
      <c r="AC767" s="20" t="s">
        <v>2064</v>
      </c>
      <c r="AD767" s="20" t="s">
        <v>2061</v>
      </c>
      <c r="AE767" s="20">
        <v>6</v>
      </c>
      <c r="AF767" s="20">
        <v>7</v>
      </c>
      <c r="AG767" s="20">
        <v>2000</v>
      </c>
      <c r="AH767" s="21">
        <v>36713</v>
      </c>
    </row>
    <row r="768" spans="1:34" x14ac:dyDescent="0.25">
      <c r="A768" s="35">
        <v>1499</v>
      </c>
      <c r="B768" s="20" t="s">
        <v>1841</v>
      </c>
      <c r="C768" s="20" t="s">
        <v>1841</v>
      </c>
      <c r="D768" s="94" t="s">
        <v>1426</v>
      </c>
      <c r="E768" s="20" t="s">
        <v>2052</v>
      </c>
      <c r="F768" s="20" t="s">
        <v>1844</v>
      </c>
      <c r="G768" s="31" t="s">
        <v>40</v>
      </c>
      <c r="H768" s="32">
        <v>1</v>
      </c>
      <c r="J768" s="32">
        <v>1</v>
      </c>
      <c r="O768" s="20">
        <v>0</v>
      </c>
      <c r="P768" s="20">
        <v>1</v>
      </c>
      <c r="Q768" s="20">
        <v>0</v>
      </c>
      <c r="R768" s="20">
        <v>0</v>
      </c>
      <c r="X768" s="20">
        <v>1</v>
      </c>
      <c r="Z768" s="20" t="s">
        <v>100</v>
      </c>
      <c r="AA768" s="20" t="s">
        <v>1863</v>
      </c>
      <c r="AB768" s="31">
        <f>VLOOKUP(AA768,Masters!$K$2:$L$183,2,FALSE)</f>
        <v>1005</v>
      </c>
      <c r="AC768" s="20" t="s">
        <v>2064</v>
      </c>
      <c r="AD768" s="20" t="s">
        <v>2061</v>
      </c>
      <c r="AE768" s="20">
        <v>17</v>
      </c>
      <c r="AF768" s="20">
        <v>8</v>
      </c>
      <c r="AG768" s="20">
        <v>2000</v>
      </c>
      <c r="AH768" s="21">
        <v>36755</v>
      </c>
    </row>
    <row r="769" spans="1:34" x14ac:dyDescent="0.25">
      <c r="A769" s="35">
        <v>1500</v>
      </c>
      <c r="B769" s="20" t="s">
        <v>1841</v>
      </c>
      <c r="C769" s="20" t="s">
        <v>1841</v>
      </c>
      <c r="D769" s="94" t="s">
        <v>1427</v>
      </c>
      <c r="E769" s="20" t="s">
        <v>2054</v>
      </c>
      <c r="F769" s="20" t="s">
        <v>1844</v>
      </c>
      <c r="G769" s="31" t="s">
        <v>40</v>
      </c>
      <c r="H769" s="32">
        <v>1</v>
      </c>
      <c r="J769" s="32">
        <v>1</v>
      </c>
      <c r="O769" s="20">
        <v>0</v>
      </c>
      <c r="P769" s="20">
        <v>1</v>
      </c>
      <c r="Q769" s="20">
        <v>0</v>
      </c>
      <c r="R769" s="20">
        <v>0</v>
      </c>
      <c r="X769" s="20">
        <v>1</v>
      </c>
      <c r="Z769" s="20" t="s">
        <v>1857</v>
      </c>
      <c r="AA769" s="20" t="s">
        <v>1861</v>
      </c>
      <c r="AB769" s="31">
        <f>VLOOKUP(AA769,Masters!$K$2:$L$183,2,FALSE)</f>
        <v>1003</v>
      </c>
      <c r="AC769" s="20" t="s">
        <v>2063</v>
      </c>
      <c r="AD769" s="20" t="s">
        <v>2060</v>
      </c>
      <c r="AE769" s="20">
        <v>15</v>
      </c>
      <c r="AF769" s="20">
        <v>3</v>
      </c>
      <c r="AG769" s="20">
        <v>2002</v>
      </c>
      <c r="AH769" s="21">
        <v>37330</v>
      </c>
    </row>
    <row r="770" spans="1:34" x14ac:dyDescent="0.25">
      <c r="A770" s="35">
        <v>1505</v>
      </c>
      <c r="B770" s="20" t="s">
        <v>1841</v>
      </c>
      <c r="C770" s="20" t="s">
        <v>1841</v>
      </c>
      <c r="D770" s="94" t="s">
        <v>1432</v>
      </c>
      <c r="E770" s="20" t="s">
        <v>2050</v>
      </c>
      <c r="F770" s="20" t="s">
        <v>1843</v>
      </c>
      <c r="G770" s="31" t="s">
        <v>40</v>
      </c>
      <c r="H770" s="32">
        <v>1</v>
      </c>
      <c r="J770" s="32">
        <v>1</v>
      </c>
      <c r="O770" s="20">
        <v>0</v>
      </c>
      <c r="P770" s="20">
        <v>1</v>
      </c>
      <c r="Q770" s="20">
        <v>0</v>
      </c>
      <c r="R770" s="20">
        <v>0</v>
      </c>
      <c r="X770" s="20">
        <v>1</v>
      </c>
      <c r="Z770" s="20" t="s">
        <v>1854</v>
      </c>
      <c r="AA770" s="20" t="s">
        <v>1863</v>
      </c>
      <c r="AB770" s="31">
        <f>VLOOKUP(AA770,Masters!$K$2:$L$183,2,FALSE)</f>
        <v>1005</v>
      </c>
      <c r="AC770" s="20" t="s">
        <v>2063</v>
      </c>
      <c r="AD770" s="20" t="s">
        <v>2061</v>
      </c>
      <c r="AE770" s="20">
        <v>26</v>
      </c>
      <c r="AF770" s="20">
        <v>1</v>
      </c>
      <c r="AG770" s="20">
        <v>2004</v>
      </c>
      <c r="AH770" s="21">
        <v>38012</v>
      </c>
    </row>
    <row r="771" spans="1:34" x14ac:dyDescent="0.25">
      <c r="A771" s="35">
        <v>1506</v>
      </c>
      <c r="B771" s="20" t="s">
        <v>1841</v>
      </c>
      <c r="C771" s="20" t="s">
        <v>1841</v>
      </c>
      <c r="D771" s="94" t="s">
        <v>1433</v>
      </c>
      <c r="E771" s="20" t="s">
        <v>2051</v>
      </c>
      <c r="F771" s="20" t="s">
        <v>1843</v>
      </c>
      <c r="G771" s="31" t="s">
        <v>40</v>
      </c>
      <c r="H771" s="32">
        <v>1</v>
      </c>
      <c r="J771" s="32">
        <v>1</v>
      </c>
      <c r="O771" s="20">
        <v>0</v>
      </c>
      <c r="P771" s="20">
        <v>1</v>
      </c>
      <c r="Q771" s="20">
        <v>0</v>
      </c>
      <c r="R771" s="20">
        <v>0</v>
      </c>
      <c r="X771" s="20">
        <v>1</v>
      </c>
      <c r="Z771" s="20" t="s">
        <v>201</v>
      </c>
      <c r="AA771" s="20" t="s">
        <v>1860</v>
      </c>
      <c r="AB771" s="31">
        <f>VLOOKUP(AA771,Masters!$K$2:$L$183,2,FALSE)</f>
        <v>1002</v>
      </c>
      <c r="AC771" s="20" t="s">
        <v>2063</v>
      </c>
      <c r="AD771" s="20" t="s">
        <v>2060</v>
      </c>
      <c r="AE771" s="20">
        <v>28</v>
      </c>
      <c r="AF771" s="20">
        <v>12</v>
      </c>
      <c r="AG771" s="20">
        <v>2004</v>
      </c>
      <c r="AH771" s="21">
        <v>38349</v>
      </c>
    </row>
    <row r="772" spans="1:34" x14ac:dyDescent="0.25">
      <c r="A772" s="35">
        <v>1508</v>
      </c>
      <c r="B772" s="20" t="s">
        <v>1841</v>
      </c>
      <c r="C772" s="20" t="s">
        <v>1841</v>
      </c>
      <c r="D772" s="94" t="s">
        <v>1435</v>
      </c>
      <c r="E772" s="20" t="s">
        <v>2054</v>
      </c>
      <c r="F772" s="20" t="s">
        <v>1847</v>
      </c>
      <c r="G772" s="31" t="s">
        <v>40</v>
      </c>
      <c r="H772" s="32">
        <v>1</v>
      </c>
      <c r="J772" s="32">
        <v>1</v>
      </c>
      <c r="O772" s="20">
        <v>0</v>
      </c>
      <c r="P772" s="20">
        <v>1</v>
      </c>
      <c r="Q772" s="20">
        <v>0</v>
      </c>
      <c r="R772" s="20">
        <v>0</v>
      </c>
      <c r="X772" s="20">
        <v>1</v>
      </c>
      <c r="Z772" s="20" t="s">
        <v>201</v>
      </c>
      <c r="AA772" s="20" t="s">
        <v>1862</v>
      </c>
      <c r="AB772" s="31">
        <f>VLOOKUP(AA772,Masters!$K$2:$L$183,2,FALSE)</f>
        <v>1004</v>
      </c>
      <c r="AC772" s="20" t="s">
        <v>2063</v>
      </c>
      <c r="AD772" s="20" t="s">
        <v>2060</v>
      </c>
      <c r="AE772" s="20">
        <v>5</v>
      </c>
      <c r="AF772" s="20">
        <v>12</v>
      </c>
      <c r="AG772" s="20">
        <v>2001</v>
      </c>
      <c r="AH772" s="21">
        <v>37230</v>
      </c>
    </row>
    <row r="773" spans="1:34" x14ac:dyDescent="0.25">
      <c r="A773" s="35">
        <v>1509</v>
      </c>
      <c r="B773" s="20" t="s">
        <v>1841</v>
      </c>
      <c r="C773" s="20" t="s">
        <v>1841</v>
      </c>
      <c r="D773" s="94" t="s">
        <v>1436</v>
      </c>
      <c r="E773" s="20" t="s">
        <v>2050</v>
      </c>
      <c r="F773" s="20" t="s">
        <v>1844</v>
      </c>
      <c r="G773" s="31" t="s">
        <v>40</v>
      </c>
      <c r="H773" s="32">
        <v>1</v>
      </c>
      <c r="J773" s="32">
        <v>1</v>
      </c>
      <c r="O773" s="20">
        <v>0</v>
      </c>
      <c r="P773" s="20">
        <v>1</v>
      </c>
      <c r="Q773" s="20">
        <v>0</v>
      </c>
      <c r="R773" s="20">
        <v>0</v>
      </c>
      <c r="X773" s="20">
        <v>1</v>
      </c>
      <c r="Z773" s="20" t="s">
        <v>78</v>
      </c>
      <c r="AA773" s="20" t="s">
        <v>1859</v>
      </c>
      <c r="AB773" s="31">
        <f>VLOOKUP(AA773,Masters!$K$2:$L$183,2,FALSE)</f>
        <v>1001</v>
      </c>
      <c r="AC773" s="20" t="s">
        <v>2063</v>
      </c>
      <c r="AD773" s="20" t="s">
        <v>2060</v>
      </c>
      <c r="AE773" s="20">
        <v>18</v>
      </c>
      <c r="AF773" s="20">
        <v>4</v>
      </c>
      <c r="AG773" s="20">
        <v>2001</v>
      </c>
      <c r="AH773" s="21">
        <v>36999</v>
      </c>
    </row>
    <row r="774" spans="1:34" x14ac:dyDescent="0.25">
      <c r="A774" s="35">
        <v>1512</v>
      </c>
      <c r="B774" s="20" t="s">
        <v>1841</v>
      </c>
      <c r="C774" s="20" t="s">
        <v>1841</v>
      </c>
      <c r="D774" s="94" t="s">
        <v>1439</v>
      </c>
      <c r="E774" s="20" t="s">
        <v>2051</v>
      </c>
      <c r="F774" s="20" t="s">
        <v>1845</v>
      </c>
      <c r="G774" s="31" t="s">
        <v>40</v>
      </c>
      <c r="H774" s="32">
        <v>1</v>
      </c>
      <c r="J774" s="32">
        <v>1</v>
      </c>
      <c r="O774" s="20">
        <v>0</v>
      </c>
      <c r="P774" s="20">
        <v>1</v>
      </c>
      <c r="Q774" s="20">
        <v>0</v>
      </c>
      <c r="R774" s="20">
        <v>0</v>
      </c>
      <c r="X774" s="20">
        <v>1</v>
      </c>
      <c r="Z774" s="20" t="s">
        <v>1856</v>
      </c>
      <c r="AA774" s="20" t="s">
        <v>1859</v>
      </c>
      <c r="AB774" s="31">
        <f>VLOOKUP(AA774,Masters!$K$2:$L$183,2,FALSE)</f>
        <v>1001</v>
      </c>
      <c r="AC774" s="20" t="s">
        <v>2063</v>
      </c>
      <c r="AD774" s="20" t="s">
        <v>2060</v>
      </c>
      <c r="AE774" s="20">
        <v>1</v>
      </c>
      <c r="AF774" s="20">
        <v>7</v>
      </c>
      <c r="AG774" s="20">
        <v>2000</v>
      </c>
      <c r="AH774" s="21">
        <v>36708</v>
      </c>
    </row>
    <row r="775" spans="1:34" x14ac:dyDescent="0.25">
      <c r="A775" s="35">
        <v>1513</v>
      </c>
      <c r="B775" s="20" t="s">
        <v>1841</v>
      </c>
      <c r="C775" s="20" t="s">
        <v>1841</v>
      </c>
      <c r="D775" s="94" t="s">
        <v>1440</v>
      </c>
      <c r="E775" s="20" t="s">
        <v>126</v>
      </c>
      <c r="F775" s="20" t="s">
        <v>1846</v>
      </c>
      <c r="G775" s="31" t="s">
        <v>40</v>
      </c>
      <c r="H775" s="32">
        <v>1</v>
      </c>
      <c r="J775" s="32">
        <v>1</v>
      </c>
      <c r="O775" s="20">
        <v>0</v>
      </c>
      <c r="P775" s="20">
        <v>1</v>
      </c>
      <c r="Q775" s="20">
        <v>0</v>
      </c>
      <c r="R775" s="20">
        <v>0</v>
      </c>
      <c r="X775" s="20">
        <v>1</v>
      </c>
      <c r="Z775" s="20" t="s">
        <v>201</v>
      </c>
      <c r="AA775" s="20" t="s">
        <v>1862</v>
      </c>
      <c r="AB775" s="31">
        <f>VLOOKUP(AA775,Masters!$K$2:$L$183,2,FALSE)</f>
        <v>1004</v>
      </c>
      <c r="AC775" s="20" t="s">
        <v>2063</v>
      </c>
      <c r="AD775" s="20" t="s">
        <v>2060</v>
      </c>
      <c r="AE775" s="20">
        <v>11</v>
      </c>
      <c r="AF775" s="20">
        <v>4</v>
      </c>
      <c r="AG775" s="20">
        <v>2001</v>
      </c>
      <c r="AH775" s="21">
        <v>36992</v>
      </c>
    </row>
    <row r="776" spans="1:34" x14ac:dyDescent="0.25">
      <c r="A776" s="35">
        <v>1519</v>
      </c>
      <c r="B776" s="20" t="s">
        <v>1841</v>
      </c>
      <c r="C776" s="20" t="s">
        <v>1841</v>
      </c>
      <c r="D776" s="94" t="s">
        <v>1446</v>
      </c>
      <c r="E776" s="20" t="s">
        <v>2050</v>
      </c>
      <c r="F776" s="20" t="s">
        <v>1843</v>
      </c>
      <c r="G776" s="31" t="s">
        <v>40</v>
      </c>
      <c r="H776" s="32">
        <v>1</v>
      </c>
      <c r="J776" s="32">
        <v>1</v>
      </c>
      <c r="O776" s="20">
        <v>0</v>
      </c>
      <c r="P776" s="20">
        <v>1</v>
      </c>
      <c r="Q776" s="20">
        <v>0</v>
      </c>
      <c r="R776" s="20">
        <v>0</v>
      </c>
      <c r="X776" s="20">
        <v>1</v>
      </c>
      <c r="Z776" s="20" t="s">
        <v>78</v>
      </c>
      <c r="AA776" s="20" t="s">
        <v>1863</v>
      </c>
      <c r="AB776" s="31">
        <f>VLOOKUP(AA776,Masters!$K$2:$L$183,2,FALSE)</f>
        <v>1005</v>
      </c>
      <c r="AC776" s="20" t="s">
        <v>2063</v>
      </c>
      <c r="AD776" s="20" t="s">
        <v>2060</v>
      </c>
      <c r="AE776" s="20">
        <v>12</v>
      </c>
      <c r="AF776" s="20">
        <v>1</v>
      </c>
      <c r="AG776" s="20">
        <v>2003</v>
      </c>
      <c r="AH776" s="21">
        <v>37633</v>
      </c>
    </row>
    <row r="777" spans="1:34" x14ac:dyDescent="0.25">
      <c r="A777" s="35">
        <v>1520</v>
      </c>
      <c r="B777" s="20" t="s">
        <v>1841</v>
      </c>
      <c r="C777" s="20" t="s">
        <v>1841</v>
      </c>
      <c r="D777" s="94" t="s">
        <v>1447</v>
      </c>
      <c r="E777" s="20" t="s">
        <v>2055</v>
      </c>
      <c r="F777" s="20" t="s">
        <v>1847</v>
      </c>
      <c r="G777" s="31" t="s">
        <v>40</v>
      </c>
      <c r="H777" s="32">
        <v>1</v>
      </c>
      <c r="J777" s="32">
        <v>1</v>
      </c>
      <c r="O777" s="20">
        <v>0</v>
      </c>
      <c r="P777" s="20">
        <v>1</v>
      </c>
      <c r="Q777" s="20">
        <v>0</v>
      </c>
      <c r="R777" s="20">
        <v>0</v>
      </c>
      <c r="X777" s="20">
        <v>1</v>
      </c>
      <c r="Z777" s="20" t="s">
        <v>1853</v>
      </c>
      <c r="AA777" s="20" t="s">
        <v>1862</v>
      </c>
      <c r="AB777" s="31">
        <f>VLOOKUP(AA777,Masters!$K$2:$L$183,2,FALSE)</f>
        <v>1004</v>
      </c>
      <c r="AC777" s="20" t="s">
        <v>2064</v>
      </c>
      <c r="AD777" s="20" t="s">
        <v>2061</v>
      </c>
      <c r="AE777" s="20">
        <v>10</v>
      </c>
      <c r="AF777" s="20">
        <v>4</v>
      </c>
      <c r="AG777" s="20">
        <v>2005</v>
      </c>
      <c r="AH777" s="21">
        <v>38452</v>
      </c>
    </row>
    <row r="778" spans="1:34" x14ac:dyDescent="0.25">
      <c r="A778" s="35">
        <v>1524</v>
      </c>
      <c r="B778" s="20" t="s">
        <v>1841</v>
      </c>
      <c r="C778" s="20" t="s">
        <v>1841</v>
      </c>
      <c r="D778" s="94" t="s">
        <v>1451</v>
      </c>
      <c r="E778" s="20" t="s">
        <v>126</v>
      </c>
      <c r="F778" s="20" t="s">
        <v>1845</v>
      </c>
      <c r="G778" s="31" t="s">
        <v>40</v>
      </c>
      <c r="H778" s="32">
        <v>1</v>
      </c>
      <c r="J778" s="32">
        <v>1</v>
      </c>
      <c r="O778" s="20">
        <v>0</v>
      </c>
      <c r="P778" s="20">
        <v>1</v>
      </c>
      <c r="Q778" s="20">
        <v>0</v>
      </c>
      <c r="R778" s="20">
        <v>0</v>
      </c>
      <c r="X778" s="20">
        <v>1</v>
      </c>
      <c r="Z778" s="20" t="s">
        <v>1848</v>
      </c>
      <c r="AA778" s="20" t="s">
        <v>1860</v>
      </c>
      <c r="AB778" s="31">
        <f>VLOOKUP(AA778,Masters!$K$2:$L$183,2,FALSE)</f>
        <v>1002</v>
      </c>
      <c r="AC778" s="20" t="s">
        <v>2063</v>
      </c>
      <c r="AD778" s="20" t="s">
        <v>2060</v>
      </c>
      <c r="AE778" s="20">
        <v>28</v>
      </c>
      <c r="AF778" s="20">
        <v>8</v>
      </c>
      <c r="AG778" s="20">
        <v>2002</v>
      </c>
      <c r="AH778" s="21">
        <v>37496</v>
      </c>
    </row>
    <row r="779" spans="1:34" x14ac:dyDescent="0.25">
      <c r="A779" s="35">
        <v>1525</v>
      </c>
      <c r="B779" s="20" t="s">
        <v>1841</v>
      </c>
      <c r="C779" s="20" t="s">
        <v>1841</v>
      </c>
      <c r="D779" s="94" t="s">
        <v>1452</v>
      </c>
      <c r="E779" s="20" t="s">
        <v>2057</v>
      </c>
      <c r="F779" s="20" t="s">
        <v>1844</v>
      </c>
      <c r="G779" s="31" t="s">
        <v>40</v>
      </c>
      <c r="H779" s="32">
        <v>1</v>
      </c>
      <c r="J779" s="32">
        <v>1</v>
      </c>
      <c r="O779" s="20">
        <v>0</v>
      </c>
      <c r="P779" s="20">
        <v>1</v>
      </c>
      <c r="Q779" s="20">
        <v>0</v>
      </c>
      <c r="R779" s="20">
        <v>0</v>
      </c>
      <c r="X779" s="20">
        <v>1</v>
      </c>
      <c r="Z779" s="20" t="s">
        <v>1851</v>
      </c>
      <c r="AA779" s="20" t="s">
        <v>1859</v>
      </c>
      <c r="AB779" s="31">
        <f>VLOOKUP(AA779,Masters!$K$2:$L$183,2,FALSE)</f>
        <v>1001</v>
      </c>
      <c r="AC779" s="20" t="s">
        <v>2063</v>
      </c>
      <c r="AD779" s="20" t="s">
        <v>2060</v>
      </c>
      <c r="AE779" s="20">
        <v>26</v>
      </c>
      <c r="AF779" s="20">
        <v>4</v>
      </c>
      <c r="AG779" s="20">
        <v>2003</v>
      </c>
      <c r="AH779" s="21">
        <v>37737</v>
      </c>
    </row>
    <row r="780" spans="1:34" x14ac:dyDescent="0.25">
      <c r="A780" s="35">
        <v>1528</v>
      </c>
      <c r="B780" s="20" t="s">
        <v>1841</v>
      </c>
      <c r="C780" s="20" t="s">
        <v>1841</v>
      </c>
      <c r="D780" s="94" t="s">
        <v>1455</v>
      </c>
      <c r="E780" s="20" t="s">
        <v>2055</v>
      </c>
      <c r="F780" s="20" t="s">
        <v>1845</v>
      </c>
      <c r="G780" s="31" t="s">
        <v>40</v>
      </c>
      <c r="H780" s="32">
        <v>1</v>
      </c>
      <c r="J780" s="32">
        <v>1</v>
      </c>
      <c r="O780" s="20">
        <v>0</v>
      </c>
      <c r="P780" s="20">
        <v>1</v>
      </c>
      <c r="Q780" s="20">
        <v>0</v>
      </c>
      <c r="R780" s="20">
        <v>0</v>
      </c>
      <c r="X780" s="20">
        <v>1</v>
      </c>
      <c r="Z780" s="20" t="s">
        <v>78</v>
      </c>
      <c r="AA780" s="20" t="s">
        <v>1860</v>
      </c>
      <c r="AB780" s="31">
        <f>VLOOKUP(AA780,Masters!$K$2:$L$183,2,FALSE)</f>
        <v>1002</v>
      </c>
      <c r="AC780" s="20" t="s">
        <v>2064</v>
      </c>
      <c r="AD780" s="20" t="s">
        <v>2061</v>
      </c>
      <c r="AE780" s="20">
        <v>12</v>
      </c>
      <c r="AF780" s="20">
        <v>6</v>
      </c>
      <c r="AG780" s="20">
        <v>2004</v>
      </c>
      <c r="AH780" s="21">
        <v>38150</v>
      </c>
    </row>
    <row r="781" spans="1:34" x14ac:dyDescent="0.25">
      <c r="A781" s="35">
        <v>1529</v>
      </c>
      <c r="B781" s="20" t="s">
        <v>1841</v>
      </c>
      <c r="C781" s="20" t="s">
        <v>1841</v>
      </c>
      <c r="D781" s="94" t="s">
        <v>1456</v>
      </c>
      <c r="E781" s="20" t="s">
        <v>133</v>
      </c>
      <c r="F781" s="20" t="s">
        <v>1845</v>
      </c>
      <c r="G781" s="31" t="s">
        <v>40</v>
      </c>
      <c r="H781" s="32">
        <v>1</v>
      </c>
      <c r="J781" s="32">
        <v>1</v>
      </c>
      <c r="O781" s="20">
        <v>0</v>
      </c>
      <c r="P781" s="20">
        <v>1</v>
      </c>
      <c r="Q781" s="20">
        <v>0</v>
      </c>
      <c r="R781" s="20">
        <v>0</v>
      </c>
      <c r="X781" s="20">
        <v>1</v>
      </c>
      <c r="Z781" s="20" t="s">
        <v>1832</v>
      </c>
      <c r="AA781" s="20" t="s">
        <v>1859</v>
      </c>
      <c r="AB781" s="31">
        <f>VLOOKUP(AA781,Masters!$K$2:$L$183,2,FALSE)</f>
        <v>1001</v>
      </c>
      <c r="AC781" s="20" t="s">
        <v>2063</v>
      </c>
      <c r="AD781" s="20" t="s">
        <v>2060</v>
      </c>
      <c r="AE781" s="20">
        <v>21</v>
      </c>
      <c r="AF781" s="20">
        <v>5</v>
      </c>
      <c r="AG781" s="20">
        <v>2002</v>
      </c>
      <c r="AH781" s="21">
        <v>37397</v>
      </c>
    </row>
    <row r="782" spans="1:34" x14ac:dyDescent="0.25">
      <c r="A782" s="35">
        <v>1530</v>
      </c>
      <c r="B782" s="20" t="s">
        <v>1841</v>
      </c>
      <c r="C782" s="20" t="s">
        <v>1841</v>
      </c>
      <c r="D782" s="94" t="s">
        <v>1457</v>
      </c>
      <c r="E782" s="20" t="s">
        <v>133</v>
      </c>
      <c r="F782" s="20" t="s">
        <v>1846</v>
      </c>
      <c r="G782" s="31" t="s">
        <v>40</v>
      </c>
      <c r="H782" s="32">
        <v>1</v>
      </c>
      <c r="J782" s="32">
        <v>1</v>
      </c>
      <c r="O782" s="20">
        <v>0</v>
      </c>
      <c r="P782" s="20">
        <v>1</v>
      </c>
      <c r="Q782" s="20">
        <v>0</v>
      </c>
      <c r="R782" s="20">
        <v>0</v>
      </c>
      <c r="X782" s="20">
        <v>1</v>
      </c>
      <c r="Z782" s="20" t="s">
        <v>1858</v>
      </c>
      <c r="AA782" s="20" t="s">
        <v>1860</v>
      </c>
      <c r="AB782" s="31">
        <f>VLOOKUP(AA782,Masters!$K$2:$L$183,2,FALSE)</f>
        <v>1002</v>
      </c>
      <c r="AC782" s="20" t="s">
        <v>2063</v>
      </c>
      <c r="AD782" s="20" t="s">
        <v>2060</v>
      </c>
      <c r="AE782" s="20">
        <v>13</v>
      </c>
      <c r="AF782" s="20">
        <v>4</v>
      </c>
      <c r="AG782" s="20">
        <v>2001</v>
      </c>
      <c r="AH782" s="21">
        <v>36994</v>
      </c>
    </row>
    <row r="783" spans="1:34" x14ac:dyDescent="0.25">
      <c r="A783" s="35">
        <v>1536</v>
      </c>
      <c r="B783" s="20" t="s">
        <v>1841</v>
      </c>
      <c r="C783" s="20" t="s">
        <v>1841</v>
      </c>
      <c r="D783" s="94" t="s">
        <v>1463</v>
      </c>
      <c r="E783" s="20" t="s">
        <v>2059</v>
      </c>
      <c r="F783" s="20" t="s">
        <v>1847</v>
      </c>
      <c r="G783" s="31" t="s">
        <v>40</v>
      </c>
      <c r="H783" s="32">
        <v>1</v>
      </c>
      <c r="J783" s="32">
        <v>1</v>
      </c>
      <c r="O783" s="20">
        <v>0</v>
      </c>
      <c r="P783" s="20">
        <v>1</v>
      </c>
      <c r="Q783" s="20">
        <v>0</v>
      </c>
      <c r="R783" s="20">
        <v>0</v>
      </c>
      <c r="X783" s="20">
        <v>1</v>
      </c>
      <c r="Z783" s="20" t="s">
        <v>1852</v>
      </c>
      <c r="AA783" s="20" t="s">
        <v>1863</v>
      </c>
      <c r="AB783" s="31">
        <f>VLOOKUP(AA783,Masters!$K$2:$L$183,2,FALSE)</f>
        <v>1005</v>
      </c>
      <c r="AC783" s="20" t="s">
        <v>2063</v>
      </c>
      <c r="AD783" s="20" t="s">
        <v>2060</v>
      </c>
      <c r="AE783" s="20">
        <v>22</v>
      </c>
      <c r="AF783" s="20">
        <v>2</v>
      </c>
      <c r="AG783" s="20">
        <v>2004</v>
      </c>
      <c r="AH783" s="21">
        <v>38039</v>
      </c>
    </row>
    <row r="784" spans="1:34" x14ac:dyDescent="0.25">
      <c r="A784" s="35">
        <v>1540</v>
      </c>
      <c r="B784" s="20" t="s">
        <v>1841</v>
      </c>
      <c r="C784" s="20" t="s">
        <v>1841</v>
      </c>
      <c r="D784" s="94" t="s">
        <v>1467</v>
      </c>
      <c r="E784" s="20" t="s">
        <v>133</v>
      </c>
      <c r="F784" s="20" t="s">
        <v>1846</v>
      </c>
      <c r="G784" s="31" t="s">
        <v>40</v>
      </c>
      <c r="H784" s="32">
        <v>1</v>
      </c>
      <c r="J784" s="32">
        <v>1</v>
      </c>
      <c r="O784" s="20">
        <v>0</v>
      </c>
      <c r="P784" s="20">
        <v>1</v>
      </c>
      <c r="Q784" s="20">
        <v>0</v>
      </c>
      <c r="R784" s="20">
        <v>0</v>
      </c>
      <c r="X784" s="20">
        <v>1</v>
      </c>
      <c r="Z784" s="20" t="s">
        <v>1858</v>
      </c>
      <c r="AA784" s="20" t="s">
        <v>1860</v>
      </c>
      <c r="AB784" s="31">
        <f>VLOOKUP(AA784,Masters!$K$2:$L$183,2,FALSE)</f>
        <v>1002</v>
      </c>
      <c r="AC784" s="20" t="s">
        <v>2063</v>
      </c>
      <c r="AD784" s="20" t="s">
        <v>2060</v>
      </c>
      <c r="AE784" s="20">
        <v>11</v>
      </c>
      <c r="AF784" s="20">
        <v>1</v>
      </c>
      <c r="AG784" s="20">
        <v>2000</v>
      </c>
      <c r="AH784" s="21">
        <v>36536</v>
      </c>
    </row>
    <row r="785" spans="1:34" x14ac:dyDescent="0.25">
      <c r="A785" s="35">
        <v>1541</v>
      </c>
      <c r="B785" s="20" t="s">
        <v>1841</v>
      </c>
      <c r="C785" s="20" t="s">
        <v>1841</v>
      </c>
      <c r="D785" s="94" t="s">
        <v>1468</v>
      </c>
      <c r="E785" s="20" t="s">
        <v>2058</v>
      </c>
      <c r="F785" s="20" t="s">
        <v>1846</v>
      </c>
      <c r="G785" s="31" t="s">
        <v>40</v>
      </c>
      <c r="H785" s="32">
        <v>1</v>
      </c>
      <c r="J785" s="32">
        <v>1</v>
      </c>
      <c r="O785" s="20">
        <v>0</v>
      </c>
      <c r="P785" s="20">
        <v>1</v>
      </c>
      <c r="Q785" s="20">
        <v>0</v>
      </c>
      <c r="R785" s="20">
        <v>0</v>
      </c>
      <c r="X785" s="20">
        <v>1</v>
      </c>
      <c r="Z785" s="20" t="s">
        <v>1855</v>
      </c>
      <c r="AA785" s="20" t="s">
        <v>1861</v>
      </c>
      <c r="AB785" s="31">
        <f>VLOOKUP(AA785,Masters!$K$2:$L$183,2,FALSE)</f>
        <v>1003</v>
      </c>
      <c r="AC785" s="20" t="s">
        <v>2063</v>
      </c>
      <c r="AD785" s="20" t="s">
        <v>2060</v>
      </c>
      <c r="AE785" s="20">
        <v>26</v>
      </c>
      <c r="AF785" s="20">
        <v>9</v>
      </c>
      <c r="AG785" s="20">
        <v>2002</v>
      </c>
      <c r="AH785" s="21">
        <v>37525</v>
      </c>
    </row>
    <row r="786" spans="1:34" x14ac:dyDescent="0.25">
      <c r="A786" s="35">
        <v>1542</v>
      </c>
      <c r="B786" s="20" t="s">
        <v>1841</v>
      </c>
      <c r="C786" s="20" t="s">
        <v>1841</v>
      </c>
      <c r="D786" s="94" t="s">
        <v>1469</v>
      </c>
      <c r="E786" s="20" t="s">
        <v>2054</v>
      </c>
      <c r="F786" s="20" t="s">
        <v>1845</v>
      </c>
      <c r="G786" s="31" t="s">
        <v>40</v>
      </c>
      <c r="H786" s="32">
        <v>1</v>
      </c>
      <c r="J786" s="32">
        <v>1</v>
      </c>
      <c r="O786" s="20">
        <v>0</v>
      </c>
      <c r="P786" s="20">
        <v>1</v>
      </c>
      <c r="Q786" s="20">
        <v>0</v>
      </c>
      <c r="R786" s="20">
        <v>0</v>
      </c>
      <c r="X786" s="20">
        <v>1</v>
      </c>
      <c r="Z786" s="20" t="s">
        <v>1857</v>
      </c>
      <c r="AA786" s="20" t="s">
        <v>1863</v>
      </c>
      <c r="AB786" s="31">
        <f>VLOOKUP(AA786,Masters!$K$2:$L$183,2,FALSE)</f>
        <v>1005</v>
      </c>
      <c r="AC786" s="20" t="s">
        <v>2063</v>
      </c>
      <c r="AD786" s="20" t="s">
        <v>2060</v>
      </c>
      <c r="AE786" s="20">
        <v>15</v>
      </c>
      <c r="AF786" s="20">
        <v>12</v>
      </c>
      <c r="AG786" s="20">
        <v>2000</v>
      </c>
      <c r="AH786" s="21">
        <v>36875</v>
      </c>
    </row>
    <row r="787" spans="1:34" x14ac:dyDescent="0.25">
      <c r="A787" s="35">
        <v>1543</v>
      </c>
      <c r="B787" s="20" t="s">
        <v>1841</v>
      </c>
      <c r="C787" s="20" t="s">
        <v>1841</v>
      </c>
      <c r="D787" s="94" t="s">
        <v>1470</v>
      </c>
      <c r="E787" s="20" t="s">
        <v>133</v>
      </c>
      <c r="F787" s="20" t="s">
        <v>1844</v>
      </c>
      <c r="G787" s="31" t="s">
        <v>40</v>
      </c>
      <c r="H787" s="32">
        <v>1</v>
      </c>
      <c r="J787" s="32">
        <v>1</v>
      </c>
      <c r="O787" s="20">
        <v>0</v>
      </c>
      <c r="P787" s="20">
        <v>1</v>
      </c>
      <c r="Q787" s="20">
        <v>0</v>
      </c>
      <c r="R787" s="20">
        <v>0</v>
      </c>
      <c r="X787" s="20">
        <v>1</v>
      </c>
      <c r="Z787" s="20" t="s">
        <v>1849</v>
      </c>
      <c r="AA787" s="20" t="s">
        <v>1861</v>
      </c>
      <c r="AB787" s="31">
        <f>VLOOKUP(AA787,Masters!$K$2:$L$183,2,FALSE)</f>
        <v>1003</v>
      </c>
      <c r="AC787" s="20" t="s">
        <v>2063</v>
      </c>
      <c r="AD787" s="20" t="s">
        <v>2060</v>
      </c>
      <c r="AE787" s="20">
        <v>20</v>
      </c>
      <c r="AF787" s="20">
        <v>3</v>
      </c>
      <c r="AG787" s="20">
        <v>2000</v>
      </c>
      <c r="AH787" s="21">
        <v>36605</v>
      </c>
    </row>
    <row r="788" spans="1:34" x14ac:dyDescent="0.25">
      <c r="A788" s="35">
        <v>1544</v>
      </c>
      <c r="B788" s="20" t="s">
        <v>1841</v>
      </c>
      <c r="C788" s="20" t="s">
        <v>1841</v>
      </c>
      <c r="D788" s="94" t="s">
        <v>1471</v>
      </c>
      <c r="E788" s="20" t="s">
        <v>2058</v>
      </c>
      <c r="F788" s="20" t="s">
        <v>1846</v>
      </c>
      <c r="G788" s="31" t="s">
        <v>40</v>
      </c>
      <c r="H788" s="32">
        <v>1</v>
      </c>
      <c r="J788" s="32">
        <v>1</v>
      </c>
      <c r="O788" s="20">
        <v>0</v>
      </c>
      <c r="P788" s="20">
        <v>1</v>
      </c>
      <c r="Q788" s="20">
        <v>0</v>
      </c>
      <c r="R788" s="20">
        <v>0</v>
      </c>
      <c r="X788" s="20">
        <v>1</v>
      </c>
      <c r="Z788" s="20" t="s">
        <v>1849</v>
      </c>
      <c r="AA788" s="20" t="s">
        <v>1862</v>
      </c>
      <c r="AB788" s="31">
        <f>VLOOKUP(AA788,Masters!$K$2:$L$183,2,FALSE)</f>
        <v>1004</v>
      </c>
      <c r="AC788" s="20" t="s">
        <v>2063</v>
      </c>
      <c r="AD788" s="20" t="s">
        <v>2060</v>
      </c>
      <c r="AE788" s="20">
        <v>23</v>
      </c>
      <c r="AF788" s="20">
        <v>5</v>
      </c>
      <c r="AG788" s="20">
        <v>2000</v>
      </c>
      <c r="AH788" s="21">
        <v>36669</v>
      </c>
    </row>
    <row r="789" spans="1:34" x14ac:dyDescent="0.25">
      <c r="A789" s="35">
        <v>1545</v>
      </c>
      <c r="B789" s="20" t="s">
        <v>1841</v>
      </c>
      <c r="C789" s="20" t="s">
        <v>1841</v>
      </c>
      <c r="D789" s="94" t="s">
        <v>1472</v>
      </c>
      <c r="E789" s="20" t="s">
        <v>126</v>
      </c>
      <c r="F789" s="20" t="s">
        <v>1846</v>
      </c>
      <c r="G789" s="31" t="s">
        <v>40</v>
      </c>
      <c r="H789" s="32">
        <v>1</v>
      </c>
      <c r="J789" s="32">
        <v>1</v>
      </c>
      <c r="O789" s="20">
        <v>0</v>
      </c>
      <c r="P789" s="20">
        <v>1</v>
      </c>
      <c r="Q789" s="20">
        <v>0</v>
      </c>
      <c r="R789" s="20">
        <v>0</v>
      </c>
      <c r="X789" s="20">
        <v>1</v>
      </c>
      <c r="Z789" s="20" t="s">
        <v>201</v>
      </c>
      <c r="AA789" s="20" t="s">
        <v>1860</v>
      </c>
      <c r="AB789" s="31">
        <f>VLOOKUP(AA789,Masters!$K$2:$L$183,2,FALSE)</f>
        <v>1002</v>
      </c>
      <c r="AC789" s="20" t="s">
        <v>2064</v>
      </c>
      <c r="AD789" s="20" t="s">
        <v>2061</v>
      </c>
      <c r="AE789" s="20">
        <v>9</v>
      </c>
      <c r="AF789" s="20">
        <v>8</v>
      </c>
      <c r="AG789" s="20">
        <v>2001</v>
      </c>
      <c r="AH789" s="21">
        <v>37112</v>
      </c>
    </row>
    <row r="790" spans="1:34" x14ac:dyDescent="0.25">
      <c r="A790" s="35">
        <v>1550</v>
      </c>
      <c r="B790" s="20" t="s">
        <v>1841</v>
      </c>
      <c r="C790" s="20" t="s">
        <v>1841</v>
      </c>
      <c r="D790" s="94" t="s">
        <v>1477</v>
      </c>
      <c r="E790" s="20" t="s">
        <v>133</v>
      </c>
      <c r="F790" s="20" t="s">
        <v>1844</v>
      </c>
      <c r="G790" s="31" t="s">
        <v>40</v>
      </c>
      <c r="H790" s="32">
        <v>1</v>
      </c>
      <c r="J790" s="32">
        <v>1</v>
      </c>
      <c r="O790" s="20">
        <v>0</v>
      </c>
      <c r="P790" s="20">
        <v>1</v>
      </c>
      <c r="Q790" s="20">
        <v>0</v>
      </c>
      <c r="R790" s="20">
        <v>0</v>
      </c>
      <c r="X790" s="20">
        <v>1</v>
      </c>
      <c r="Z790" s="20" t="s">
        <v>1832</v>
      </c>
      <c r="AA790" s="20" t="s">
        <v>1859</v>
      </c>
      <c r="AB790" s="31">
        <f>VLOOKUP(AA790,Masters!$K$2:$L$183,2,FALSE)</f>
        <v>1001</v>
      </c>
      <c r="AC790" s="20" t="s">
        <v>2064</v>
      </c>
      <c r="AD790" s="20" t="s">
        <v>2061</v>
      </c>
      <c r="AE790" s="20">
        <v>6</v>
      </c>
      <c r="AF790" s="20">
        <v>12</v>
      </c>
      <c r="AG790" s="20">
        <v>2004</v>
      </c>
      <c r="AH790" s="21">
        <v>38327</v>
      </c>
    </row>
    <row r="791" spans="1:34" x14ac:dyDescent="0.25">
      <c r="A791" s="35">
        <v>1552</v>
      </c>
      <c r="B791" s="20" t="s">
        <v>1841</v>
      </c>
      <c r="C791" s="20" t="s">
        <v>1841</v>
      </c>
      <c r="D791" s="94" t="s">
        <v>1479</v>
      </c>
      <c r="E791" s="20" t="s">
        <v>2057</v>
      </c>
      <c r="F791" s="20" t="s">
        <v>1846</v>
      </c>
      <c r="G791" s="31" t="s">
        <v>40</v>
      </c>
      <c r="H791" s="32">
        <v>1</v>
      </c>
      <c r="J791" s="32">
        <v>1</v>
      </c>
      <c r="O791" s="20">
        <v>0</v>
      </c>
      <c r="P791" s="20">
        <v>1</v>
      </c>
      <c r="Q791" s="20">
        <v>0</v>
      </c>
      <c r="R791" s="20">
        <v>0</v>
      </c>
      <c r="X791" s="20">
        <v>1</v>
      </c>
      <c r="Z791" s="20" t="s">
        <v>1850</v>
      </c>
      <c r="AA791" s="20" t="s">
        <v>1862</v>
      </c>
      <c r="AB791" s="31">
        <f>VLOOKUP(AA791,Masters!$K$2:$L$183,2,FALSE)</f>
        <v>1004</v>
      </c>
      <c r="AC791" s="20" t="s">
        <v>2063</v>
      </c>
      <c r="AD791" s="20" t="s">
        <v>2060</v>
      </c>
      <c r="AE791" s="20">
        <v>17</v>
      </c>
      <c r="AF791" s="20">
        <v>2</v>
      </c>
      <c r="AG791" s="20">
        <v>2005</v>
      </c>
      <c r="AH791" s="21">
        <v>38400</v>
      </c>
    </row>
    <row r="792" spans="1:34" x14ac:dyDescent="0.25">
      <c r="A792" s="35">
        <v>1554</v>
      </c>
      <c r="B792" s="20" t="s">
        <v>1841</v>
      </c>
      <c r="C792" s="20" t="s">
        <v>1841</v>
      </c>
      <c r="D792" s="94" t="s">
        <v>1481</v>
      </c>
      <c r="E792" s="20" t="s">
        <v>2051</v>
      </c>
      <c r="F792" s="20" t="s">
        <v>1847</v>
      </c>
      <c r="G792" s="31" t="s">
        <v>40</v>
      </c>
      <c r="H792" s="32">
        <v>1</v>
      </c>
      <c r="J792" s="32">
        <v>1</v>
      </c>
      <c r="O792" s="20">
        <v>0</v>
      </c>
      <c r="P792" s="20">
        <v>1</v>
      </c>
      <c r="Q792" s="20">
        <v>0</v>
      </c>
      <c r="R792" s="20">
        <v>0</v>
      </c>
      <c r="X792" s="20">
        <v>1</v>
      </c>
      <c r="Z792" s="20" t="s">
        <v>1851</v>
      </c>
      <c r="AA792" s="20" t="s">
        <v>1859</v>
      </c>
      <c r="AB792" s="31">
        <f>VLOOKUP(AA792,Masters!$K$2:$L$183,2,FALSE)</f>
        <v>1001</v>
      </c>
      <c r="AC792" s="20" t="s">
        <v>2064</v>
      </c>
      <c r="AD792" s="20" t="s">
        <v>2061</v>
      </c>
      <c r="AE792" s="20">
        <v>1</v>
      </c>
      <c r="AF792" s="20">
        <v>8</v>
      </c>
      <c r="AG792" s="20">
        <v>2000</v>
      </c>
      <c r="AH792" s="21">
        <v>36739</v>
      </c>
    </row>
    <row r="793" spans="1:34" x14ac:dyDescent="0.25">
      <c r="A793" s="35">
        <v>1555</v>
      </c>
      <c r="B793" s="20" t="s">
        <v>1841</v>
      </c>
      <c r="C793" s="20" t="s">
        <v>1841</v>
      </c>
      <c r="D793" s="94" t="s">
        <v>1482</v>
      </c>
      <c r="E793" s="20" t="s">
        <v>2052</v>
      </c>
      <c r="F793" s="20" t="s">
        <v>1843</v>
      </c>
      <c r="G793" s="31" t="s">
        <v>40</v>
      </c>
      <c r="H793" s="32">
        <v>1</v>
      </c>
      <c r="J793" s="32">
        <v>1</v>
      </c>
      <c r="O793" s="20">
        <v>0</v>
      </c>
      <c r="P793" s="20">
        <v>1</v>
      </c>
      <c r="Q793" s="20">
        <v>0</v>
      </c>
      <c r="R793" s="20">
        <v>0</v>
      </c>
      <c r="X793" s="20">
        <v>1</v>
      </c>
      <c r="Z793" s="20" t="s">
        <v>58</v>
      </c>
      <c r="AA793" s="20" t="s">
        <v>1860</v>
      </c>
      <c r="AB793" s="31">
        <f>VLOOKUP(AA793,Masters!$K$2:$L$183,2,FALSE)</f>
        <v>1002</v>
      </c>
      <c r="AC793" s="20" t="s">
        <v>2063</v>
      </c>
      <c r="AD793" s="20" t="s">
        <v>2060</v>
      </c>
      <c r="AE793" s="20">
        <v>17</v>
      </c>
      <c r="AF793" s="20">
        <v>1</v>
      </c>
      <c r="AG793" s="20">
        <v>2002</v>
      </c>
      <c r="AH793" s="21">
        <v>37273</v>
      </c>
    </row>
    <row r="794" spans="1:34" x14ac:dyDescent="0.25">
      <c r="A794" s="35">
        <v>1557</v>
      </c>
      <c r="B794" s="20" t="s">
        <v>1841</v>
      </c>
      <c r="C794" s="20" t="s">
        <v>1841</v>
      </c>
      <c r="D794" s="94" t="s">
        <v>1484</v>
      </c>
      <c r="E794" s="20" t="s">
        <v>2059</v>
      </c>
      <c r="F794" s="20" t="s">
        <v>1847</v>
      </c>
      <c r="G794" s="31" t="s">
        <v>40</v>
      </c>
      <c r="H794" s="32">
        <v>1</v>
      </c>
      <c r="J794" s="32">
        <v>1</v>
      </c>
      <c r="O794" s="20">
        <v>0</v>
      </c>
      <c r="P794" s="20">
        <v>1</v>
      </c>
      <c r="Q794" s="20">
        <v>0</v>
      </c>
      <c r="R794" s="20">
        <v>0</v>
      </c>
      <c r="X794" s="20">
        <v>1</v>
      </c>
      <c r="Z794" s="20" t="s">
        <v>201</v>
      </c>
      <c r="AA794" s="20" t="s">
        <v>1862</v>
      </c>
      <c r="AB794" s="31">
        <f>VLOOKUP(AA794,Masters!$K$2:$L$183,2,FALSE)</f>
        <v>1004</v>
      </c>
      <c r="AC794" s="20" t="s">
        <v>2063</v>
      </c>
      <c r="AD794" s="20" t="s">
        <v>2061</v>
      </c>
      <c r="AE794" s="20">
        <v>20</v>
      </c>
      <c r="AF794" s="20">
        <v>11</v>
      </c>
      <c r="AG794" s="20">
        <v>2001</v>
      </c>
      <c r="AH794" s="21">
        <v>37215</v>
      </c>
    </row>
    <row r="795" spans="1:34" x14ac:dyDescent="0.25">
      <c r="A795" s="35">
        <v>1558</v>
      </c>
      <c r="B795" s="20" t="s">
        <v>1841</v>
      </c>
      <c r="C795" s="20" t="s">
        <v>1841</v>
      </c>
      <c r="D795" s="94" t="s">
        <v>1485</v>
      </c>
      <c r="E795" s="20" t="s">
        <v>2053</v>
      </c>
      <c r="F795" s="20" t="s">
        <v>1844</v>
      </c>
      <c r="G795" s="31" t="s">
        <v>40</v>
      </c>
      <c r="H795" s="32">
        <v>1</v>
      </c>
      <c r="J795" s="32">
        <v>1</v>
      </c>
      <c r="O795" s="20">
        <v>0</v>
      </c>
      <c r="P795" s="20">
        <v>1</v>
      </c>
      <c r="Q795" s="20">
        <v>0</v>
      </c>
      <c r="R795" s="20">
        <v>0</v>
      </c>
      <c r="X795" s="20">
        <v>1</v>
      </c>
      <c r="Z795" s="20" t="s">
        <v>1858</v>
      </c>
      <c r="AA795" s="20" t="s">
        <v>1861</v>
      </c>
      <c r="AB795" s="31">
        <f>VLOOKUP(AA795,Masters!$K$2:$L$183,2,FALSE)</f>
        <v>1003</v>
      </c>
      <c r="AC795" s="20" t="s">
        <v>2063</v>
      </c>
      <c r="AD795" s="20" t="s">
        <v>2060</v>
      </c>
      <c r="AE795" s="20">
        <v>17</v>
      </c>
      <c r="AF795" s="20">
        <v>11</v>
      </c>
      <c r="AG795" s="20">
        <v>2001</v>
      </c>
      <c r="AH795" s="21">
        <v>37212</v>
      </c>
    </row>
    <row r="796" spans="1:34" x14ac:dyDescent="0.25">
      <c r="A796" s="35">
        <v>1559</v>
      </c>
      <c r="B796" s="20" t="s">
        <v>1841</v>
      </c>
      <c r="C796" s="20" t="s">
        <v>1841</v>
      </c>
      <c r="D796" s="94" t="s">
        <v>1486</v>
      </c>
      <c r="E796" s="20" t="s">
        <v>2059</v>
      </c>
      <c r="F796" s="20" t="s">
        <v>1846</v>
      </c>
      <c r="G796" s="31" t="s">
        <v>40</v>
      </c>
      <c r="H796" s="32">
        <v>1</v>
      </c>
      <c r="J796" s="32">
        <v>1</v>
      </c>
      <c r="O796" s="20">
        <v>0</v>
      </c>
      <c r="P796" s="20">
        <v>1</v>
      </c>
      <c r="Q796" s="20">
        <v>0</v>
      </c>
      <c r="R796" s="20">
        <v>0</v>
      </c>
      <c r="X796" s="20">
        <v>1</v>
      </c>
      <c r="Z796" s="20" t="s">
        <v>1858</v>
      </c>
      <c r="AA796" s="20" t="s">
        <v>1859</v>
      </c>
      <c r="AB796" s="31">
        <f>VLOOKUP(AA796,Masters!$K$2:$L$183,2,FALSE)</f>
        <v>1001</v>
      </c>
      <c r="AC796" s="20" t="s">
        <v>2063</v>
      </c>
      <c r="AD796" s="20" t="s">
        <v>2060</v>
      </c>
      <c r="AE796" s="20">
        <v>12</v>
      </c>
      <c r="AF796" s="20">
        <v>3</v>
      </c>
      <c r="AG796" s="20">
        <v>2003</v>
      </c>
      <c r="AH796" s="21">
        <v>37692</v>
      </c>
    </row>
    <row r="797" spans="1:34" x14ac:dyDescent="0.25">
      <c r="A797" s="35">
        <v>1570</v>
      </c>
      <c r="B797" s="20" t="s">
        <v>1841</v>
      </c>
      <c r="C797" s="20" t="s">
        <v>1841</v>
      </c>
      <c r="D797" s="94" t="s">
        <v>1497</v>
      </c>
      <c r="E797" s="20" t="s">
        <v>2051</v>
      </c>
      <c r="F797" s="20" t="s">
        <v>1845</v>
      </c>
      <c r="G797" s="31" t="s">
        <v>40</v>
      </c>
      <c r="H797" s="32">
        <v>1</v>
      </c>
      <c r="J797" s="32">
        <v>1</v>
      </c>
      <c r="O797" s="20">
        <v>0</v>
      </c>
      <c r="P797" s="20">
        <v>1</v>
      </c>
      <c r="Q797" s="20">
        <v>0</v>
      </c>
      <c r="R797" s="20">
        <v>0</v>
      </c>
      <c r="X797" s="20">
        <v>1</v>
      </c>
      <c r="Z797" s="20" t="s">
        <v>1832</v>
      </c>
      <c r="AA797" s="20" t="s">
        <v>1859</v>
      </c>
      <c r="AB797" s="31">
        <f>VLOOKUP(AA797,Masters!$K$2:$L$183,2,FALSE)</f>
        <v>1001</v>
      </c>
      <c r="AC797" s="20" t="s">
        <v>2063</v>
      </c>
      <c r="AD797" s="20" t="s">
        <v>2060</v>
      </c>
      <c r="AE797" s="20">
        <v>7</v>
      </c>
      <c r="AF797" s="20">
        <v>2</v>
      </c>
      <c r="AG797" s="20">
        <v>2002</v>
      </c>
      <c r="AH797" s="21">
        <v>37294</v>
      </c>
    </row>
    <row r="798" spans="1:34" x14ac:dyDescent="0.25">
      <c r="A798" s="35">
        <v>1571</v>
      </c>
      <c r="B798" s="20" t="s">
        <v>1841</v>
      </c>
      <c r="C798" s="20" t="s">
        <v>1841</v>
      </c>
      <c r="D798" s="94" t="s">
        <v>1498</v>
      </c>
      <c r="E798" s="20" t="s">
        <v>2052</v>
      </c>
      <c r="F798" s="20" t="s">
        <v>1844</v>
      </c>
      <c r="G798" s="31" t="s">
        <v>40</v>
      </c>
      <c r="H798" s="32">
        <v>1</v>
      </c>
      <c r="J798" s="32">
        <v>1</v>
      </c>
      <c r="O798" s="20">
        <v>0</v>
      </c>
      <c r="P798" s="20">
        <v>1</v>
      </c>
      <c r="Q798" s="20">
        <v>0</v>
      </c>
      <c r="R798" s="20">
        <v>0</v>
      </c>
      <c r="X798" s="20">
        <v>1</v>
      </c>
      <c r="Z798" s="20" t="s">
        <v>1849</v>
      </c>
      <c r="AA798" s="20" t="s">
        <v>1863</v>
      </c>
      <c r="AB798" s="31">
        <f>VLOOKUP(AA798,Masters!$K$2:$L$183,2,FALSE)</f>
        <v>1005</v>
      </c>
      <c r="AC798" s="20" t="s">
        <v>2063</v>
      </c>
      <c r="AD798" s="20" t="s">
        <v>2060</v>
      </c>
      <c r="AE798" s="20">
        <v>16</v>
      </c>
      <c r="AF798" s="20">
        <v>3</v>
      </c>
      <c r="AG798" s="20">
        <v>2001</v>
      </c>
      <c r="AH798" s="21">
        <v>36966</v>
      </c>
    </row>
    <row r="799" spans="1:34" x14ac:dyDescent="0.25">
      <c r="A799" s="35">
        <v>1572</v>
      </c>
      <c r="B799" s="20" t="s">
        <v>1841</v>
      </c>
      <c r="C799" s="20" t="s">
        <v>1841</v>
      </c>
      <c r="D799" s="94" t="s">
        <v>1499</v>
      </c>
      <c r="E799" s="20" t="s">
        <v>126</v>
      </c>
      <c r="F799" s="20" t="s">
        <v>1845</v>
      </c>
      <c r="G799" s="31" t="s">
        <v>40</v>
      </c>
      <c r="H799" s="32">
        <v>1</v>
      </c>
      <c r="J799" s="32">
        <v>1</v>
      </c>
      <c r="O799" s="20">
        <v>0</v>
      </c>
      <c r="P799" s="20">
        <v>1</v>
      </c>
      <c r="Q799" s="20">
        <v>0</v>
      </c>
      <c r="R799" s="20">
        <v>0</v>
      </c>
      <c r="X799" s="20">
        <v>1</v>
      </c>
      <c r="Z799" s="20" t="s">
        <v>1855</v>
      </c>
      <c r="AA799" s="20" t="s">
        <v>1860</v>
      </c>
      <c r="AB799" s="31">
        <f>VLOOKUP(AA799,Masters!$K$2:$L$183,2,FALSE)</f>
        <v>1002</v>
      </c>
      <c r="AC799" s="20" t="s">
        <v>2063</v>
      </c>
      <c r="AD799" s="20" t="s">
        <v>2060</v>
      </c>
      <c r="AE799" s="20">
        <v>15</v>
      </c>
      <c r="AF799" s="20">
        <v>12</v>
      </c>
      <c r="AG799" s="20">
        <v>2001</v>
      </c>
      <c r="AH799" s="21">
        <v>37240</v>
      </c>
    </row>
    <row r="800" spans="1:34" x14ac:dyDescent="0.25">
      <c r="A800" s="35">
        <v>1573</v>
      </c>
      <c r="B800" s="20" t="s">
        <v>1841</v>
      </c>
      <c r="C800" s="20" t="s">
        <v>1841</v>
      </c>
      <c r="D800" s="94" t="s">
        <v>1500</v>
      </c>
      <c r="E800" s="20" t="s">
        <v>2053</v>
      </c>
      <c r="F800" s="20" t="s">
        <v>1847</v>
      </c>
      <c r="G800" s="31" t="s">
        <v>40</v>
      </c>
      <c r="H800" s="32">
        <v>1</v>
      </c>
      <c r="J800" s="32">
        <v>1</v>
      </c>
      <c r="O800" s="20">
        <v>0</v>
      </c>
      <c r="P800" s="20">
        <v>1</v>
      </c>
      <c r="Q800" s="20">
        <v>0</v>
      </c>
      <c r="R800" s="20">
        <v>0</v>
      </c>
      <c r="X800" s="20">
        <v>1</v>
      </c>
      <c r="Z800" s="20" t="s">
        <v>1857</v>
      </c>
      <c r="AA800" s="20" t="s">
        <v>1862</v>
      </c>
      <c r="AB800" s="31">
        <f>VLOOKUP(AA800,Masters!$K$2:$L$183,2,FALSE)</f>
        <v>1004</v>
      </c>
      <c r="AC800" s="20" t="s">
        <v>2063</v>
      </c>
      <c r="AD800" s="20" t="s">
        <v>2060</v>
      </c>
      <c r="AE800" s="20">
        <v>9</v>
      </c>
      <c r="AF800" s="20">
        <v>9</v>
      </c>
      <c r="AG800" s="20">
        <v>2001</v>
      </c>
      <c r="AH800" s="21">
        <v>37143</v>
      </c>
    </row>
    <row r="801" spans="1:34" x14ac:dyDescent="0.25">
      <c r="A801" s="35">
        <v>1577</v>
      </c>
      <c r="B801" s="20" t="s">
        <v>1841</v>
      </c>
      <c r="C801" s="20" t="s">
        <v>1841</v>
      </c>
      <c r="D801" s="94" t="s">
        <v>1504</v>
      </c>
      <c r="E801" s="20" t="s">
        <v>126</v>
      </c>
      <c r="F801" s="20" t="s">
        <v>1847</v>
      </c>
      <c r="G801" s="31" t="s">
        <v>40</v>
      </c>
      <c r="H801" s="32">
        <v>1</v>
      </c>
      <c r="J801" s="32">
        <v>1</v>
      </c>
      <c r="O801" s="20">
        <v>0</v>
      </c>
      <c r="P801" s="20">
        <v>1</v>
      </c>
      <c r="Q801" s="20">
        <v>0</v>
      </c>
      <c r="R801" s="20">
        <v>0</v>
      </c>
      <c r="X801" s="20">
        <v>1</v>
      </c>
      <c r="Z801" s="20" t="s">
        <v>1851</v>
      </c>
      <c r="AA801" s="20" t="s">
        <v>1859</v>
      </c>
      <c r="AB801" s="31">
        <f>VLOOKUP(AA801,Masters!$K$2:$L$183,2,FALSE)</f>
        <v>1001</v>
      </c>
      <c r="AC801" s="20" t="s">
        <v>2063</v>
      </c>
      <c r="AD801" s="20" t="s">
        <v>2060</v>
      </c>
      <c r="AE801" s="20">
        <v>19</v>
      </c>
      <c r="AF801" s="20">
        <v>9</v>
      </c>
      <c r="AG801" s="20">
        <v>2004</v>
      </c>
      <c r="AH801" s="21">
        <v>38249</v>
      </c>
    </row>
    <row r="802" spans="1:34" x14ac:dyDescent="0.25">
      <c r="A802" s="35">
        <v>1578</v>
      </c>
      <c r="B802" s="20" t="s">
        <v>1841</v>
      </c>
      <c r="C802" s="20" t="s">
        <v>1841</v>
      </c>
      <c r="D802" s="94" t="s">
        <v>1505</v>
      </c>
      <c r="E802" s="20" t="s">
        <v>2058</v>
      </c>
      <c r="F802" s="20" t="s">
        <v>1845</v>
      </c>
      <c r="G802" s="31" t="s">
        <v>40</v>
      </c>
      <c r="H802" s="32">
        <v>1</v>
      </c>
      <c r="J802" s="32">
        <v>1</v>
      </c>
      <c r="O802" s="20">
        <v>0</v>
      </c>
      <c r="P802" s="20">
        <v>1</v>
      </c>
      <c r="Q802" s="20">
        <v>0</v>
      </c>
      <c r="R802" s="20">
        <v>0</v>
      </c>
      <c r="X802" s="20">
        <v>1</v>
      </c>
      <c r="Z802" s="20" t="s">
        <v>1835</v>
      </c>
      <c r="AA802" s="20" t="s">
        <v>1860</v>
      </c>
      <c r="AB802" s="31">
        <f>VLOOKUP(AA802,Masters!$K$2:$L$183,2,FALSE)</f>
        <v>1002</v>
      </c>
      <c r="AC802" s="20" t="s">
        <v>2064</v>
      </c>
      <c r="AD802" s="20" t="s">
        <v>2061</v>
      </c>
      <c r="AE802" s="20">
        <v>27</v>
      </c>
      <c r="AF802" s="20">
        <v>11</v>
      </c>
      <c r="AG802" s="20">
        <v>2000</v>
      </c>
      <c r="AH802" s="21">
        <v>36857</v>
      </c>
    </row>
    <row r="803" spans="1:34" x14ac:dyDescent="0.25">
      <c r="A803" s="35">
        <v>1582</v>
      </c>
      <c r="B803" s="20" t="s">
        <v>1841</v>
      </c>
      <c r="C803" s="20" t="s">
        <v>1841</v>
      </c>
      <c r="D803" s="94" t="s">
        <v>1509</v>
      </c>
      <c r="E803" s="20" t="s">
        <v>2056</v>
      </c>
      <c r="F803" s="20" t="s">
        <v>1844</v>
      </c>
      <c r="G803" s="31" t="s">
        <v>40</v>
      </c>
      <c r="H803" s="32">
        <v>1</v>
      </c>
      <c r="J803" s="32">
        <v>1</v>
      </c>
      <c r="O803" s="20">
        <v>0</v>
      </c>
      <c r="P803" s="20">
        <v>1</v>
      </c>
      <c r="Q803" s="20">
        <v>0</v>
      </c>
      <c r="R803" s="20">
        <v>0</v>
      </c>
      <c r="X803" s="20">
        <v>1</v>
      </c>
      <c r="Z803" s="20" t="s">
        <v>100</v>
      </c>
      <c r="AA803" s="20" t="s">
        <v>1862</v>
      </c>
      <c r="AB803" s="31">
        <f>VLOOKUP(AA803,Masters!$K$2:$L$183,2,FALSE)</f>
        <v>1004</v>
      </c>
      <c r="AC803" s="20" t="s">
        <v>2063</v>
      </c>
      <c r="AD803" s="20" t="s">
        <v>2060</v>
      </c>
      <c r="AE803" s="20">
        <v>29</v>
      </c>
      <c r="AF803" s="20">
        <v>6</v>
      </c>
      <c r="AG803" s="20">
        <v>2000</v>
      </c>
      <c r="AH803" s="21">
        <v>36706</v>
      </c>
    </row>
    <row r="804" spans="1:34" x14ac:dyDescent="0.25">
      <c r="A804" s="35">
        <v>1584</v>
      </c>
      <c r="B804" s="20" t="s">
        <v>1841</v>
      </c>
      <c r="C804" s="20" t="s">
        <v>1841</v>
      </c>
      <c r="D804" s="94" t="s">
        <v>1511</v>
      </c>
      <c r="E804" s="20" t="s">
        <v>2054</v>
      </c>
      <c r="F804" s="20" t="s">
        <v>1845</v>
      </c>
      <c r="G804" s="31" t="s">
        <v>40</v>
      </c>
      <c r="H804" s="32">
        <v>1</v>
      </c>
      <c r="J804" s="32">
        <v>1</v>
      </c>
      <c r="O804" s="20">
        <v>0</v>
      </c>
      <c r="P804" s="20">
        <v>1</v>
      </c>
      <c r="Q804" s="20">
        <v>0</v>
      </c>
      <c r="R804" s="20">
        <v>0</v>
      </c>
      <c r="X804" s="20">
        <v>1</v>
      </c>
      <c r="Z804" s="20" t="s">
        <v>201</v>
      </c>
      <c r="AA804" s="20" t="s">
        <v>1862</v>
      </c>
      <c r="AB804" s="31">
        <f>VLOOKUP(AA804,Masters!$K$2:$L$183,2,FALSE)</f>
        <v>1004</v>
      </c>
      <c r="AC804" s="20" t="s">
        <v>2063</v>
      </c>
      <c r="AD804" s="20" t="s">
        <v>2060</v>
      </c>
      <c r="AE804" s="20">
        <v>16</v>
      </c>
      <c r="AF804" s="20">
        <v>10</v>
      </c>
      <c r="AG804" s="20">
        <v>2000</v>
      </c>
      <c r="AH804" s="21">
        <v>36815</v>
      </c>
    </row>
    <row r="805" spans="1:34" x14ac:dyDescent="0.25">
      <c r="A805" s="35">
        <v>1585</v>
      </c>
      <c r="B805" s="20" t="s">
        <v>1841</v>
      </c>
      <c r="C805" s="20" t="s">
        <v>1841</v>
      </c>
      <c r="D805" s="94" t="s">
        <v>1512</v>
      </c>
      <c r="E805" s="20" t="s">
        <v>2052</v>
      </c>
      <c r="F805" s="20" t="s">
        <v>1845</v>
      </c>
      <c r="G805" s="31" t="s">
        <v>40</v>
      </c>
      <c r="H805" s="32">
        <v>1</v>
      </c>
      <c r="J805" s="32">
        <v>1</v>
      </c>
      <c r="O805" s="20">
        <v>0</v>
      </c>
      <c r="P805" s="20">
        <v>1</v>
      </c>
      <c r="Q805" s="20">
        <v>0</v>
      </c>
      <c r="R805" s="20">
        <v>0</v>
      </c>
      <c r="X805" s="20">
        <v>1</v>
      </c>
      <c r="Z805" s="20" t="s">
        <v>58</v>
      </c>
      <c r="AA805" s="20" t="s">
        <v>1863</v>
      </c>
      <c r="AB805" s="31">
        <f>VLOOKUP(AA805,Masters!$K$2:$L$183,2,FALSE)</f>
        <v>1005</v>
      </c>
      <c r="AC805" s="20" t="s">
        <v>2063</v>
      </c>
      <c r="AD805" s="20" t="s">
        <v>2060</v>
      </c>
      <c r="AE805" s="20">
        <v>7</v>
      </c>
      <c r="AF805" s="20">
        <v>10</v>
      </c>
      <c r="AG805" s="20">
        <v>2004</v>
      </c>
      <c r="AH805" s="21">
        <v>38267</v>
      </c>
    </row>
    <row r="806" spans="1:34" x14ac:dyDescent="0.25">
      <c r="A806" s="35">
        <v>1586</v>
      </c>
      <c r="B806" s="20" t="s">
        <v>1841</v>
      </c>
      <c r="C806" s="20" t="s">
        <v>1841</v>
      </c>
      <c r="D806" s="94" t="s">
        <v>1513</v>
      </c>
      <c r="E806" s="20" t="s">
        <v>2054</v>
      </c>
      <c r="F806" s="20" t="s">
        <v>1843</v>
      </c>
      <c r="G806" s="31" t="s">
        <v>40</v>
      </c>
      <c r="H806" s="32">
        <v>1</v>
      </c>
      <c r="J806" s="32">
        <v>1</v>
      </c>
      <c r="O806" s="20">
        <v>0</v>
      </c>
      <c r="P806" s="20">
        <v>1</v>
      </c>
      <c r="Q806" s="20">
        <v>0</v>
      </c>
      <c r="R806" s="20">
        <v>0</v>
      </c>
      <c r="X806" s="20">
        <v>1</v>
      </c>
      <c r="Z806" s="20" t="s">
        <v>58</v>
      </c>
      <c r="AA806" s="20" t="s">
        <v>1860</v>
      </c>
      <c r="AB806" s="31">
        <f>VLOOKUP(AA806,Masters!$K$2:$L$183,2,FALSE)</f>
        <v>1002</v>
      </c>
      <c r="AC806" s="20" t="s">
        <v>2063</v>
      </c>
      <c r="AD806" s="20" t="s">
        <v>2060</v>
      </c>
      <c r="AE806" s="20">
        <v>7</v>
      </c>
      <c r="AF806" s="20">
        <v>2</v>
      </c>
      <c r="AG806" s="20">
        <v>2002</v>
      </c>
      <c r="AH806" s="21">
        <v>37294</v>
      </c>
    </row>
    <row r="807" spans="1:34" x14ac:dyDescent="0.25">
      <c r="A807" s="35">
        <v>1588</v>
      </c>
      <c r="B807" s="20" t="s">
        <v>1841</v>
      </c>
      <c r="C807" s="20" t="s">
        <v>1841</v>
      </c>
      <c r="D807" s="94" t="s">
        <v>1515</v>
      </c>
      <c r="E807" s="20" t="s">
        <v>135</v>
      </c>
      <c r="F807" s="20" t="s">
        <v>1845</v>
      </c>
      <c r="G807" s="31" t="s">
        <v>40</v>
      </c>
      <c r="H807" s="32">
        <v>1</v>
      </c>
      <c r="J807" s="32">
        <v>1</v>
      </c>
      <c r="O807" s="20">
        <v>0</v>
      </c>
      <c r="P807" s="20">
        <v>1</v>
      </c>
      <c r="Q807" s="20">
        <v>0</v>
      </c>
      <c r="R807" s="20">
        <v>0</v>
      </c>
      <c r="X807" s="20">
        <v>1</v>
      </c>
      <c r="Z807" s="20" t="s">
        <v>1849</v>
      </c>
      <c r="AA807" s="20" t="s">
        <v>1860</v>
      </c>
      <c r="AB807" s="31">
        <f>VLOOKUP(AA807,Masters!$K$2:$L$183,2,FALSE)</f>
        <v>1002</v>
      </c>
      <c r="AC807" s="20" t="s">
        <v>2063</v>
      </c>
      <c r="AD807" s="20" t="s">
        <v>2060</v>
      </c>
      <c r="AE807" s="20">
        <v>21</v>
      </c>
      <c r="AF807" s="20">
        <v>7</v>
      </c>
      <c r="AG807" s="20">
        <v>2003</v>
      </c>
      <c r="AH807" s="21">
        <v>37823</v>
      </c>
    </row>
    <row r="808" spans="1:34" x14ac:dyDescent="0.25">
      <c r="A808" s="35">
        <v>1589</v>
      </c>
      <c r="B808" s="20" t="s">
        <v>1841</v>
      </c>
      <c r="C808" s="20" t="s">
        <v>1841</v>
      </c>
      <c r="D808" s="94" t="s">
        <v>1516</v>
      </c>
      <c r="E808" s="20" t="s">
        <v>2054</v>
      </c>
      <c r="F808" s="20" t="s">
        <v>1844</v>
      </c>
      <c r="G808" s="31" t="s">
        <v>40</v>
      </c>
      <c r="H808" s="32">
        <v>1</v>
      </c>
      <c r="J808" s="32">
        <v>1</v>
      </c>
      <c r="O808" s="20">
        <v>0</v>
      </c>
      <c r="P808" s="20">
        <v>1</v>
      </c>
      <c r="Q808" s="20">
        <v>0</v>
      </c>
      <c r="R808" s="20">
        <v>0</v>
      </c>
      <c r="X808" s="20">
        <v>1</v>
      </c>
      <c r="Z808" s="20" t="s">
        <v>1853</v>
      </c>
      <c r="AA808" s="20" t="s">
        <v>1860</v>
      </c>
      <c r="AB808" s="31">
        <f>VLOOKUP(AA808,Masters!$K$2:$L$183,2,FALSE)</f>
        <v>1002</v>
      </c>
      <c r="AC808" s="20" t="s">
        <v>2063</v>
      </c>
      <c r="AD808" s="20" t="s">
        <v>2060</v>
      </c>
      <c r="AE808" s="20">
        <v>2</v>
      </c>
      <c r="AF808" s="20">
        <v>5</v>
      </c>
      <c r="AG808" s="20">
        <v>2001</v>
      </c>
      <c r="AH808" s="21">
        <v>37013</v>
      </c>
    </row>
    <row r="809" spans="1:34" x14ac:dyDescent="0.25">
      <c r="A809" s="35">
        <v>1590</v>
      </c>
      <c r="B809" s="20" t="s">
        <v>1841</v>
      </c>
      <c r="C809" s="20" t="s">
        <v>1841</v>
      </c>
      <c r="D809" s="94" t="s">
        <v>1517</v>
      </c>
      <c r="E809" s="20" t="s">
        <v>2058</v>
      </c>
      <c r="F809" s="20" t="s">
        <v>1845</v>
      </c>
      <c r="G809" s="31" t="s">
        <v>40</v>
      </c>
      <c r="H809" s="32">
        <v>1</v>
      </c>
      <c r="J809" s="32">
        <v>1</v>
      </c>
      <c r="O809" s="20">
        <v>0</v>
      </c>
      <c r="P809" s="20">
        <v>1</v>
      </c>
      <c r="Q809" s="20">
        <v>0</v>
      </c>
      <c r="R809" s="20">
        <v>0</v>
      </c>
      <c r="X809" s="20">
        <v>1</v>
      </c>
      <c r="Z809" s="20" t="s">
        <v>1848</v>
      </c>
      <c r="AA809" s="20" t="s">
        <v>1863</v>
      </c>
      <c r="AB809" s="31">
        <f>VLOOKUP(AA809,Masters!$K$2:$L$183,2,FALSE)</f>
        <v>1005</v>
      </c>
      <c r="AC809" s="20" t="s">
        <v>2063</v>
      </c>
      <c r="AD809" s="20" t="s">
        <v>2060</v>
      </c>
      <c r="AE809" s="20">
        <v>14</v>
      </c>
      <c r="AF809" s="20">
        <v>5</v>
      </c>
      <c r="AG809" s="20">
        <v>2000</v>
      </c>
      <c r="AH809" s="21">
        <v>36660</v>
      </c>
    </row>
    <row r="810" spans="1:34" x14ac:dyDescent="0.25">
      <c r="A810" s="35">
        <v>1591</v>
      </c>
      <c r="B810" s="20" t="s">
        <v>1841</v>
      </c>
      <c r="C810" s="20" t="s">
        <v>1841</v>
      </c>
      <c r="D810" s="94" t="s">
        <v>1518</v>
      </c>
      <c r="E810" s="20" t="s">
        <v>133</v>
      </c>
      <c r="F810" s="20" t="s">
        <v>1846</v>
      </c>
      <c r="G810" s="31" t="s">
        <v>40</v>
      </c>
      <c r="H810" s="32">
        <v>1</v>
      </c>
      <c r="J810" s="32">
        <v>1</v>
      </c>
      <c r="O810" s="20">
        <v>0</v>
      </c>
      <c r="P810" s="20">
        <v>1</v>
      </c>
      <c r="Q810" s="20">
        <v>0</v>
      </c>
      <c r="R810" s="20">
        <v>0</v>
      </c>
      <c r="X810" s="20">
        <v>1</v>
      </c>
      <c r="Z810" s="20" t="s">
        <v>58</v>
      </c>
      <c r="AA810" s="20" t="s">
        <v>1863</v>
      </c>
      <c r="AB810" s="31">
        <f>VLOOKUP(AA810,Masters!$K$2:$L$183,2,FALSE)</f>
        <v>1005</v>
      </c>
      <c r="AC810" s="20" t="s">
        <v>2063</v>
      </c>
      <c r="AD810" s="20" t="s">
        <v>2060</v>
      </c>
      <c r="AE810" s="20">
        <v>28</v>
      </c>
      <c r="AF810" s="20">
        <v>3</v>
      </c>
      <c r="AG810" s="20">
        <v>2000</v>
      </c>
      <c r="AH810" s="21">
        <v>36613</v>
      </c>
    </row>
    <row r="811" spans="1:34" x14ac:dyDescent="0.25">
      <c r="A811" s="35">
        <v>1592</v>
      </c>
      <c r="B811" s="20" t="s">
        <v>1841</v>
      </c>
      <c r="C811" s="20" t="s">
        <v>1841</v>
      </c>
      <c r="D811" s="94" t="s">
        <v>1519</v>
      </c>
      <c r="E811" s="20" t="s">
        <v>2056</v>
      </c>
      <c r="F811" s="20" t="s">
        <v>1846</v>
      </c>
      <c r="G811" s="31" t="s">
        <v>40</v>
      </c>
      <c r="H811" s="32">
        <v>1</v>
      </c>
      <c r="J811" s="32">
        <v>1</v>
      </c>
      <c r="O811" s="20">
        <v>0</v>
      </c>
      <c r="P811" s="20">
        <v>1</v>
      </c>
      <c r="Q811" s="20">
        <v>0</v>
      </c>
      <c r="R811" s="20">
        <v>0</v>
      </c>
      <c r="X811" s="20">
        <v>1</v>
      </c>
      <c r="Z811" s="20" t="s">
        <v>1851</v>
      </c>
      <c r="AA811" s="20" t="s">
        <v>1861</v>
      </c>
      <c r="AB811" s="31">
        <f>VLOOKUP(AA811,Masters!$K$2:$L$183,2,FALSE)</f>
        <v>1003</v>
      </c>
      <c r="AC811" s="20" t="s">
        <v>2063</v>
      </c>
      <c r="AD811" s="20" t="s">
        <v>2060</v>
      </c>
      <c r="AE811" s="20">
        <v>20</v>
      </c>
      <c r="AF811" s="20">
        <v>5</v>
      </c>
      <c r="AG811" s="20">
        <v>2003</v>
      </c>
      <c r="AH811" s="21">
        <v>37761</v>
      </c>
    </row>
    <row r="812" spans="1:34" x14ac:dyDescent="0.25">
      <c r="A812" s="35">
        <v>1595</v>
      </c>
      <c r="B812" s="20" t="s">
        <v>1841</v>
      </c>
      <c r="C812" s="20" t="s">
        <v>1841</v>
      </c>
      <c r="D812" s="94" t="s">
        <v>1522</v>
      </c>
      <c r="E812" s="20" t="s">
        <v>2059</v>
      </c>
      <c r="F812" s="20" t="s">
        <v>1844</v>
      </c>
      <c r="G812" s="31" t="s">
        <v>40</v>
      </c>
      <c r="H812" s="32">
        <v>1</v>
      </c>
      <c r="J812" s="32">
        <v>1</v>
      </c>
      <c r="O812" s="20">
        <v>0</v>
      </c>
      <c r="P812" s="20">
        <v>1</v>
      </c>
      <c r="Q812" s="20">
        <v>0</v>
      </c>
      <c r="R812" s="20">
        <v>0</v>
      </c>
      <c r="X812" s="20">
        <v>1</v>
      </c>
      <c r="Z812" s="20" t="s">
        <v>1857</v>
      </c>
      <c r="AA812" s="20" t="s">
        <v>1863</v>
      </c>
      <c r="AB812" s="31">
        <f>VLOOKUP(AA812,Masters!$K$2:$L$183,2,FALSE)</f>
        <v>1005</v>
      </c>
      <c r="AC812" s="20" t="s">
        <v>2064</v>
      </c>
      <c r="AD812" s="20" t="s">
        <v>2061</v>
      </c>
      <c r="AE812" s="20">
        <v>2</v>
      </c>
      <c r="AF812" s="20">
        <v>2</v>
      </c>
      <c r="AG812" s="20">
        <v>2000</v>
      </c>
      <c r="AH812" s="21">
        <v>36558</v>
      </c>
    </row>
    <row r="813" spans="1:34" x14ac:dyDescent="0.25">
      <c r="A813" s="35">
        <v>1599</v>
      </c>
      <c r="B813" s="20" t="s">
        <v>1841</v>
      </c>
      <c r="C813" s="20" t="s">
        <v>1841</v>
      </c>
      <c r="D813" s="94" t="s">
        <v>1526</v>
      </c>
      <c r="E813" s="20" t="s">
        <v>2052</v>
      </c>
      <c r="F813" s="20" t="s">
        <v>1844</v>
      </c>
      <c r="G813" s="31" t="s">
        <v>40</v>
      </c>
      <c r="H813" s="32">
        <v>1</v>
      </c>
      <c r="J813" s="32">
        <v>1</v>
      </c>
      <c r="O813" s="20">
        <v>0</v>
      </c>
      <c r="P813" s="20">
        <v>1</v>
      </c>
      <c r="Q813" s="20">
        <v>0</v>
      </c>
      <c r="R813" s="20">
        <v>0</v>
      </c>
      <c r="X813" s="20">
        <v>1</v>
      </c>
      <c r="Z813" s="20" t="s">
        <v>1832</v>
      </c>
      <c r="AA813" s="20" t="s">
        <v>1859</v>
      </c>
      <c r="AB813" s="31">
        <f>VLOOKUP(AA813,Masters!$K$2:$L$183,2,FALSE)</f>
        <v>1001</v>
      </c>
      <c r="AC813" s="20" t="s">
        <v>2063</v>
      </c>
      <c r="AD813" s="20" t="s">
        <v>2061</v>
      </c>
      <c r="AE813" s="20">
        <v>28</v>
      </c>
      <c r="AF813" s="20">
        <v>7</v>
      </c>
      <c r="AG813" s="20">
        <v>2005</v>
      </c>
      <c r="AH813" s="21">
        <v>38561</v>
      </c>
    </row>
    <row r="814" spans="1:34" x14ac:dyDescent="0.25">
      <c r="A814" s="35">
        <v>1600</v>
      </c>
      <c r="B814" s="20" t="s">
        <v>1841</v>
      </c>
      <c r="C814" s="20" t="s">
        <v>1841</v>
      </c>
      <c r="D814" s="94" t="s">
        <v>1527</v>
      </c>
      <c r="E814" s="20" t="s">
        <v>2059</v>
      </c>
      <c r="F814" s="20" t="s">
        <v>1847</v>
      </c>
      <c r="G814" s="31" t="s">
        <v>40</v>
      </c>
      <c r="H814" s="32">
        <v>1</v>
      </c>
      <c r="J814" s="32">
        <v>1</v>
      </c>
      <c r="O814" s="20">
        <v>0</v>
      </c>
      <c r="P814" s="20">
        <v>1</v>
      </c>
      <c r="Q814" s="20">
        <v>0</v>
      </c>
      <c r="R814" s="20">
        <v>0</v>
      </c>
      <c r="X814" s="20">
        <v>1</v>
      </c>
      <c r="Z814" s="20" t="s">
        <v>78</v>
      </c>
      <c r="AA814" s="20" t="s">
        <v>1863</v>
      </c>
      <c r="AB814" s="31">
        <f>VLOOKUP(AA814,Masters!$K$2:$L$183,2,FALSE)</f>
        <v>1005</v>
      </c>
      <c r="AC814" s="20" t="s">
        <v>2063</v>
      </c>
      <c r="AD814" s="20" t="s">
        <v>2060</v>
      </c>
      <c r="AE814" s="20">
        <v>20</v>
      </c>
      <c r="AF814" s="20">
        <v>10</v>
      </c>
      <c r="AG814" s="20">
        <v>2003</v>
      </c>
      <c r="AH814" s="21">
        <v>37914</v>
      </c>
    </row>
    <row r="815" spans="1:34" x14ac:dyDescent="0.25">
      <c r="A815" s="35">
        <v>1602</v>
      </c>
      <c r="B815" s="20" t="s">
        <v>1841</v>
      </c>
      <c r="C815" s="20" t="s">
        <v>1841</v>
      </c>
      <c r="D815" s="94" t="s">
        <v>1529</v>
      </c>
      <c r="E815" s="20" t="s">
        <v>2057</v>
      </c>
      <c r="F815" s="20" t="s">
        <v>1846</v>
      </c>
      <c r="G815" s="31" t="s">
        <v>40</v>
      </c>
      <c r="H815" s="32">
        <v>1</v>
      </c>
      <c r="J815" s="32">
        <v>1</v>
      </c>
      <c r="O815" s="20">
        <v>0</v>
      </c>
      <c r="P815" s="20">
        <v>1</v>
      </c>
      <c r="Q815" s="20">
        <v>0</v>
      </c>
      <c r="R815" s="20">
        <v>0</v>
      </c>
      <c r="X815" s="20">
        <v>1</v>
      </c>
      <c r="Z815" s="20" t="s">
        <v>58</v>
      </c>
      <c r="AA815" s="20" t="s">
        <v>1860</v>
      </c>
      <c r="AB815" s="31">
        <f>VLOOKUP(AA815,Masters!$K$2:$L$183,2,FALSE)</f>
        <v>1002</v>
      </c>
      <c r="AC815" s="20" t="s">
        <v>2063</v>
      </c>
      <c r="AD815" s="20" t="s">
        <v>2060</v>
      </c>
      <c r="AE815" s="20">
        <v>27</v>
      </c>
      <c r="AF815" s="20">
        <v>7</v>
      </c>
      <c r="AG815" s="20">
        <v>2000</v>
      </c>
      <c r="AH815" s="21">
        <v>36734</v>
      </c>
    </row>
    <row r="816" spans="1:34" x14ac:dyDescent="0.25">
      <c r="A816" s="35">
        <v>1604</v>
      </c>
      <c r="B816" s="20" t="s">
        <v>1841</v>
      </c>
      <c r="C816" s="20" t="s">
        <v>1841</v>
      </c>
      <c r="D816" s="94" t="s">
        <v>1531</v>
      </c>
      <c r="E816" s="20" t="s">
        <v>135</v>
      </c>
      <c r="F816" s="20" t="s">
        <v>1846</v>
      </c>
      <c r="G816" s="31" t="s">
        <v>40</v>
      </c>
      <c r="H816" s="32">
        <v>1</v>
      </c>
      <c r="J816" s="32">
        <v>1</v>
      </c>
      <c r="O816" s="20">
        <v>0</v>
      </c>
      <c r="P816" s="20">
        <v>1</v>
      </c>
      <c r="Q816" s="20">
        <v>0</v>
      </c>
      <c r="R816" s="20">
        <v>0</v>
      </c>
      <c r="X816" s="20">
        <v>1</v>
      </c>
      <c r="Z816" s="20" t="s">
        <v>753</v>
      </c>
      <c r="AA816" s="20" t="s">
        <v>1862</v>
      </c>
      <c r="AB816" s="31">
        <f>VLOOKUP(AA816,Masters!$K$2:$L$183,2,FALSE)</f>
        <v>1004</v>
      </c>
      <c r="AC816" s="20" t="s">
        <v>2063</v>
      </c>
      <c r="AD816" s="20" t="s">
        <v>2060</v>
      </c>
      <c r="AE816" s="20">
        <v>28</v>
      </c>
      <c r="AF816" s="20">
        <v>10</v>
      </c>
      <c r="AG816" s="20">
        <v>2002</v>
      </c>
      <c r="AH816" s="21">
        <v>37557</v>
      </c>
    </row>
    <row r="817" spans="1:34" x14ac:dyDescent="0.25">
      <c r="A817" s="35">
        <v>1605</v>
      </c>
      <c r="B817" s="20" t="s">
        <v>1841</v>
      </c>
      <c r="C817" s="20" t="s">
        <v>1841</v>
      </c>
      <c r="D817" s="94" t="s">
        <v>1532</v>
      </c>
      <c r="E817" s="20" t="s">
        <v>2053</v>
      </c>
      <c r="F817" s="20" t="s">
        <v>1846</v>
      </c>
      <c r="G817" s="31" t="s">
        <v>40</v>
      </c>
      <c r="H817" s="32">
        <v>1</v>
      </c>
      <c r="J817" s="32">
        <v>1</v>
      </c>
      <c r="O817" s="20">
        <v>0</v>
      </c>
      <c r="P817" s="20">
        <v>1</v>
      </c>
      <c r="Q817" s="20">
        <v>0</v>
      </c>
      <c r="R817" s="20">
        <v>0</v>
      </c>
      <c r="X817" s="20">
        <v>1</v>
      </c>
      <c r="Z817" s="20" t="s">
        <v>1857</v>
      </c>
      <c r="AA817" s="20" t="s">
        <v>1859</v>
      </c>
      <c r="AB817" s="31">
        <f>VLOOKUP(AA817,Masters!$K$2:$L$183,2,FALSE)</f>
        <v>1001</v>
      </c>
      <c r="AC817" s="20" t="s">
        <v>2063</v>
      </c>
      <c r="AD817" s="20" t="s">
        <v>2060</v>
      </c>
      <c r="AE817" s="20">
        <v>3</v>
      </c>
      <c r="AF817" s="20">
        <v>6</v>
      </c>
      <c r="AG817" s="20">
        <v>2003</v>
      </c>
      <c r="AH817" s="21">
        <v>37775</v>
      </c>
    </row>
    <row r="818" spans="1:34" x14ac:dyDescent="0.25">
      <c r="A818" s="35">
        <v>1606</v>
      </c>
      <c r="B818" s="20" t="s">
        <v>1841</v>
      </c>
      <c r="C818" s="20" t="s">
        <v>1841</v>
      </c>
      <c r="D818" s="94" t="s">
        <v>1533</v>
      </c>
      <c r="E818" s="20" t="s">
        <v>2058</v>
      </c>
      <c r="F818" s="20" t="s">
        <v>1844</v>
      </c>
      <c r="G818" s="31" t="s">
        <v>40</v>
      </c>
      <c r="H818" s="32">
        <v>1</v>
      </c>
      <c r="J818" s="32">
        <v>1</v>
      </c>
      <c r="O818" s="20">
        <v>0</v>
      </c>
      <c r="P818" s="20">
        <v>1</v>
      </c>
      <c r="Q818" s="20">
        <v>0</v>
      </c>
      <c r="R818" s="20">
        <v>0</v>
      </c>
      <c r="X818" s="20">
        <v>1</v>
      </c>
      <c r="Z818" s="20" t="s">
        <v>1855</v>
      </c>
      <c r="AA818" s="20" t="s">
        <v>1859</v>
      </c>
      <c r="AB818" s="31">
        <f>VLOOKUP(AA818,Masters!$K$2:$L$183,2,FALSE)</f>
        <v>1001</v>
      </c>
      <c r="AC818" s="20" t="s">
        <v>2063</v>
      </c>
      <c r="AD818" s="20" t="s">
        <v>2060</v>
      </c>
      <c r="AE818" s="20">
        <v>30</v>
      </c>
      <c r="AF818" s="20">
        <v>5</v>
      </c>
      <c r="AG818" s="20">
        <v>2004</v>
      </c>
      <c r="AH818" s="21">
        <v>38137</v>
      </c>
    </row>
    <row r="819" spans="1:34" x14ac:dyDescent="0.25">
      <c r="A819" s="35">
        <v>1609</v>
      </c>
      <c r="B819" s="20" t="s">
        <v>1841</v>
      </c>
      <c r="C819" s="20" t="s">
        <v>1841</v>
      </c>
      <c r="D819" s="94" t="s">
        <v>1536</v>
      </c>
      <c r="E819" s="20" t="s">
        <v>2054</v>
      </c>
      <c r="F819" s="20" t="s">
        <v>1846</v>
      </c>
      <c r="G819" s="31" t="s">
        <v>40</v>
      </c>
      <c r="H819" s="32">
        <v>1</v>
      </c>
      <c r="J819" s="32">
        <v>1</v>
      </c>
      <c r="O819" s="20">
        <v>0</v>
      </c>
      <c r="P819" s="20">
        <v>1</v>
      </c>
      <c r="Q819" s="20">
        <v>0</v>
      </c>
      <c r="R819" s="20">
        <v>0</v>
      </c>
      <c r="X819" s="20">
        <v>1</v>
      </c>
      <c r="Z819" s="20" t="s">
        <v>1856</v>
      </c>
      <c r="AA819" s="20" t="s">
        <v>1862</v>
      </c>
      <c r="AB819" s="31">
        <f>VLOOKUP(AA819,Masters!$K$2:$L$183,2,FALSE)</f>
        <v>1004</v>
      </c>
      <c r="AC819" s="20" t="s">
        <v>2063</v>
      </c>
      <c r="AD819" s="20" t="s">
        <v>2060</v>
      </c>
      <c r="AE819" s="20">
        <v>29</v>
      </c>
      <c r="AF819" s="20">
        <v>10</v>
      </c>
      <c r="AG819" s="20">
        <v>2004</v>
      </c>
      <c r="AH819" s="21">
        <v>38289</v>
      </c>
    </row>
    <row r="820" spans="1:34" x14ac:dyDescent="0.25">
      <c r="A820" s="35">
        <v>1611</v>
      </c>
      <c r="B820" s="20" t="s">
        <v>1841</v>
      </c>
      <c r="C820" s="20" t="s">
        <v>1841</v>
      </c>
      <c r="D820" s="94" t="s">
        <v>1538</v>
      </c>
      <c r="E820" s="20" t="s">
        <v>135</v>
      </c>
      <c r="F820" s="20" t="s">
        <v>1844</v>
      </c>
      <c r="G820" s="31" t="s">
        <v>40</v>
      </c>
      <c r="H820" s="32">
        <v>1</v>
      </c>
      <c r="J820" s="32">
        <v>1</v>
      </c>
      <c r="O820" s="20">
        <v>0</v>
      </c>
      <c r="P820" s="20">
        <v>1</v>
      </c>
      <c r="Q820" s="20">
        <v>0</v>
      </c>
      <c r="R820" s="20">
        <v>0</v>
      </c>
      <c r="X820" s="20">
        <v>1</v>
      </c>
      <c r="Z820" s="20" t="s">
        <v>1849</v>
      </c>
      <c r="AA820" s="20" t="s">
        <v>1862</v>
      </c>
      <c r="AB820" s="31">
        <f>VLOOKUP(AA820,Masters!$K$2:$L$183,2,FALSE)</f>
        <v>1004</v>
      </c>
      <c r="AC820" s="20" t="s">
        <v>2064</v>
      </c>
      <c r="AD820" s="20" t="s">
        <v>2061</v>
      </c>
      <c r="AE820" s="20">
        <v>20</v>
      </c>
      <c r="AF820" s="20">
        <v>11</v>
      </c>
      <c r="AG820" s="20">
        <v>2004</v>
      </c>
      <c r="AH820" s="21">
        <v>38311</v>
      </c>
    </row>
    <row r="821" spans="1:34" x14ac:dyDescent="0.25">
      <c r="A821" s="35">
        <v>1613</v>
      </c>
      <c r="B821" s="20" t="s">
        <v>1841</v>
      </c>
      <c r="C821" s="20" t="s">
        <v>1841</v>
      </c>
      <c r="D821" s="94" t="s">
        <v>1540</v>
      </c>
      <c r="E821" s="20" t="s">
        <v>2059</v>
      </c>
      <c r="F821" s="20" t="s">
        <v>1845</v>
      </c>
      <c r="G821" s="31" t="s">
        <v>40</v>
      </c>
      <c r="H821" s="32">
        <v>1</v>
      </c>
      <c r="J821" s="32">
        <v>1</v>
      </c>
      <c r="O821" s="20">
        <v>0</v>
      </c>
      <c r="P821" s="20">
        <v>1</v>
      </c>
      <c r="Q821" s="20">
        <v>0</v>
      </c>
      <c r="R821" s="20">
        <v>0</v>
      </c>
      <c r="X821" s="20">
        <v>1</v>
      </c>
      <c r="Z821" s="20" t="s">
        <v>1856</v>
      </c>
      <c r="AA821" s="20" t="s">
        <v>1860</v>
      </c>
      <c r="AB821" s="31">
        <f>VLOOKUP(AA821,Masters!$K$2:$L$183,2,FALSE)</f>
        <v>1002</v>
      </c>
      <c r="AC821" s="20" t="s">
        <v>2063</v>
      </c>
      <c r="AD821" s="20" t="s">
        <v>2060</v>
      </c>
      <c r="AE821" s="20">
        <v>6</v>
      </c>
      <c r="AF821" s="20">
        <v>11</v>
      </c>
      <c r="AG821" s="20">
        <v>2004</v>
      </c>
      <c r="AH821" s="21">
        <v>38297</v>
      </c>
    </row>
    <row r="822" spans="1:34" x14ac:dyDescent="0.25">
      <c r="A822" s="35">
        <v>1622</v>
      </c>
      <c r="B822" s="20" t="s">
        <v>1841</v>
      </c>
      <c r="C822" s="20" t="s">
        <v>1841</v>
      </c>
      <c r="D822" s="94" t="s">
        <v>1549</v>
      </c>
      <c r="E822" s="20" t="s">
        <v>2058</v>
      </c>
      <c r="F822" s="20" t="s">
        <v>1845</v>
      </c>
      <c r="G822" s="31" t="s">
        <v>40</v>
      </c>
      <c r="H822" s="32">
        <v>1</v>
      </c>
      <c r="J822" s="32">
        <v>1</v>
      </c>
      <c r="O822" s="20">
        <v>0</v>
      </c>
      <c r="P822" s="20">
        <v>1</v>
      </c>
      <c r="Q822" s="20">
        <v>0</v>
      </c>
      <c r="R822" s="20">
        <v>0</v>
      </c>
      <c r="X822" s="20">
        <v>1</v>
      </c>
      <c r="Z822" s="20" t="s">
        <v>1848</v>
      </c>
      <c r="AA822" s="20" t="s">
        <v>1862</v>
      </c>
      <c r="AB822" s="31">
        <f>VLOOKUP(AA822,Masters!$K$2:$L$183,2,FALSE)</f>
        <v>1004</v>
      </c>
      <c r="AC822" s="20" t="s">
        <v>2064</v>
      </c>
      <c r="AD822" s="20" t="s">
        <v>2061</v>
      </c>
      <c r="AE822" s="20">
        <v>25</v>
      </c>
      <c r="AF822" s="20">
        <v>1</v>
      </c>
      <c r="AG822" s="20">
        <v>2005</v>
      </c>
      <c r="AH822" s="21">
        <v>38377</v>
      </c>
    </row>
    <row r="823" spans="1:34" x14ac:dyDescent="0.25">
      <c r="A823" s="35">
        <v>1628</v>
      </c>
      <c r="B823" s="20" t="s">
        <v>1841</v>
      </c>
      <c r="C823" s="20" t="s">
        <v>1841</v>
      </c>
      <c r="D823" s="94" t="s">
        <v>1555</v>
      </c>
      <c r="E823" s="20" t="s">
        <v>135</v>
      </c>
      <c r="F823" s="20" t="s">
        <v>1846</v>
      </c>
      <c r="G823" s="31" t="s">
        <v>40</v>
      </c>
      <c r="H823" s="32">
        <v>1</v>
      </c>
      <c r="J823" s="32">
        <v>1</v>
      </c>
      <c r="O823" s="20">
        <v>0</v>
      </c>
      <c r="P823" s="20">
        <v>1</v>
      </c>
      <c r="Q823" s="20">
        <v>0</v>
      </c>
      <c r="R823" s="20">
        <v>0</v>
      </c>
      <c r="X823" s="20">
        <v>1</v>
      </c>
      <c r="Z823" s="20" t="s">
        <v>34</v>
      </c>
      <c r="AA823" s="20" t="s">
        <v>1862</v>
      </c>
      <c r="AB823" s="31">
        <f>VLOOKUP(AA823,Masters!$K$2:$L$183,2,FALSE)</f>
        <v>1004</v>
      </c>
      <c r="AC823" s="20" t="s">
        <v>2063</v>
      </c>
      <c r="AD823" s="20" t="s">
        <v>2060</v>
      </c>
      <c r="AE823" s="20">
        <v>17</v>
      </c>
      <c r="AF823" s="20">
        <v>2</v>
      </c>
      <c r="AG823" s="20">
        <v>2000</v>
      </c>
      <c r="AH823" s="21">
        <v>36573</v>
      </c>
    </row>
    <row r="824" spans="1:34" x14ac:dyDescent="0.25">
      <c r="A824" s="35">
        <v>1631</v>
      </c>
      <c r="B824" s="20" t="s">
        <v>1841</v>
      </c>
      <c r="C824" s="20" t="s">
        <v>1841</v>
      </c>
      <c r="D824" s="94" t="s">
        <v>1558</v>
      </c>
      <c r="E824" s="20" t="s">
        <v>2050</v>
      </c>
      <c r="F824" s="20" t="s">
        <v>1846</v>
      </c>
      <c r="G824" s="31" t="s">
        <v>40</v>
      </c>
      <c r="H824" s="32">
        <v>1</v>
      </c>
      <c r="J824" s="32">
        <v>1</v>
      </c>
      <c r="O824" s="20">
        <v>0</v>
      </c>
      <c r="P824" s="20">
        <v>1</v>
      </c>
      <c r="Q824" s="20">
        <v>0</v>
      </c>
      <c r="R824" s="20">
        <v>0</v>
      </c>
      <c r="X824" s="20">
        <v>1</v>
      </c>
      <c r="Z824" s="20" t="s">
        <v>1858</v>
      </c>
      <c r="AA824" s="20" t="s">
        <v>1861</v>
      </c>
      <c r="AB824" s="31">
        <f>VLOOKUP(AA824,Masters!$K$2:$L$183,2,FALSE)</f>
        <v>1003</v>
      </c>
      <c r="AC824" s="20" t="s">
        <v>2063</v>
      </c>
      <c r="AD824" s="20" t="s">
        <v>2060</v>
      </c>
      <c r="AE824" s="20">
        <v>28</v>
      </c>
      <c r="AF824" s="20">
        <v>12</v>
      </c>
      <c r="AG824" s="20">
        <v>2003</v>
      </c>
      <c r="AH824" s="21">
        <v>37983</v>
      </c>
    </row>
    <row r="825" spans="1:34" x14ac:dyDescent="0.25">
      <c r="A825" s="35">
        <v>1634</v>
      </c>
      <c r="B825" s="20" t="s">
        <v>1841</v>
      </c>
      <c r="C825" s="20" t="s">
        <v>1841</v>
      </c>
      <c r="D825" s="94" t="s">
        <v>1561</v>
      </c>
      <c r="E825" s="20" t="s">
        <v>2050</v>
      </c>
      <c r="F825" s="20" t="s">
        <v>1847</v>
      </c>
      <c r="G825" s="31" t="s">
        <v>40</v>
      </c>
      <c r="H825" s="32">
        <v>1</v>
      </c>
      <c r="J825" s="32">
        <v>1</v>
      </c>
      <c r="O825" s="20">
        <v>0</v>
      </c>
      <c r="P825" s="20">
        <v>1</v>
      </c>
      <c r="Q825" s="20">
        <v>0</v>
      </c>
      <c r="R825" s="20">
        <v>0</v>
      </c>
      <c r="X825" s="20">
        <v>1</v>
      </c>
      <c r="Z825" s="20" t="s">
        <v>1857</v>
      </c>
      <c r="AA825" s="20" t="s">
        <v>1859</v>
      </c>
      <c r="AB825" s="31">
        <f>VLOOKUP(AA825,Masters!$K$2:$L$183,2,FALSE)</f>
        <v>1001</v>
      </c>
      <c r="AC825" s="20" t="s">
        <v>2063</v>
      </c>
      <c r="AD825" s="20" t="s">
        <v>2060</v>
      </c>
      <c r="AE825" s="20">
        <v>23</v>
      </c>
      <c r="AF825" s="20">
        <v>9</v>
      </c>
      <c r="AG825" s="20">
        <v>2003</v>
      </c>
      <c r="AH825" s="21">
        <v>37887</v>
      </c>
    </row>
    <row r="826" spans="1:34" x14ac:dyDescent="0.25">
      <c r="A826" s="35">
        <v>1638</v>
      </c>
      <c r="B826" s="20" t="s">
        <v>1841</v>
      </c>
      <c r="C826" s="20" t="s">
        <v>1841</v>
      </c>
      <c r="D826" s="94" t="s">
        <v>1565</v>
      </c>
      <c r="E826" s="20" t="s">
        <v>135</v>
      </c>
      <c r="F826" s="20" t="s">
        <v>1844</v>
      </c>
      <c r="G826" s="31" t="s">
        <v>40</v>
      </c>
      <c r="H826" s="32">
        <v>1</v>
      </c>
      <c r="J826" s="32">
        <v>1</v>
      </c>
      <c r="O826" s="20">
        <v>0</v>
      </c>
      <c r="P826" s="20">
        <v>1</v>
      </c>
      <c r="Q826" s="20">
        <v>0</v>
      </c>
      <c r="R826" s="20">
        <v>0</v>
      </c>
      <c r="X826" s="20">
        <v>1</v>
      </c>
      <c r="Z826" s="20" t="s">
        <v>1858</v>
      </c>
      <c r="AA826" s="20" t="s">
        <v>1863</v>
      </c>
      <c r="AB826" s="31">
        <f>VLOOKUP(AA826,Masters!$K$2:$L$183,2,FALSE)</f>
        <v>1005</v>
      </c>
      <c r="AC826" s="20" t="s">
        <v>2063</v>
      </c>
      <c r="AD826" s="20" t="s">
        <v>2060</v>
      </c>
      <c r="AE826" s="20">
        <v>7</v>
      </c>
      <c r="AF826" s="20">
        <v>4</v>
      </c>
      <c r="AG826" s="20">
        <v>2002</v>
      </c>
      <c r="AH826" s="21">
        <v>37353</v>
      </c>
    </row>
    <row r="827" spans="1:34" x14ac:dyDescent="0.25">
      <c r="A827" s="35">
        <v>1639</v>
      </c>
      <c r="B827" s="20" t="s">
        <v>1841</v>
      </c>
      <c r="C827" s="20" t="s">
        <v>1841</v>
      </c>
      <c r="D827" s="94" t="s">
        <v>1566</v>
      </c>
      <c r="E827" s="20" t="s">
        <v>2050</v>
      </c>
      <c r="F827" s="20" t="s">
        <v>1844</v>
      </c>
      <c r="G827" s="31" t="s">
        <v>40</v>
      </c>
      <c r="H827" s="32">
        <v>1</v>
      </c>
      <c r="J827" s="32">
        <v>1</v>
      </c>
      <c r="O827" s="20">
        <v>0</v>
      </c>
      <c r="P827" s="20">
        <v>1</v>
      </c>
      <c r="Q827" s="20">
        <v>0</v>
      </c>
      <c r="R827" s="20">
        <v>0</v>
      </c>
      <c r="X827" s="20">
        <v>1</v>
      </c>
      <c r="Z827" s="20" t="s">
        <v>58</v>
      </c>
      <c r="AA827" s="20" t="s">
        <v>1860</v>
      </c>
      <c r="AB827" s="31">
        <f>VLOOKUP(AA827,Masters!$K$2:$L$183,2,FALSE)</f>
        <v>1002</v>
      </c>
      <c r="AC827" s="20" t="s">
        <v>2063</v>
      </c>
      <c r="AD827" s="20" t="s">
        <v>2060</v>
      </c>
      <c r="AE827" s="20">
        <v>8</v>
      </c>
      <c r="AF827" s="20">
        <v>8</v>
      </c>
      <c r="AG827" s="20">
        <v>2003</v>
      </c>
      <c r="AH827" s="21">
        <v>37841</v>
      </c>
    </row>
    <row r="828" spans="1:34" x14ac:dyDescent="0.25">
      <c r="A828" s="35">
        <v>1640</v>
      </c>
      <c r="B828" s="20" t="s">
        <v>1841</v>
      </c>
      <c r="C828" s="20" t="s">
        <v>1841</v>
      </c>
      <c r="D828" s="94" t="s">
        <v>1567</v>
      </c>
      <c r="E828" s="20" t="s">
        <v>2057</v>
      </c>
      <c r="F828" s="20" t="s">
        <v>1843</v>
      </c>
      <c r="G828" s="31" t="s">
        <v>40</v>
      </c>
      <c r="H828" s="32">
        <v>1</v>
      </c>
      <c r="J828" s="32">
        <v>1</v>
      </c>
      <c r="O828" s="20">
        <v>0</v>
      </c>
      <c r="P828" s="20">
        <v>1</v>
      </c>
      <c r="Q828" s="20">
        <v>0</v>
      </c>
      <c r="R828" s="20">
        <v>0</v>
      </c>
      <c r="X828" s="20">
        <v>1</v>
      </c>
      <c r="Z828" s="20" t="s">
        <v>34</v>
      </c>
      <c r="AA828" s="20" t="s">
        <v>1862</v>
      </c>
      <c r="AB828" s="31">
        <f>VLOOKUP(AA828,Masters!$K$2:$L$183,2,FALSE)</f>
        <v>1004</v>
      </c>
      <c r="AC828" s="20" t="s">
        <v>2063</v>
      </c>
      <c r="AD828" s="20" t="s">
        <v>2060</v>
      </c>
      <c r="AE828" s="20">
        <v>3</v>
      </c>
      <c r="AF828" s="20">
        <v>6</v>
      </c>
      <c r="AG828" s="20">
        <v>2001</v>
      </c>
      <c r="AH828" s="21">
        <v>37045</v>
      </c>
    </row>
    <row r="829" spans="1:34" x14ac:dyDescent="0.25">
      <c r="A829" s="35">
        <v>1641</v>
      </c>
      <c r="B829" s="20" t="s">
        <v>1841</v>
      </c>
      <c r="C829" s="20" t="s">
        <v>1841</v>
      </c>
      <c r="D829" s="94" t="s">
        <v>1568</v>
      </c>
      <c r="E829" s="20" t="s">
        <v>133</v>
      </c>
      <c r="F829" s="20" t="s">
        <v>1843</v>
      </c>
      <c r="G829" s="31" t="s">
        <v>35</v>
      </c>
      <c r="I829" s="32">
        <v>1</v>
      </c>
      <c r="J829" s="32">
        <v>1</v>
      </c>
      <c r="O829" s="20">
        <v>0</v>
      </c>
      <c r="P829" s="20">
        <v>0</v>
      </c>
      <c r="Q829" s="20">
        <v>1</v>
      </c>
      <c r="R829" s="20">
        <v>0</v>
      </c>
      <c r="X829" s="20">
        <v>1</v>
      </c>
      <c r="Z829" s="20" t="s">
        <v>1858</v>
      </c>
      <c r="AA829" s="20" t="s">
        <v>1859</v>
      </c>
      <c r="AB829" s="31">
        <f>VLOOKUP(AA829,Masters!$K$2:$L$183,2,FALSE)</f>
        <v>1001</v>
      </c>
      <c r="AC829" s="20" t="s">
        <v>2063</v>
      </c>
      <c r="AD829" s="20" t="s">
        <v>2060</v>
      </c>
      <c r="AE829" s="20">
        <v>8</v>
      </c>
      <c r="AF829" s="20">
        <v>2</v>
      </c>
      <c r="AG829" s="20">
        <v>2005</v>
      </c>
      <c r="AH829" s="21">
        <v>38391</v>
      </c>
    </row>
    <row r="830" spans="1:34" x14ac:dyDescent="0.25">
      <c r="A830" s="35">
        <v>1642</v>
      </c>
      <c r="B830" s="20" t="s">
        <v>1841</v>
      </c>
      <c r="C830" s="20" t="s">
        <v>1841</v>
      </c>
      <c r="D830" s="94" t="s">
        <v>1569</v>
      </c>
      <c r="E830" s="20" t="s">
        <v>2056</v>
      </c>
      <c r="F830" s="20" t="s">
        <v>1844</v>
      </c>
      <c r="G830" s="31" t="s">
        <v>40</v>
      </c>
      <c r="H830" s="32">
        <v>1</v>
      </c>
      <c r="J830" s="32">
        <v>1</v>
      </c>
      <c r="O830" s="20">
        <v>0</v>
      </c>
      <c r="P830" s="20">
        <v>1</v>
      </c>
      <c r="Q830" s="20">
        <v>0</v>
      </c>
      <c r="R830" s="20">
        <v>0</v>
      </c>
      <c r="X830" s="20">
        <v>1</v>
      </c>
      <c r="Z830" s="20" t="s">
        <v>34</v>
      </c>
      <c r="AA830" s="20" t="s">
        <v>1860</v>
      </c>
      <c r="AB830" s="31">
        <f>VLOOKUP(AA830,Masters!$K$2:$L$183,2,FALSE)</f>
        <v>1002</v>
      </c>
      <c r="AC830" s="20" t="s">
        <v>2063</v>
      </c>
      <c r="AD830" s="20" t="s">
        <v>2060</v>
      </c>
      <c r="AE830" s="20">
        <v>1</v>
      </c>
      <c r="AF830" s="20">
        <v>9</v>
      </c>
      <c r="AG830" s="20">
        <v>2001</v>
      </c>
      <c r="AH830" s="21">
        <v>37135</v>
      </c>
    </row>
    <row r="831" spans="1:34" x14ac:dyDescent="0.25">
      <c r="A831" s="35">
        <v>1643</v>
      </c>
      <c r="B831" s="20" t="s">
        <v>1841</v>
      </c>
      <c r="C831" s="20" t="s">
        <v>1841</v>
      </c>
      <c r="D831" s="94" t="s">
        <v>1570</v>
      </c>
      <c r="E831" s="20" t="s">
        <v>2053</v>
      </c>
      <c r="F831" s="20" t="s">
        <v>1846</v>
      </c>
      <c r="G831" s="31" t="s">
        <v>40</v>
      </c>
      <c r="H831" s="32">
        <v>1</v>
      </c>
      <c r="J831" s="32">
        <v>1</v>
      </c>
      <c r="O831" s="20">
        <v>0</v>
      </c>
      <c r="P831" s="20">
        <v>1</v>
      </c>
      <c r="Q831" s="20">
        <v>0</v>
      </c>
      <c r="R831" s="20">
        <v>0</v>
      </c>
      <c r="X831" s="20">
        <v>1</v>
      </c>
      <c r="Z831" s="20" t="s">
        <v>1850</v>
      </c>
      <c r="AA831" s="20" t="s">
        <v>1863</v>
      </c>
      <c r="AB831" s="31">
        <f>VLOOKUP(AA831,Masters!$K$2:$L$183,2,FALSE)</f>
        <v>1005</v>
      </c>
      <c r="AC831" s="20" t="s">
        <v>2063</v>
      </c>
      <c r="AD831" s="20" t="s">
        <v>2060</v>
      </c>
      <c r="AE831" s="20">
        <v>30</v>
      </c>
      <c r="AF831" s="20">
        <v>12</v>
      </c>
      <c r="AG831" s="20">
        <v>2004</v>
      </c>
      <c r="AH831" s="21">
        <v>38351</v>
      </c>
    </row>
    <row r="832" spans="1:34" x14ac:dyDescent="0.25">
      <c r="A832" s="35">
        <v>1644</v>
      </c>
      <c r="B832" s="20" t="s">
        <v>1841</v>
      </c>
      <c r="C832" s="20" t="s">
        <v>1841</v>
      </c>
      <c r="D832" s="94" t="s">
        <v>1571</v>
      </c>
      <c r="E832" s="20" t="s">
        <v>2051</v>
      </c>
      <c r="F832" s="20" t="s">
        <v>1845</v>
      </c>
      <c r="G832" s="31" t="s">
        <v>40</v>
      </c>
      <c r="H832" s="32">
        <v>1</v>
      </c>
      <c r="J832" s="32">
        <v>1</v>
      </c>
      <c r="O832" s="20">
        <v>0</v>
      </c>
      <c r="P832" s="20">
        <v>1</v>
      </c>
      <c r="Q832" s="20">
        <v>0</v>
      </c>
      <c r="R832" s="20">
        <v>0</v>
      </c>
      <c r="X832" s="20">
        <v>1</v>
      </c>
      <c r="Z832" s="20" t="s">
        <v>58</v>
      </c>
      <c r="AA832" s="20" t="s">
        <v>1859</v>
      </c>
      <c r="AB832" s="31">
        <f>VLOOKUP(AA832,Masters!$K$2:$L$183,2,FALSE)</f>
        <v>1001</v>
      </c>
      <c r="AC832" s="20" t="s">
        <v>2063</v>
      </c>
      <c r="AD832" s="20" t="s">
        <v>2060</v>
      </c>
      <c r="AE832" s="20">
        <v>2</v>
      </c>
      <c r="AF832" s="20">
        <v>3</v>
      </c>
      <c r="AG832" s="20">
        <v>2003</v>
      </c>
      <c r="AH832" s="21">
        <v>37682</v>
      </c>
    </row>
    <row r="833" spans="1:34" x14ac:dyDescent="0.25">
      <c r="A833" s="35">
        <v>1645</v>
      </c>
      <c r="B833" s="20" t="s">
        <v>1841</v>
      </c>
      <c r="C833" s="20" t="s">
        <v>1841</v>
      </c>
      <c r="D833" s="94" t="s">
        <v>1572</v>
      </c>
      <c r="E833" s="20" t="s">
        <v>2059</v>
      </c>
      <c r="F833" s="20" t="s">
        <v>1845</v>
      </c>
      <c r="G833" s="31" t="s">
        <v>40</v>
      </c>
      <c r="H833" s="32">
        <v>1</v>
      </c>
      <c r="J833" s="32">
        <v>1</v>
      </c>
      <c r="O833" s="20">
        <v>0</v>
      </c>
      <c r="P833" s="20">
        <v>1</v>
      </c>
      <c r="Q833" s="20">
        <v>0</v>
      </c>
      <c r="R833" s="20">
        <v>0</v>
      </c>
      <c r="X833" s="20">
        <v>1</v>
      </c>
      <c r="Z833" s="20" t="s">
        <v>1848</v>
      </c>
      <c r="AA833" s="20" t="s">
        <v>1859</v>
      </c>
      <c r="AB833" s="31">
        <f>VLOOKUP(AA833,Masters!$K$2:$L$183,2,FALSE)</f>
        <v>1001</v>
      </c>
      <c r="AC833" s="20" t="s">
        <v>2063</v>
      </c>
      <c r="AD833" s="20" t="s">
        <v>2060</v>
      </c>
      <c r="AE833" s="20">
        <v>26</v>
      </c>
      <c r="AF833" s="20">
        <v>7</v>
      </c>
      <c r="AG833" s="20">
        <v>2005</v>
      </c>
      <c r="AH833" s="21">
        <v>38559</v>
      </c>
    </row>
    <row r="834" spans="1:34" x14ac:dyDescent="0.25">
      <c r="A834" s="35">
        <v>1646</v>
      </c>
      <c r="B834" s="20" t="s">
        <v>1841</v>
      </c>
      <c r="C834" s="20" t="s">
        <v>1841</v>
      </c>
      <c r="D834" s="94" t="s">
        <v>1573</v>
      </c>
      <c r="E834" s="20" t="s">
        <v>133</v>
      </c>
      <c r="F834" s="20" t="s">
        <v>1846</v>
      </c>
      <c r="G834" s="31" t="s">
        <v>40</v>
      </c>
      <c r="H834" s="32">
        <v>1</v>
      </c>
      <c r="J834" s="32">
        <v>1</v>
      </c>
      <c r="O834" s="20">
        <v>0</v>
      </c>
      <c r="P834" s="20">
        <v>1</v>
      </c>
      <c r="Q834" s="20">
        <v>0</v>
      </c>
      <c r="R834" s="20">
        <v>0</v>
      </c>
      <c r="X834" s="20">
        <v>1</v>
      </c>
      <c r="Z834" s="20" t="s">
        <v>1858</v>
      </c>
      <c r="AA834" s="20" t="s">
        <v>1860</v>
      </c>
      <c r="AB834" s="31">
        <f>VLOOKUP(AA834,Masters!$K$2:$L$183,2,FALSE)</f>
        <v>1002</v>
      </c>
      <c r="AC834" s="20" t="s">
        <v>2063</v>
      </c>
      <c r="AD834" s="20" t="s">
        <v>2060</v>
      </c>
      <c r="AE834" s="20">
        <v>19</v>
      </c>
      <c r="AF834" s="20">
        <v>3</v>
      </c>
      <c r="AG834" s="20">
        <v>2004</v>
      </c>
      <c r="AH834" s="21">
        <v>38065</v>
      </c>
    </row>
    <row r="835" spans="1:34" x14ac:dyDescent="0.25">
      <c r="A835" s="35">
        <v>1648</v>
      </c>
      <c r="B835" s="20" t="s">
        <v>1841</v>
      </c>
      <c r="C835" s="20" t="s">
        <v>1841</v>
      </c>
      <c r="D835" s="94" t="s">
        <v>1575</v>
      </c>
      <c r="E835" s="20" t="s">
        <v>2054</v>
      </c>
      <c r="F835" s="20" t="s">
        <v>1846</v>
      </c>
      <c r="G835" s="31" t="s">
        <v>40</v>
      </c>
      <c r="H835" s="32">
        <v>1</v>
      </c>
      <c r="J835" s="32">
        <v>1</v>
      </c>
      <c r="O835" s="20">
        <v>0</v>
      </c>
      <c r="P835" s="20">
        <v>1</v>
      </c>
      <c r="Q835" s="20">
        <v>0</v>
      </c>
      <c r="R835" s="20">
        <v>0</v>
      </c>
      <c r="X835" s="20">
        <v>1</v>
      </c>
      <c r="Z835" s="20" t="s">
        <v>1835</v>
      </c>
      <c r="AA835" s="20" t="s">
        <v>1863</v>
      </c>
      <c r="AB835" s="31">
        <f>VLOOKUP(AA835,Masters!$K$2:$L$183,2,FALSE)</f>
        <v>1005</v>
      </c>
      <c r="AC835" s="20" t="s">
        <v>2063</v>
      </c>
      <c r="AD835" s="20" t="s">
        <v>2060</v>
      </c>
      <c r="AE835" s="20">
        <v>21</v>
      </c>
      <c r="AF835" s="20">
        <v>9</v>
      </c>
      <c r="AG835" s="20">
        <v>2001</v>
      </c>
      <c r="AH835" s="21">
        <v>37155</v>
      </c>
    </row>
    <row r="836" spans="1:34" x14ac:dyDescent="0.25">
      <c r="A836" s="35">
        <v>1653</v>
      </c>
      <c r="B836" s="20" t="s">
        <v>1841</v>
      </c>
      <c r="C836" s="20" t="s">
        <v>1841</v>
      </c>
      <c r="D836" s="94" t="s">
        <v>1580</v>
      </c>
      <c r="E836" s="20" t="s">
        <v>2058</v>
      </c>
      <c r="F836" s="20" t="s">
        <v>1843</v>
      </c>
      <c r="G836" s="31" t="s">
        <v>40</v>
      </c>
      <c r="H836" s="32">
        <v>1</v>
      </c>
      <c r="J836" s="32">
        <v>1</v>
      </c>
      <c r="O836" s="20">
        <v>0</v>
      </c>
      <c r="P836" s="20">
        <v>1</v>
      </c>
      <c r="Q836" s="20">
        <v>0</v>
      </c>
      <c r="R836" s="20">
        <v>0</v>
      </c>
      <c r="X836" s="20">
        <v>1</v>
      </c>
      <c r="Z836" s="20" t="s">
        <v>1848</v>
      </c>
      <c r="AA836" s="20" t="s">
        <v>1861</v>
      </c>
      <c r="AB836" s="31">
        <f>VLOOKUP(AA836,Masters!$K$2:$L$183,2,FALSE)</f>
        <v>1003</v>
      </c>
      <c r="AC836" s="20" t="s">
        <v>2063</v>
      </c>
      <c r="AD836" s="20" t="s">
        <v>2060</v>
      </c>
      <c r="AE836" s="20">
        <v>15</v>
      </c>
      <c r="AF836" s="20">
        <v>6</v>
      </c>
      <c r="AG836" s="20">
        <v>2003</v>
      </c>
      <c r="AH836" s="21">
        <v>37787</v>
      </c>
    </row>
    <row r="837" spans="1:34" x14ac:dyDescent="0.25">
      <c r="A837" s="35">
        <v>1655</v>
      </c>
      <c r="B837" s="20" t="s">
        <v>1841</v>
      </c>
      <c r="C837" s="20" t="s">
        <v>1841</v>
      </c>
      <c r="D837" s="94" t="s">
        <v>1582</v>
      </c>
      <c r="E837" s="20" t="s">
        <v>2054</v>
      </c>
      <c r="F837" s="20" t="s">
        <v>1845</v>
      </c>
      <c r="G837" s="31" t="s">
        <v>40</v>
      </c>
      <c r="H837" s="32">
        <v>1</v>
      </c>
      <c r="J837" s="32">
        <v>1</v>
      </c>
      <c r="O837" s="20">
        <v>0</v>
      </c>
      <c r="P837" s="20">
        <v>1</v>
      </c>
      <c r="Q837" s="20">
        <v>0</v>
      </c>
      <c r="R837" s="20">
        <v>0</v>
      </c>
      <c r="X837" s="20">
        <v>1</v>
      </c>
      <c r="Z837" s="20" t="s">
        <v>1849</v>
      </c>
      <c r="AA837" s="20" t="s">
        <v>1863</v>
      </c>
      <c r="AB837" s="31">
        <f>VLOOKUP(AA837,Masters!$K$2:$L$183,2,FALSE)</f>
        <v>1005</v>
      </c>
      <c r="AC837" s="20" t="s">
        <v>2064</v>
      </c>
      <c r="AD837" s="20" t="s">
        <v>2061</v>
      </c>
      <c r="AE837" s="20">
        <v>20</v>
      </c>
      <c r="AF837" s="20">
        <v>6</v>
      </c>
      <c r="AG837" s="20">
        <v>2001</v>
      </c>
      <c r="AH837" s="21">
        <v>37062</v>
      </c>
    </row>
    <row r="838" spans="1:34" x14ac:dyDescent="0.25">
      <c r="A838" s="35">
        <v>1657</v>
      </c>
      <c r="B838" s="20" t="s">
        <v>1841</v>
      </c>
      <c r="C838" s="20" t="s">
        <v>1841</v>
      </c>
      <c r="D838" s="94" t="s">
        <v>1584</v>
      </c>
      <c r="E838" s="20" t="s">
        <v>2057</v>
      </c>
      <c r="F838" s="20" t="s">
        <v>1843</v>
      </c>
      <c r="G838" s="31" t="s">
        <v>40</v>
      </c>
      <c r="H838" s="32">
        <v>1</v>
      </c>
      <c r="J838" s="32">
        <v>1</v>
      </c>
      <c r="O838" s="20">
        <v>0</v>
      </c>
      <c r="P838" s="20">
        <v>1</v>
      </c>
      <c r="Q838" s="20">
        <v>0</v>
      </c>
      <c r="R838" s="20">
        <v>0</v>
      </c>
      <c r="X838" s="20">
        <v>1</v>
      </c>
      <c r="Z838" s="20" t="s">
        <v>753</v>
      </c>
      <c r="AA838" s="20" t="s">
        <v>1862</v>
      </c>
      <c r="AB838" s="31">
        <f>VLOOKUP(AA838,Masters!$K$2:$L$183,2,FALSE)</f>
        <v>1004</v>
      </c>
      <c r="AC838" s="20" t="s">
        <v>2063</v>
      </c>
      <c r="AD838" s="20" t="s">
        <v>2060</v>
      </c>
      <c r="AE838" s="20">
        <v>6</v>
      </c>
      <c r="AF838" s="20">
        <v>2</v>
      </c>
      <c r="AG838" s="20">
        <v>2001</v>
      </c>
      <c r="AH838" s="21">
        <v>36928</v>
      </c>
    </row>
    <row r="839" spans="1:34" x14ac:dyDescent="0.25">
      <c r="A839" s="35">
        <v>1659</v>
      </c>
      <c r="B839" s="20" t="s">
        <v>1841</v>
      </c>
      <c r="C839" s="20" t="s">
        <v>1841</v>
      </c>
      <c r="D839" s="94" t="s">
        <v>1586</v>
      </c>
      <c r="E839" s="20" t="s">
        <v>2052</v>
      </c>
      <c r="F839" s="20" t="s">
        <v>1845</v>
      </c>
      <c r="G839" s="31" t="s">
        <v>40</v>
      </c>
      <c r="H839" s="32">
        <v>1</v>
      </c>
      <c r="J839" s="32">
        <v>1</v>
      </c>
      <c r="O839" s="20">
        <v>0</v>
      </c>
      <c r="P839" s="20">
        <v>1</v>
      </c>
      <c r="Q839" s="20">
        <v>0</v>
      </c>
      <c r="R839" s="20">
        <v>0</v>
      </c>
      <c r="X839" s="20">
        <v>1</v>
      </c>
      <c r="Z839" s="20" t="s">
        <v>1849</v>
      </c>
      <c r="AA839" s="20" t="s">
        <v>1863</v>
      </c>
      <c r="AB839" s="31">
        <f>VLOOKUP(AA839,Masters!$K$2:$L$183,2,FALSE)</f>
        <v>1005</v>
      </c>
      <c r="AC839" s="20" t="s">
        <v>2063</v>
      </c>
      <c r="AD839" s="20" t="s">
        <v>2060</v>
      </c>
      <c r="AE839" s="20">
        <v>30</v>
      </c>
      <c r="AF839" s="20">
        <v>10</v>
      </c>
      <c r="AG839" s="20">
        <v>2000</v>
      </c>
      <c r="AH839" s="21">
        <v>36829</v>
      </c>
    </row>
    <row r="840" spans="1:34" x14ac:dyDescent="0.25">
      <c r="A840" s="35">
        <v>1660</v>
      </c>
      <c r="B840" s="20" t="s">
        <v>1841</v>
      </c>
      <c r="C840" s="20" t="s">
        <v>1841</v>
      </c>
      <c r="D840" s="94" t="s">
        <v>1587</v>
      </c>
      <c r="E840" s="20" t="s">
        <v>2056</v>
      </c>
      <c r="F840" s="20" t="s">
        <v>1846</v>
      </c>
      <c r="G840" s="31" t="s">
        <v>40</v>
      </c>
      <c r="H840" s="32">
        <v>1</v>
      </c>
      <c r="J840" s="32">
        <v>1</v>
      </c>
      <c r="O840" s="20">
        <v>0</v>
      </c>
      <c r="P840" s="20">
        <v>1</v>
      </c>
      <c r="Q840" s="20">
        <v>0</v>
      </c>
      <c r="R840" s="20">
        <v>0</v>
      </c>
      <c r="X840" s="20">
        <v>1</v>
      </c>
      <c r="Z840" s="20" t="s">
        <v>1858</v>
      </c>
      <c r="AA840" s="20" t="s">
        <v>1861</v>
      </c>
      <c r="AB840" s="31">
        <f>VLOOKUP(AA840,Masters!$K$2:$L$183,2,FALSE)</f>
        <v>1003</v>
      </c>
      <c r="AC840" s="20" t="s">
        <v>2063</v>
      </c>
      <c r="AD840" s="20" t="s">
        <v>2060</v>
      </c>
      <c r="AE840" s="20">
        <v>20</v>
      </c>
      <c r="AF840" s="20">
        <v>3</v>
      </c>
      <c r="AG840" s="20">
        <v>2000</v>
      </c>
      <c r="AH840" s="21">
        <v>36605</v>
      </c>
    </row>
    <row r="841" spans="1:34" x14ac:dyDescent="0.25">
      <c r="A841" s="35">
        <v>1661</v>
      </c>
      <c r="B841" s="20" t="s">
        <v>1841</v>
      </c>
      <c r="C841" s="20" t="s">
        <v>1841</v>
      </c>
      <c r="D841" s="94" t="s">
        <v>1588</v>
      </c>
      <c r="E841" s="20" t="s">
        <v>2057</v>
      </c>
      <c r="F841" s="20" t="s">
        <v>1844</v>
      </c>
      <c r="G841" s="31" t="s">
        <v>40</v>
      </c>
      <c r="H841" s="32">
        <v>1</v>
      </c>
      <c r="J841" s="32">
        <v>1</v>
      </c>
      <c r="O841" s="20">
        <v>0</v>
      </c>
      <c r="P841" s="20">
        <v>1</v>
      </c>
      <c r="Q841" s="20">
        <v>0</v>
      </c>
      <c r="R841" s="20">
        <v>0</v>
      </c>
      <c r="X841" s="20">
        <v>1</v>
      </c>
      <c r="Z841" s="20" t="s">
        <v>1848</v>
      </c>
      <c r="AA841" s="20" t="s">
        <v>1863</v>
      </c>
      <c r="AB841" s="31">
        <f>VLOOKUP(AA841,Masters!$K$2:$L$183,2,FALSE)</f>
        <v>1005</v>
      </c>
      <c r="AC841" s="20" t="s">
        <v>2063</v>
      </c>
      <c r="AD841" s="20" t="s">
        <v>2060</v>
      </c>
      <c r="AE841" s="20">
        <v>22</v>
      </c>
      <c r="AF841" s="20">
        <v>7</v>
      </c>
      <c r="AG841" s="20">
        <v>2004</v>
      </c>
      <c r="AH841" s="21">
        <v>38190</v>
      </c>
    </row>
    <row r="842" spans="1:34" x14ac:dyDescent="0.25">
      <c r="A842" s="35">
        <v>1663</v>
      </c>
      <c r="B842" s="20" t="s">
        <v>1841</v>
      </c>
      <c r="C842" s="20" t="s">
        <v>1841</v>
      </c>
      <c r="D842" s="94" t="s">
        <v>1590</v>
      </c>
      <c r="E842" s="20" t="s">
        <v>2054</v>
      </c>
      <c r="F842" s="20" t="s">
        <v>1845</v>
      </c>
      <c r="G842" s="31" t="s">
        <v>40</v>
      </c>
      <c r="H842" s="32">
        <v>1</v>
      </c>
      <c r="J842" s="32">
        <v>1</v>
      </c>
      <c r="O842" s="20">
        <v>0</v>
      </c>
      <c r="P842" s="20">
        <v>1</v>
      </c>
      <c r="Q842" s="20">
        <v>0</v>
      </c>
      <c r="R842" s="20">
        <v>0</v>
      </c>
      <c r="X842" s="20">
        <v>1</v>
      </c>
      <c r="Z842" s="20" t="s">
        <v>1835</v>
      </c>
      <c r="AA842" s="20" t="s">
        <v>1863</v>
      </c>
      <c r="AB842" s="31">
        <f>VLOOKUP(AA842,Masters!$K$2:$L$183,2,FALSE)</f>
        <v>1005</v>
      </c>
      <c r="AC842" s="20" t="s">
        <v>2063</v>
      </c>
      <c r="AD842" s="20" t="s">
        <v>2060</v>
      </c>
      <c r="AE842" s="20">
        <v>1</v>
      </c>
      <c r="AF842" s="20">
        <v>4</v>
      </c>
      <c r="AG842" s="20">
        <v>2001</v>
      </c>
      <c r="AH842" s="21">
        <v>36982</v>
      </c>
    </row>
    <row r="843" spans="1:34" x14ac:dyDescent="0.25">
      <c r="A843" s="35">
        <v>1664</v>
      </c>
      <c r="B843" s="20" t="s">
        <v>1841</v>
      </c>
      <c r="C843" s="20" t="s">
        <v>1841</v>
      </c>
      <c r="D843" s="94" t="s">
        <v>1591</v>
      </c>
      <c r="E843" s="20" t="s">
        <v>2056</v>
      </c>
      <c r="F843" s="20" t="s">
        <v>1847</v>
      </c>
      <c r="G843" s="31" t="s">
        <v>40</v>
      </c>
      <c r="H843" s="32">
        <v>1</v>
      </c>
      <c r="J843" s="32">
        <v>1</v>
      </c>
      <c r="O843" s="20">
        <v>0</v>
      </c>
      <c r="P843" s="20">
        <v>1</v>
      </c>
      <c r="Q843" s="20">
        <v>0</v>
      </c>
      <c r="R843" s="20">
        <v>0</v>
      </c>
      <c r="X843" s="20">
        <v>1</v>
      </c>
      <c r="Z843" s="20" t="s">
        <v>34</v>
      </c>
      <c r="AA843" s="20" t="s">
        <v>1862</v>
      </c>
      <c r="AB843" s="31">
        <f>VLOOKUP(AA843,Masters!$K$2:$L$183,2,FALSE)</f>
        <v>1004</v>
      </c>
      <c r="AC843" s="20" t="s">
        <v>2063</v>
      </c>
      <c r="AD843" s="20" t="s">
        <v>2060</v>
      </c>
      <c r="AE843" s="20">
        <v>30</v>
      </c>
      <c r="AF843" s="20">
        <v>8</v>
      </c>
      <c r="AG843" s="20">
        <v>2004</v>
      </c>
      <c r="AH843" s="21">
        <v>38229</v>
      </c>
    </row>
    <row r="844" spans="1:34" x14ac:dyDescent="0.25">
      <c r="A844" s="35">
        <v>1665</v>
      </c>
      <c r="B844" s="20" t="s">
        <v>1841</v>
      </c>
      <c r="C844" s="20" t="s">
        <v>1841</v>
      </c>
      <c r="D844" s="94" t="s">
        <v>1592</v>
      </c>
      <c r="E844" s="20" t="s">
        <v>2052</v>
      </c>
      <c r="F844" s="20" t="s">
        <v>1844</v>
      </c>
      <c r="G844" s="31" t="s">
        <v>40</v>
      </c>
      <c r="H844" s="32">
        <v>1</v>
      </c>
      <c r="J844" s="32">
        <v>1</v>
      </c>
      <c r="O844" s="20">
        <v>0</v>
      </c>
      <c r="P844" s="20">
        <v>1</v>
      </c>
      <c r="Q844" s="20">
        <v>0</v>
      </c>
      <c r="R844" s="20">
        <v>0</v>
      </c>
      <c r="X844" s="20">
        <v>1</v>
      </c>
      <c r="Z844" s="20" t="s">
        <v>201</v>
      </c>
      <c r="AA844" s="20" t="s">
        <v>1860</v>
      </c>
      <c r="AB844" s="31">
        <f>VLOOKUP(AA844,Masters!$K$2:$L$183,2,FALSE)</f>
        <v>1002</v>
      </c>
      <c r="AC844" s="20" t="s">
        <v>2063</v>
      </c>
      <c r="AD844" s="20" t="s">
        <v>2060</v>
      </c>
      <c r="AE844" s="20">
        <v>2</v>
      </c>
      <c r="AF844" s="20">
        <v>3</v>
      </c>
      <c r="AG844" s="20">
        <v>2004</v>
      </c>
      <c r="AH844" s="21">
        <v>38048</v>
      </c>
    </row>
    <row r="845" spans="1:34" x14ac:dyDescent="0.25">
      <c r="A845" s="35">
        <v>1666</v>
      </c>
      <c r="B845" s="20" t="s">
        <v>1841</v>
      </c>
      <c r="C845" s="20" t="s">
        <v>1841</v>
      </c>
      <c r="D845" s="94" t="s">
        <v>1593</v>
      </c>
      <c r="E845" s="20" t="s">
        <v>2057</v>
      </c>
      <c r="F845" s="20" t="s">
        <v>1843</v>
      </c>
      <c r="G845" s="31" t="s">
        <v>40</v>
      </c>
      <c r="H845" s="32">
        <v>1</v>
      </c>
      <c r="J845" s="32">
        <v>1</v>
      </c>
      <c r="O845" s="20">
        <v>0</v>
      </c>
      <c r="P845" s="20">
        <v>1</v>
      </c>
      <c r="Q845" s="20">
        <v>0</v>
      </c>
      <c r="R845" s="20">
        <v>0</v>
      </c>
      <c r="X845" s="20">
        <v>1</v>
      </c>
      <c r="Z845" s="20" t="s">
        <v>753</v>
      </c>
      <c r="AA845" s="20" t="s">
        <v>1861</v>
      </c>
      <c r="AB845" s="31">
        <f>VLOOKUP(AA845,Masters!$K$2:$L$183,2,FALSE)</f>
        <v>1003</v>
      </c>
      <c r="AC845" s="20" t="s">
        <v>2063</v>
      </c>
      <c r="AD845" s="20" t="s">
        <v>2060</v>
      </c>
      <c r="AE845" s="20">
        <v>5</v>
      </c>
      <c r="AF845" s="20">
        <v>12</v>
      </c>
      <c r="AG845" s="20">
        <v>2002</v>
      </c>
      <c r="AH845" s="21">
        <v>37595</v>
      </c>
    </row>
    <row r="846" spans="1:34" x14ac:dyDescent="0.25">
      <c r="A846" s="35">
        <v>1668</v>
      </c>
      <c r="B846" s="20" t="s">
        <v>1841</v>
      </c>
      <c r="C846" s="20" t="s">
        <v>1841</v>
      </c>
      <c r="D846" s="94" t="s">
        <v>1595</v>
      </c>
      <c r="E846" s="20" t="s">
        <v>2059</v>
      </c>
      <c r="F846" s="20" t="s">
        <v>1846</v>
      </c>
      <c r="G846" s="31" t="s">
        <v>40</v>
      </c>
      <c r="H846" s="32">
        <v>1</v>
      </c>
      <c r="J846" s="32">
        <v>1</v>
      </c>
      <c r="O846" s="20">
        <v>0</v>
      </c>
      <c r="P846" s="20">
        <v>1</v>
      </c>
      <c r="Q846" s="20">
        <v>0</v>
      </c>
      <c r="R846" s="20">
        <v>0</v>
      </c>
      <c r="X846" s="20">
        <v>1</v>
      </c>
      <c r="Z846" s="20" t="s">
        <v>100</v>
      </c>
      <c r="AA846" s="20" t="s">
        <v>1860</v>
      </c>
      <c r="AB846" s="31">
        <f>VLOOKUP(AA846,Masters!$K$2:$L$183,2,FALSE)</f>
        <v>1002</v>
      </c>
      <c r="AC846" s="20" t="s">
        <v>2064</v>
      </c>
      <c r="AD846" s="20" t="s">
        <v>2061</v>
      </c>
      <c r="AE846" s="20">
        <v>28</v>
      </c>
      <c r="AF846" s="20">
        <v>11</v>
      </c>
      <c r="AG846" s="20">
        <v>2003</v>
      </c>
      <c r="AH846" s="21">
        <v>37953</v>
      </c>
    </row>
    <row r="847" spans="1:34" x14ac:dyDescent="0.25">
      <c r="A847" s="35">
        <v>1672</v>
      </c>
      <c r="B847" s="20" t="s">
        <v>1841</v>
      </c>
      <c r="C847" s="20" t="s">
        <v>1841</v>
      </c>
      <c r="D847" s="94" t="s">
        <v>1599</v>
      </c>
      <c r="E847" s="20" t="s">
        <v>126</v>
      </c>
      <c r="F847" s="20" t="s">
        <v>1845</v>
      </c>
      <c r="G847" s="31" t="s">
        <v>40</v>
      </c>
      <c r="H847" s="32">
        <v>1</v>
      </c>
      <c r="J847" s="32">
        <v>1</v>
      </c>
      <c r="O847" s="20">
        <v>0</v>
      </c>
      <c r="P847" s="20">
        <v>1</v>
      </c>
      <c r="Q847" s="20">
        <v>0</v>
      </c>
      <c r="R847" s="20">
        <v>0</v>
      </c>
      <c r="X847" s="20">
        <v>1</v>
      </c>
      <c r="Z847" s="20" t="s">
        <v>1832</v>
      </c>
      <c r="AA847" s="20" t="s">
        <v>1863</v>
      </c>
      <c r="AB847" s="31">
        <f>VLOOKUP(AA847,Masters!$K$2:$L$183,2,FALSE)</f>
        <v>1005</v>
      </c>
      <c r="AC847" s="20" t="s">
        <v>2063</v>
      </c>
      <c r="AD847" s="20" t="s">
        <v>2060</v>
      </c>
      <c r="AE847" s="20">
        <v>1</v>
      </c>
      <c r="AF847" s="20">
        <v>5</v>
      </c>
      <c r="AG847" s="20">
        <v>2003</v>
      </c>
      <c r="AH847" s="21">
        <v>37742</v>
      </c>
    </row>
    <row r="848" spans="1:34" x14ac:dyDescent="0.25">
      <c r="A848" s="35">
        <v>1680</v>
      </c>
      <c r="B848" s="20" t="s">
        <v>1841</v>
      </c>
      <c r="C848" s="20" t="s">
        <v>1841</v>
      </c>
      <c r="D848" s="94" t="s">
        <v>1607</v>
      </c>
      <c r="E848" s="20" t="s">
        <v>2057</v>
      </c>
      <c r="F848" s="20" t="s">
        <v>1845</v>
      </c>
      <c r="G848" s="31" t="s">
        <v>40</v>
      </c>
      <c r="H848" s="32">
        <v>1</v>
      </c>
      <c r="J848" s="32">
        <v>1</v>
      </c>
      <c r="O848" s="20">
        <v>0</v>
      </c>
      <c r="P848" s="20">
        <v>1</v>
      </c>
      <c r="Q848" s="20">
        <v>0</v>
      </c>
      <c r="R848" s="20">
        <v>0</v>
      </c>
      <c r="X848" s="20">
        <v>1</v>
      </c>
      <c r="Z848" s="20" t="s">
        <v>34</v>
      </c>
      <c r="AA848" s="20" t="s">
        <v>1862</v>
      </c>
      <c r="AB848" s="31">
        <f>VLOOKUP(AA848,Masters!$K$2:$L$183,2,FALSE)</f>
        <v>1004</v>
      </c>
      <c r="AC848" s="20" t="s">
        <v>2063</v>
      </c>
      <c r="AD848" s="20" t="s">
        <v>2061</v>
      </c>
      <c r="AE848" s="20">
        <v>11</v>
      </c>
      <c r="AF848" s="20">
        <v>11</v>
      </c>
      <c r="AG848" s="20">
        <v>2005</v>
      </c>
      <c r="AH848" s="21">
        <v>38667</v>
      </c>
    </row>
    <row r="849" spans="1:34" x14ac:dyDescent="0.25">
      <c r="A849" s="35">
        <v>1683</v>
      </c>
      <c r="B849" s="20" t="s">
        <v>1841</v>
      </c>
      <c r="C849" s="20" t="s">
        <v>1841</v>
      </c>
      <c r="D849" s="94" t="s">
        <v>1610</v>
      </c>
      <c r="E849" s="20" t="s">
        <v>2055</v>
      </c>
      <c r="F849" s="20" t="s">
        <v>1844</v>
      </c>
      <c r="G849" s="31" t="s">
        <v>40</v>
      </c>
      <c r="H849" s="32">
        <v>1</v>
      </c>
      <c r="J849" s="32">
        <v>1</v>
      </c>
      <c r="O849" s="20">
        <v>0</v>
      </c>
      <c r="P849" s="20">
        <v>1</v>
      </c>
      <c r="Q849" s="20">
        <v>0</v>
      </c>
      <c r="R849" s="20">
        <v>0</v>
      </c>
      <c r="X849" s="20">
        <v>1</v>
      </c>
      <c r="Z849" s="20" t="s">
        <v>1854</v>
      </c>
      <c r="AA849" s="20" t="s">
        <v>1860</v>
      </c>
      <c r="AB849" s="31">
        <f>VLOOKUP(AA849,Masters!$K$2:$L$183,2,FALSE)</f>
        <v>1002</v>
      </c>
      <c r="AC849" s="20" t="s">
        <v>2063</v>
      </c>
      <c r="AD849" s="20" t="s">
        <v>2060</v>
      </c>
      <c r="AE849" s="20">
        <v>17</v>
      </c>
      <c r="AF849" s="20">
        <v>9</v>
      </c>
      <c r="AG849" s="20">
        <v>2000</v>
      </c>
      <c r="AH849" s="21">
        <v>36786</v>
      </c>
    </row>
    <row r="850" spans="1:34" x14ac:dyDescent="0.25">
      <c r="A850" s="35">
        <v>1684</v>
      </c>
      <c r="B850" s="20" t="s">
        <v>1841</v>
      </c>
      <c r="C850" s="20" t="s">
        <v>1841</v>
      </c>
      <c r="D850" s="94" t="s">
        <v>1611</v>
      </c>
      <c r="E850" s="20" t="s">
        <v>2057</v>
      </c>
      <c r="F850" s="20" t="s">
        <v>1847</v>
      </c>
      <c r="G850" s="31" t="s">
        <v>40</v>
      </c>
      <c r="H850" s="32">
        <v>1</v>
      </c>
      <c r="J850" s="32">
        <v>1</v>
      </c>
      <c r="O850" s="20">
        <v>0</v>
      </c>
      <c r="P850" s="20">
        <v>1</v>
      </c>
      <c r="Q850" s="20">
        <v>0</v>
      </c>
      <c r="R850" s="20">
        <v>0</v>
      </c>
      <c r="X850" s="20">
        <v>1</v>
      </c>
      <c r="Z850" s="20" t="s">
        <v>1832</v>
      </c>
      <c r="AA850" s="20" t="s">
        <v>1861</v>
      </c>
      <c r="AB850" s="31">
        <f>VLOOKUP(AA850,Masters!$K$2:$L$183,2,FALSE)</f>
        <v>1003</v>
      </c>
      <c r="AC850" s="20" t="s">
        <v>2063</v>
      </c>
      <c r="AD850" s="20" t="s">
        <v>2060</v>
      </c>
      <c r="AE850" s="20">
        <v>19</v>
      </c>
      <c r="AF850" s="20">
        <v>7</v>
      </c>
      <c r="AG850" s="20">
        <v>2005</v>
      </c>
      <c r="AH850" s="21">
        <v>38552</v>
      </c>
    </row>
    <row r="851" spans="1:34" x14ac:dyDescent="0.25">
      <c r="A851" s="35">
        <v>1685</v>
      </c>
      <c r="B851" s="20" t="s">
        <v>1841</v>
      </c>
      <c r="C851" s="20" t="s">
        <v>1841</v>
      </c>
      <c r="D851" s="94" t="s">
        <v>1612</v>
      </c>
      <c r="E851" s="20" t="s">
        <v>135</v>
      </c>
      <c r="F851" s="20" t="s">
        <v>1845</v>
      </c>
      <c r="G851" s="31" t="s">
        <v>40</v>
      </c>
      <c r="H851" s="32">
        <v>1</v>
      </c>
      <c r="J851" s="32">
        <v>1</v>
      </c>
      <c r="O851" s="20">
        <v>0</v>
      </c>
      <c r="P851" s="20">
        <v>1</v>
      </c>
      <c r="Q851" s="20">
        <v>0</v>
      </c>
      <c r="R851" s="20">
        <v>0</v>
      </c>
      <c r="X851" s="20">
        <v>1</v>
      </c>
      <c r="Z851" s="20" t="s">
        <v>1853</v>
      </c>
      <c r="AA851" s="20" t="s">
        <v>1860</v>
      </c>
      <c r="AB851" s="31">
        <f>VLOOKUP(AA851,Masters!$K$2:$L$183,2,FALSE)</f>
        <v>1002</v>
      </c>
      <c r="AC851" s="20" t="s">
        <v>2063</v>
      </c>
      <c r="AD851" s="20" t="s">
        <v>2060</v>
      </c>
      <c r="AE851" s="20">
        <v>24</v>
      </c>
      <c r="AF851" s="20">
        <v>9</v>
      </c>
      <c r="AG851" s="20">
        <v>2001</v>
      </c>
      <c r="AH851" s="21">
        <v>37158</v>
      </c>
    </row>
    <row r="852" spans="1:34" x14ac:dyDescent="0.25">
      <c r="A852" s="35">
        <v>1686</v>
      </c>
      <c r="B852" s="20" t="s">
        <v>1841</v>
      </c>
      <c r="C852" s="20" t="s">
        <v>1841</v>
      </c>
      <c r="D852" s="94" t="s">
        <v>1613</v>
      </c>
      <c r="E852" s="20" t="s">
        <v>2054</v>
      </c>
      <c r="F852" s="20" t="s">
        <v>1844</v>
      </c>
      <c r="G852" s="31" t="s">
        <v>40</v>
      </c>
      <c r="H852" s="32">
        <v>1</v>
      </c>
      <c r="J852" s="32">
        <v>1</v>
      </c>
      <c r="O852" s="20">
        <v>0</v>
      </c>
      <c r="P852" s="20">
        <v>1</v>
      </c>
      <c r="Q852" s="20">
        <v>0</v>
      </c>
      <c r="R852" s="20">
        <v>0</v>
      </c>
      <c r="X852" s="20">
        <v>1</v>
      </c>
      <c r="Z852" s="20" t="s">
        <v>1855</v>
      </c>
      <c r="AA852" s="20" t="s">
        <v>1863</v>
      </c>
      <c r="AB852" s="31">
        <f>VLOOKUP(AA852,Masters!$K$2:$L$183,2,FALSE)</f>
        <v>1005</v>
      </c>
      <c r="AC852" s="20" t="s">
        <v>2063</v>
      </c>
      <c r="AD852" s="20" t="s">
        <v>2060</v>
      </c>
      <c r="AE852" s="20">
        <v>25</v>
      </c>
      <c r="AF852" s="20">
        <v>10</v>
      </c>
      <c r="AG852" s="20">
        <v>2003</v>
      </c>
      <c r="AH852" s="21">
        <v>37919</v>
      </c>
    </row>
    <row r="853" spans="1:34" x14ac:dyDescent="0.25">
      <c r="A853" s="35">
        <v>1687</v>
      </c>
      <c r="B853" s="20" t="s">
        <v>1841</v>
      </c>
      <c r="C853" s="20" t="s">
        <v>1841</v>
      </c>
      <c r="D853" s="94" t="s">
        <v>1614</v>
      </c>
      <c r="E853" s="20" t="s">
        <v>2053</v>
      </c>
      <c r="F853" s="20" t="s">
        <v>1846</v>
      </c>
      <c r="G853" s="31" t="s">
        <v>40</v>
      </c>
      <c r="H853" s="32">
        <v>1</v>
      </c>
      <c r="J853" s="32">
        <v>1</v>
      </c>
      <c r="O853" s="20">
        <v>0</v>
      </c>
      <c r="P853" s="20">
        <v>1</v>
      </c>
      <c r="Q853" s="20">
        <v>0</v>
      </c>
      <c r="R853" s="20">
        <v>0</v>
      </c>
      <c r="X853" s="20">
        <v>1</v>
      </c>
      <c r="Z853" s="20" t="s">
        <v>78</v>
      </c>
      <c r="AA853" s="20" t="s">
        <v>1861</v>
      </c>
      <c r="AB853" s="31">
        <f>VLOOKUP(AA853,Masters!$K$2:$L$183,2,FALSE)</f>
        <v>1003</v>
      </c>
      <c r="AC853" s="20" t="s">
        <v>2063</v>
      </c>
      <c r="AD853" s="20" t="s">
        <v>2060</v>
      </c>
      <c r="AE853" s="20">
        <v>1</v>
      </c>
      <c r="AF853" s="20">
        <v>7</v>
      </c>
      <c r="AG853" s="20">
        <v>2001</v>
      </c>
      <c r="AH853" s="21">
        <v>37073</v>
      </c>
    </row>
    <row r="854" spans="1:34" x14ac:dyDescent="0.25">
      <c r="A854" s="35">
        <v>1688</v>
      </c>
      <c r="B854" s="20" t="s">
        <v>1841</v>
      </c>
      <c r="C854" s="20" t="s">
        <v>1841</v>
      </c>
      <c r="D854" s="94" t="s">
        <v>1615</v>
      </c>
      <c r="E854" s="20" t="s">
        <v>2054</v>
      </c>
      <c r="F854" s="20" t="s">
        <v>1843</v>
      </c>
      <c r="G854" s="31" t="s">
        <v>40</v>
      </c>
      <c r="H854" s="32">
        <v>1</v>
      </c>
      <c r="J854" s="32">
        <v>1</v>
      </c>
      <c r="O854" s="20">
        <v>0</v>
      </c>
      <c r="P854" s="20">
        <v>1</v>
      </c>
      <c r="Q854" s="20">
        <v>0</v>
      </c>
      <c r="R854" s="20">
        <v>0</v>
      </c>
      <c r="X854" s="20">
        <v>1</v>
      </c>
      <c r="Z854" s="20" t="s">
        <v>1848</v>
      </c>
      <c r="AA854" s="20" t="s">
        <v>1859</v>
      </c>
      <c r="AB854" s="31">
        <f>VLOOKUP(AA854,Masters!$K$2:$L$183,2,FALSE)</f>
        <v>1001</v>
      </c>
      <c r="AC854" s="20" t="s">
        <v>2063</v>
      </c>
      <c r="AD854" s="20" t="s">
        <v>2060</v>
      </c>
      <c r="AE854" s="20">
        <v>1</v>
      </c>
      <c r="AF854" s="20">
        <v>9</v>
      </c>
      <c r="AG854" s="20">
        <v>2002</v>
      </c>
      <c r="AH854" s="21">
        <v>37500</v>
      </c>
    </row>
    <row r="855" spans="1:34" x14ac:dyDescent="0.25">
      <c r="A855" s="35">
        <v>1690</v>
      </c>
      <c r="B855" s="20" t="s">
        <v>1841</v>
      </c>
      <c r="C855" s="20" t="s">
        <v>1841</v>
      </c>
      <c r="D855" s="94" t="s">
        <v>1617</v>
      </c>
      <c r="E855" s="20" t="s">
        <v>2051</v>
      </c>
      <c r="F855" s="20" t="s">
        <v>1844</v>
      </c>
      <c r="G855" s="31" t="s">
        <v>40</v>
      </c>
      <c r="H855" s="32">
        <v>1</v>
      </c>
      <c r="J855" s="32">
        <v>1</v>
      </c>
      <c r="O855" s="20">
        <v>0</v>
      </c>
      <c r="P855" s="20">
        <v>1</v>
      </c>
      <c r="Q855" s="20">
        <v>0</v>
      </c>
      <c r="R855" s="20">
        <v>0</v>
      </c>
      <c r="X855" s="20">
        <v>1</v>
      </c>
      <c r="Z855" s="20" t="s">
        <v>78</v>
      </c>
      <c r="AA855" s="20" t="s">
        <v>1863</v>
      </c>
      <c r="AB855" s="31">
        <f>VLOOKUP(AA855,Masters!$K$2:$L$183,2,FALSE)</f>
        <v>1005</v>
      </c>
      <c r="AC855" s="20" t="s">
        <v>2063</v>
      </c>
      <c r="AD855" s="20" t="s">
        <v>2060</v>
      </c>
      <c r="AE855" s="20">
        <v>24</v>
      </c>
      <c r="AF855" s="20">
        <v>12</v>
      </c>
      <c r="AG855" s="20">
        <v>2000</v>
      </c>
      <c r="AH855" s="21">
        <v>36884</v>
      </c>
    </row>
    <row r="856" spans="1:34" x14ac:dyDescent="0.25">
      <c r="A856" s="35">
        <v>1691</v>
      </c>
      <c r="B856" s="20" t="s">
        <v>1841</v>
      </c>
      <c r="C856" s="20" t="s">
        <v>1841</v>
      </c>
      <c r="D856" s="94" t="s">
        <v>1618</v>
      </c>
      <c r="E856" s="20" t="s">
        <v>2050</v>
      </c>
      <c r="F856" s="20" t="s">
        <v>1843</v>
      </c>
      <c r="G856" s="31" t="s">
        <v>40</v>
      </c>
      <c r="H856" s="32">
        <v>1</v>
      </c>
      <c r="J856" s="32">
        <v>1</v>
      </c>
      <c r="O856" s="20">
        <v>0</v>
      </c>
      <c r="P856" s="20">
        <v>1</v>
      </c>
      <c r="Q856" s="20">
        <v>0</v>
      </c>
      <c r="R856" s="20">
        <v>0</v>
      </c>
      <c r="X856" s="20">
        <v>1</v>
      </c>
      <c r="Z856" s="20" t="s">
        <v>1857</v>
      </c>
      <c r="AA856" s="20" t="s">
        <v>1861</v>
      </c>
      <c r="AB856" s="31">
        <f>VLOOKUP(AA856,Masters!$K$2:$L$183,2,FALSE)</f>
        <v>1003</v>
      </c>
      <c r="AC856" s="20" t="s">
        <v>2063</v>
      </c>
      <c r="AD856" s="20" t="s">
        <v>2060</v>
      </c>
      <c r="AE856" s="20">
        <v>21</v>
      </c>
      <c r="AF856" s="20">
        <v>8</v>
      </c>
      <c r="AG856" s="20">
        <v>2005</v>
      </c>
      <c r="AH856" s="21">
        <v>38585</v>
      </c>
    </row>
    <row r="857" spans="1:34" x14ac:dyDescent="0.25">
      <c r="A857" s="35">
        <v>1692</v>
      </c>
      <c r="B857" s="20" t="s">
        <v>1841</v>
      </c>
      <c r="C857" s="20" t="s">
        <v>1841</v>
      </c>
      <c r="D857" s="94" t="s">
        <v>1619</v>
      </c>
      <c r="E857" s="20" t="s">
        <v>133</v>
      </c>
      <c r="F857" s="20" t="s">
        <v>1845</v>
      </c>
      <c r="G857" s="31" t="s">
        <v>40</v>
      </c>
      <c r="H857" s="32">
        <v>1</v>
      </c>
      <c r="J857" s="32">
        <v>1</v>
      </c>
      <c r="O857" s="20">
        <v>0</v>
      </c>
      <c r="P857" s="20">
        <v>1</v>
      </c>
      <c r="Q857" s="20">
        <v>0</v>
      </c>
      <c r="R857" s="20">
        <v>0</v>
      </c>
      <c r="X857" s="20">
        <v>1</v>
      </c>
      <c r="Z857" s="20" t="s">
        <v>1857</v>
      </c>
      <c r="AA857" s="20" t="s">
        <v>1859</v>
      </c>
      <c r="AB857" s="31">
        <f>VLOOKUP(AA857,Masters!$K$2:$L$183,2,FALSE)</f>
        <v>1001</v>
      </c>
      <c r="AC857" s="20" t="s">
        <v>2063</v>
      </c>
      <c r="AD857" s="20" t="s">
        <v>2060</v>
      </c>
      <c r="AE857" s="20">
        <v>3</v>
      </c>
      <c r="AF857" s="20">
        <v>9</v>
      </c>
      <c r="AG857" s="20">
        <v>2003</v>
      </c>
      <c r="AH857" s="21">
        <v>37867</v>
      </c>
    </row>
    <row r="858" spans="1:34" x14ac:dyDescent="0.25">
      <c r="A858" s="35">
        <v>1693</v>
      </c>
      <c r="B858" s="20" t="s">
        <v>1841</v>
      </c>
      <c r="C858" s="20" t="s">
        <v>1841</v>
      </c>
      <c r="D858" s="94" t="s">
        <v>1620</v>
      </c>
      <c r="E858" s="20" t="s">
        <v>2055</v>
      </c>
      <c r="F858" s="20" t="s">
        <v>1844</v>
      </c>
      <c r="G858" s="31" t="s">
        <v>40</v>
      </c>
      <c r="H858" s="32">
        <v>1</v>
      </c>
      <c r="J858" s="32">
        <v>1</v>
      </c>
      <c r="O858" s="20">
        <v>0</v>
      </c>
      <c r="P858" s="20">
        <v>1</v>
      </c>
      <c r="Q858" s="20">
        <v>0</v>
      </c>
      <c r="R858" s="20">
        <v>0</v>
      </c>
      <c r="X858" s="20">
        <v>1</v>
      </c>
      <c r="Z858" s="20" t="s">
        <v>58</v>
      </c>
      <c r="AA858" s="20" t="s">
        <v>1861</v>
      </c>
      <c r="AB858" s="31">
        <f>VLOOKUP(AA858,Masters!$K$2:$L$183,2,FALSE)</f>
        <v>1003</v>
      </c>
      <c r="AC858" s="20" t="s">
        <v>2063</v>
      </c>
      <c r="AD858" s="20" t="s">
        <v>2060</v>
      </c>
      <c r="AE858" s="20">
        <v>22</v>
      </c>
      <c r="AF858" s="20">
        <v>11</v>
      </c>
      <c r="AG858" s="20">
        <v>2000</v>
      </c>
      <c r="AH858" s="21">
        <v>36852</v>
      </c>
    </row>
    <row r="859" spans="1:34" x14ac:dyDescent="0.25">
      <c r="A859" s="35">
        <v>1694</v>
      </c>
      <c r="B859" s="20" t="s">
        <v>1841</v>
      </c>
      <c r="C859" s="20" t="s">
        <v>1841</v>
      </c>
      <c r="D859" s="94" t="s">
        <v>1621</v>
      </c>
      <c r="E859" s="20" t="s">
        <v>126</v>
      </c>
      <c r="F859" s="20" t="s">
        <v>1844</v>
      </c>
      <c r="G859" s="31" t="s">
        <v>40</v>
      </c>
      <c r="H859" s="32">
        <v>1</v>
      </c>
      <c r="J859" s="32">
        <v>1</v>
      </c>
      <c r="O859" s="20">
        <v>0</v>
      </c>
      <c r="P859" s="20">
        <v>1</v>
      </c>
      <c r="Q859" s="20">
        <v>0</v>
      </c>
      <c r="R859" s="20">
        <v>0</v>
      </c>
      <c r="X859" s="20">
        <v>1</v>
      </c>
      <c r="Z859" s="20" t="s">
        <v>1857</v>
      </c>
      <c r="AA859" s="20" t="s">
        <v>1861</v>
      </c>
      <c r="AB859" s="31">
        <f>VLOOKUP(AA859,Masters!$K$2:$L$183,2,FALSE)</f>
        <v>1003</v>
      </c>
      <c r="AC859" s="20" t="s">
        <v>2063</v>
      </c>
      <c r="AD859" s="20" t="s">
        <v>2060</v>
      </c>
      <c r="AE859" s="20">
        <v>6</v>
      </c>
      <c r="AF859" s="20">
        <v>3</v>
      </c>
      <c r="AG859" s="20">
        <v>2000</v>
      </c>
      <c r="AH859" s="21">
        <v>36591</v>
      </c>
    </row>
    <row r="860" spans="1:34" x14ac:dyDescent="0.25">
      <c r="A860" s="35">
        <v>1695</v>
      </c>
      <c r="B860" s="20" t="s">
        <v>1841</v>
      </c>
      <c r="C860" s="20" t="s">
        <v>1841</v>
      </c>
      <c r="D860" s="94" t="s">
        <v>1622</v>
      </c>
      <c r="E860" s="20" t="s">
        <v>2053</v>
      </c>
      <c r="F860" s="20" t="s">
        <v>1846</v>
      </c>
      <c r="G860" s="31" t="s">
        <v>40</v>
      </c>
      <c r="H860" s="32">
        <v>1</v>
      </c>
      <c r="J860" s="32">
        <v>1</v>
      </c>
      <c r="O860" s="20">
        <v>0</v>
      </c>
      <c r="P860" s="20">
        <v>1</v>
      </c>
      <c r="Q860" s="20">
        <v>0</v>
      </c>
      <c r="R860" s="20">
        <v>0</v>
      </c>
      <c r="X860" s="20">
        <v>1</v>
      </c>
      <c r="Z860" s="20" t="s">
        <v>1855</v>
      </c>
      <c r="AA860" s="20" t="s">
        <v>1861</v>
      </c>
      <c r="AB860" s="31">
        <f>VLOOKUP(AA860,Masters!$K$2:$L$183,2,FALSE)</f>
        <v>1003</v>
      </c>
      <c r="AC860" s="20" t="s">
        <v>2063</v>
      </c>
      <c r="AD860" s="20" t="s">
        <v>2060</v>
      </c>
      <c r="AE860" s="20">
        <v>24</v>
      </c>
      <c r="AF860" s="20">
        <v>7</v>
      </c>
      <c r="AG860" s="20">
        <v>2000</v>
      </c>
      <c r="AH860" s="21">
        <v>36731</v>
      </c>
    </row>
    <row r="861" spans="1:34" x14ac:dyDescent="0.25">
      <c r="A861" s="35">
        <v>1697</v>
      </c>
      <c r="B861" s="20" t="s">
        <v>1841</v>
      </c>
      <c r="C861" s="20" t="s">
        <v>1841</v>
      </c>
      <c r="D861" s="94" t="s">
        <v>1624</v>
      </c>
      <c r="E861" s="20" t="s">
        <v>2051</v>
      </c>
      <c r="F861" s="20" t="s">
        <v>1845</v>
      </c>
      <c r="G861" s="31" t="s">
        <v>40</v>
      </c>
      <c r="H861" s="32">
        <v>1</v>
      </c>
      <c r="J861" s="32">
        <v>1</v>
      </c>
      <c r="O861" s="20">
        <v>0</v>
      </c>
      <c r="P861" s="20">
        <v>1</v>
      </c>
      <c r="Q861" s="20">
        <v>0</v>
      </c>
      <c r="R861" s="20">
        <v>0</v>
      </c>
      <c r="X861" s="20">
        <v>1</v>
      </c>
      <c r="Z861" s="20" t="s">
        <v>100</v>
      </c>
      <c r="AA861" s="20" t="s">
        <v>1862</v>
      </c>
      <c r="AB861" s="31">
        <f>VLOOKUP(AA861,Masters!$K$2:$L$183,2,FALSE)</f>
        <v>1004</v>
      </c>
      <c r="AC861" s="20" t="s">
        <v>2063</v>
      </c>
      <c r="AD861" s="20" t="s">
        <v>2060</v>
      </c>
      <c r="AE861" s="20">
        <v>6</v>
      </c>
      <c r="AF861" s="20">
        <v>7</v>
      </c>
      <c r="AG861" s="20">
        <v>2001</v>
      </c>
      <c r="AH861" s="21">
        <v>37078</v>
      </c>
    </row>
    <row r="862" spans="1:34" x14ac:dyDescent="0.25">
      <c r="A862" s="35">
        <v>1698</v>
      </c>
      <c r="B862" s="20" t="s">
        <v>1841</v>
      </c>
      <c r="C862" s="20" t="s">
        <v>1841</v>
      </c>
      <c r="D862" s="94" t="s">
        <v>1625</v>
      </c>
      <c r="E862" s="20" t="s">
        <v>2054</v>
      </c>
      <c r="F862" s="20" t="s">
        <v>1845</v>
      </c>
      <c r="G862" s="31" t="s">
        <v>40</v>
      </c>
      <c r="H862" s="32">
        <v>1</v>
      </c>
      <c r="J862" s="32">
        <v>1</v>
      </c>
      <c r="O862" s="20">
        <v>0</v>
      </c>
      <c r="P862" s="20">
        <v>1</v>
      </c>
      <c r="Q862" s="20">
        <v>0</v>
      </c>
      <c r="R862" s="20">
        <v>0</v>
      </c>
      <c r="X862" s="20">
        <v>1</v>
      </c>
      <c r="Z862" s="20" t="s">
        <v>1854</v>
      </c>
      <c r="AA862" s="20" t="s">
        <v>1862</v>
      </c>
      <c r="AB862" s="31">
        <f>VLOOKUP(AA862,Masters!$K$2:$L$183,2,FALSE)</f>
        <v>1004</v>
      </c>
      <c r="AC862" s="20" t="s">
        <v>2063</v>
      </c>
      <c r="AD862" s="20" t="s">
        <v>2060</v>
      </c>
      <c r="AE862" s="20">
        <v>8</v>
      </c>
      <c r="AF862" s="20">
        <v>5</v>
      </c>
      <c r="AG862" s="20">
        <v>2000</v>
      </c>
      <c r="AH862" s="21">
        <v>36654</v>
      </c>
    </row>
    <row r="863" spans="1:34" x14ac:dyDescent="0.25">
      <c r="A863" s="35">
        <v>1699</v>
      </c>
      <c r="B863" s="20" t="s">
        <v>1841</v>
      </c>
      <c r="C863" s="20" t="s">
        <v>1841</v>
      </c>
      <c r="D863" s="94" t="s">
        <v>1626</v>
      </c>
      <c r="E863" s="20" t="s">
        <v>2052</v>
      </c>
      <c r="F863" s="20" t="s">
        <v>1847</v>
      </c>
      <c r="G863" s="31" t="s">
        <v>40</v>
      </c>
      <c r="H863" s="32">
        <v>1</v>
      </c>
      <c r="J863" s="32">
        <v>1</v>
      </c>
      <c r="O863" s="20">
        <v>0</v>
      </c>
      <c r="P863" s="20">
        <v>1</v>
      </c>
      <c r="Q863" s="20">
        <v>0</v>
      </c>
      <c r="R863" s="20">
        <v>0</v>
      </c>
      <c r="X863" s="20">
        <v>1</v>
      </c>
      <c r="Z863" s="20" t="s">
        <v>1832</v>
      </c>
      <c r="AA863" s="20" t="s">
        <v>1861</v>
      </c>
      <c r="AB863" s="31">
        <f>VLOOKUP(AA863,Masters!$K$2:$L$183,2,FALSE)</f>
        <v>1003</v>
      </c>
      <c r="AC863" s="20" t="s">
        <v>2063</v>
      </c>
      <c r="AD863" s="20" t="s">
        <v>2060</v>
      </c>
      <c r="AE863" s="20">
        <v>29</v>
      </c>
      <c r="AF863" s="20">
        <v>7</v>
      </c>
      <c r="AG863" s="20">
        <v>2000</v>
      </c>
      <c r="AH863" s="21">
        <v>36736</v>
      </c>
    </row>
    <row r="864" spans="1:34" x14ac:dyDescent="0.25">
      <c r="A864" s="35">
        <v>1700</v>
      </c>
      <c r="B864" s="20" t="s">
        <v>1841</v>
      </c>
      <c r="C864" s="20" t="s">
        <v>1841</v>
      </c>
      <c r="D864" s="94" t="s">
        <v>1627</v>
      </c>
      <c r="E864" s="20" t="s">
        <v>2050</v>
      </c>
      <c r="F864" s="20" t="s">
        <v>1847</v>
      </c>
      <c r="G864" s="31" t="s">
        <v>40</v>
      </c>
      <c r="H864" s="32">
        <v>1</v>
      </c>
      <c r="J864" s="32">
        <v>1</v>
      </c>
      <c r="O864" s="20">
        <v>0</v>
      </c>
      <c r="P864" s="20">
        <v>1</v>
      </c>
      <c r="Q864" s="20">
        <v>0</v>
      </c>
      <c r="R864" s="20">
        <v>0</v>
      </c>
      <c r="X864" s="20">
        <v>1</v>
      </c>
      <c r="Z864" s="20" t="s">
        <v>1849</v>
      </c>
      <c r="AA864" s="20" t="s">
        <v>1862</v>
      </c>
      <c r="AB864" s="31">
        <f>VLOOKUP(AA864,Masters!$K$2:$L$183,2,FALSE)</f>
        <v>1004</v>
      </c>
      <c r="AC864" s="20" t="s">
        <v>2063</v>
      </c>
      <c r="AD864" s="20" t="s">
        <v>2060</v>
      </c>
      <c r="AE864" s="20">
        <v>18</v>
      </c>
      <c r="AF864" s="20">
        <v>2</v>
      </c>
      <c r="AG864" s="20">
        <v>2002</v>
      </c>
      <c r="AH864" s="21">
        <v>37305</v>
      </c>
    </row>
    <row r="865" spans="1:34" x14ac:dyDescent="0.25">
      <c r="A865" s="35">
        <v>1701</v>
      </c>
      <c r="B865" s="20" t="s">
        <v>1841</v>
      </c>
      <c r="C865" s="20" t="s">
        <v>1841</v>
      </c>
      <c r="D865" s="94" t="s">
        <v>1628</v>
      </c>
      <c r="E865" s="20" t="s">
        <v>133</v>
      </c>
      <c r="F865" s="20" t="s">
        <v>1846</v>
      </c>
      <c r="G865" s="31" t="s">
        <v>40</v>
      </c>
      <c r="H865" s="32">
        <v>1</v>
      </c>
      <c r="J865" s="32">
        <v>1</v>
      </c>
      <c r="O865" s="20">
        <v>0</v>
      </c>
      <c r="P865" s="20">
        <v>1</v>
      </c>
      <c r="Q865" s="20">
        <v>0</v>
      </c>
      <c r="R865" s="20">
        <v>0</v>
      </c>
      <c r="X865" s="20">
        <v>1</v>
      </c>
      <c r="Z865" s="20" t="s">
        <v>1849</v>
      </c>
      <c r="AA865" s="20" t="s">
        <v>1862</v>
      </c>
      <c r="AB865" s="31">
        <f>VLOOKUP(AA865,Masters!$K$2:$L$183,2,FALSE)</f>
        <v>1004</v>
      </c>
      <c r="AC865" s="20" t="s">
        <v>2063</v>
      </c>
      <c r="AD865" s="20" t="s">
        <v>2060</v>
      </c>
      <c r="AE865" s="20">
        <v>8</v>
      </c>
      <c r="AF865" s="20">
        <v>7</v>
      </c>
      <c r="AG865" s="20">
        <v>2005</v>
      </c>
      <c r="AH865" s="21">
        <v>38541</v>
      </c>
    </row>
    <row r="866" spans="1:34" x14ac:dyDescent="0.25">
      <c r="A866" s="35">
        <v>1704</v>
      </c>
      <c r="B866" s="20" t="s">
        <v>1842</v>
      </c>
      <c r="C866" s="20" t="s">
        <v>1842</v>
      </c>
      <c r="D866" s="94" t="s">
        <v>1631</v>
      </c>
      <c r="E866" s="20" t="s">
        <v>2057</v>
      </c>
      <c r="F866" s="20" t="s">
        <v>1844</v>
      </c>
      <c r="G866" s="31" t="s">
        <v>40</v>
      </c>
      <c r="H866" s="32">
        <v>1</v>
      </c>
      <c r="J866" s="32">
        <v>1</v>
      </c>
      <c r="O866" s="20">
        <v>0</v>
      </c>
      <c r="P866" s="20">
        <v>1</v>
      </c>
      <c r="Q866" s="20">
        <v>0</v>
      </c>
      <c r="R866" s="20">
        <v>0</v>
      </c>
      <c r="X866" s="20">
        <v>1</v>
      </c>
      <c r="Z866" s="20" t="s">
        <v>1851</v>
      </c>
      <c r="AA866" s="20" t="s">
        <v>1859</v>
      </c>
      <c r="AB866" s="31">
        <f>VLOOKUP(AA866,Masters!$K$2:$L$183,2,FALSE)</f>
        <v>1001</v>
      </c>
      <c r="AC866" s="20" t="s">
        <v>2063</v>
      </c>
      <c r="AD866" s="20" t="s">
        <v>2060</v>
      </c>
      <c r="AE866" s="20">
        <v>17</v>
      </c>
      <c r="AF866" s="20">
        <v>10</v>
      </c>
      <c r="AG866" s="20">
        <v>2002</v>
      </c>
      <c r="AH866" s="21">
        <v>37546</v>
      </c>
    </row>
    <row r="867" spans="1:34" x14ac:dyDescent="0.25">
      <c r="A867" s="35">
        <v>1711</v>
      </c>
      <c r="B867" s="20" t="s">
        <v>1842</v>
      </c>
      <c r="C867" s="20" t="s">
        <v>1842</v>
      </c>
      <c r="D867" s="94" t="s">
        <v>1638</v>
      </c>
      <c r="E867" s="20" t="s">
        <v>2058</v>
      </c>
      <c r="F867" s="20" t="s">
        <v>1846</v>
      </c>
      <c r="G867" s="31" t="s">
        <v>40</v>
      </c>
      <c r="H867" s="32">
        <v>1</v>
      </c>
      <c r="J867" s="32">
        <v>1</v>
      </c>
      <c r="O867" s="20">
        <v>0</v>
      </c>
      <c r="P867" s="20">
        <v>1</v>
      </c>
      <c r="Q867" s="20">
        <v>0</v>
      </c>
      <c r="R867" s="20">
        <v>0</v>
      </c>
      <c r="X867" s="20">
        <v>1</v>
      </c>
      <c r="Z867" s="20" t="s">
        <v>1852</v>
      </c>
      <c r="AA867" s="20" t="s">
        <v>1859</v>
      </c>
      <c r="AB867" s="31">
        <f>VLOOKUP(AA867,Masters!$K$2:$L$183,2,FALSE)</f>
        <v>1001</v>
      </c>
      <c r="AC867" s="20" t="s">
        <v>2063</v>
      </c>
      <c r="AD867" s="20" t="s">
        <v>2060</v>
      </c>
      <c r="AE867" s="20">
        <v>15</v>
      </c>
      <c r="AF867" s="20">
        <v>12</v>
      </c>
      <c r="AG867" s="20">
        <v>2001</v>
      </c>
      <c r="AH867" s="21">
        <v>37240</v>
      </c>
    </row>
    <row r="868" spans="1:34" x14ac:dyDescent="0.25">
      <c r="A868" s="35">
        <v>1715</v>
      </c>
      <c r="B868" s="20" t="s">
        <v>1842</v>
      </c>
      <c r="C868" s="20" t="s">
        <v>1842</v>
      </c>
      <c r="D868" s="94" t="s">
        <v>1642</v>
      </c>
      <c r="E868" s="20" t="s">
        <v>2051</v>
      </c>
      <c r="F868" s="20" t="s">
        <v>1843</v>
      </c>
      <c r="G868" s="31" t="s">
        <v>40</v>
      </c>
      <c r="H868" s="32">
        <v>1</v>
      </c>
      <c r="J868" s="32">
        <v>1</v>
      </c>
      <c r="O868" s="20">
        <v>0</v>
      </c>
      <c r="P868" s="20">
        <v>1</v>
      </c>
      <c r="Q868" s="20">
        <v>0</v>
      </c>
      <c r="R868" s="20">
        <v>0</v>
      </c>
      <c r="X868" s="20">
        <v>1</v>
      </c>
      <c r="Z868" s="20" t="s">
        <v>1857</v>
      </c>
      <c r="AA868" s="20" t="s">
        <v>1860</v>
      </c>
      <c r="AB868" s="31">
        <f>VLOOKUP(AA868,Masters!$K$2:$L$183,2,FALSE)</f>
        <v>1002</v>
      </c>
      <c r="AC868" s="20" t="s">
        <v>2063</v>
      </c>
      <c r="AD868" s="20" t="s">
        <v>2061</v>
      </c>
      <c r="AE868" s="20">
        <v>13</v>
      </c>
      <c r="AF868" s="20">
        <v>8</v>
      </c>
      <c r="AG868" s="20">
        <v>2001</v>
      </c>
      <c r="AH868" s="21">
        <v>37116</v>
      </c>
    </row>
    <row r="869" spans="1:34" x14ac:dyDescent="0.25">
      <c r="A869" s="35">
        <v>1717</v>
      </c>
      <c r="B869" s="20" t="s">
        <v>1842</v>
      </c>
      <c r="C869" s="20" t="s">
        <v>1842</v>
      </c>
      <c r="D869" s="94" t="s">
        <v>1644</v>
      </c>
      <c r="E869" s="20" t="s">
        <v>2051</v>
      </c>
      <c r="F869" s="20" t="s">
        <v>1844</v>
      </c>
      <c r="G869" s="31" t="s">
        <v>40</v>
      </c>
      <c r="H869" s="32">
        <v>1</v>
      </c>
      <c r="J869" s="32">
        <v>1</v>
      </c>
      <c r="O869" s="20">
        <v>0</v>
      </c>
      <c r="P869" s="20">
        <v>1</v>
      </c>
      <c r="Q869" s="20">
        <v>0</v>
      </c>
      <c r="R869" s="20">
        <v>0</v>
      </c>
      <c r="X869" s="20">
        <v>1</v>
      </c>
      <c r="Z869" s="20" t="s">
        <v>1849</v>
      </c>
      <c r="AA869" s="20" t="s">
        <v>1860</v>
      </c>
      <c r="AB869" s="31">
        <f>VLOOKUP(AA869,Masters!$K$2:$L$183,2,FALSE)</f>
        <v>1002</v>
      </c>
      <c r="AC869" s="20" t="s">
        <v>2063</v>
      </c>
      <c r="AD869" s="20" t="s">
        <v>2060</v>
      </c>
      <c r="AE869" s="20">
        <v>10</v>
      </c>
      <c r="AF869" s="20">
        <v>11</v>
      </c>
      <c r="AG869" s="20">
        <v>2002</v>
      </c>
      <c r="AH869" s="21">
        <v>37570</v>
      </c>
    </row>
    <row r="870" spans="1:34" x14ac:dyDescent="0.25">
      <c r="A870" s="35">
        <v>1730</v>
      </c>
      <c r="B870" s="20" t="s">
        <v>1842</v>
      </c>
      <c r="C870" s="20" t="s">
        <v>1842</v>
      </c>
      <c r="D870" s="94" t="s">
        <v>1657</v>
      </c>
      <c r="E870" s="20" t="s">
        <v>2055</v>
      </c>
      <c r="F870" s="20" t="s">
        <v>1847</v>
      </c>
      <c r="G870" s="31" t="s">
        <v>40</v>
      </c>
      <c r="H870" s="32">
        <v>1</v>
      </c>
      <c r="J870" s="32">
        <v>1</v>
      </c>
      <c r="O870" s="20">
        <v>0</v>
      </c>
      <c r="P870" s="20">
        <v>1</v>
      </c>
      <c r="Q870" s="20">
        <v>0</v>
      </c>
      <c r="R870" s="20">
        <v>0</v>
      </c>
      <c r="X870" s="20">
        <v>1</v>
      </c>
      <c r="Z870" s="20" t="s">
        <v>1852</v>
      </c>
      <c r="AA870" s="20" t="s">
        <v>1863</v>
      </c>
      <c r="AB870" s="31">
        <f>VLOOKUP(AA870,Masters!$K$2:$L$183,2,FALSE)</f>
        <v>1005</v>
      </c>
      <c r="AC870" s="20" t="s">
        <v>2063</v>
      </c>
      <c r="AD870" s="20" t="s">
        <v>2060</v>
      </c>
      <c r="AE870" s="20">
        <v>28</v>
      </c>
      <c r="AF870" s="20">
        <v>6</v>
      </c>
      <c r="AG870" s="20">
        <v>2004</v>
      </c>
      <c r="AH870" s="21">
        <v>38166</v>
      </c>
    </row>
    <row r="871" spans="1:34" x14ac:dyDescent="0.25">
      <c r="A871" s="35">
        <v>1731</v>
      </c>
      <c r="B871" s="20" t="s">
        <v>1842</v>
      </c>
      <c r="C871" s="20" t="s">
        <v>1842</v>
      </c>
      <c r="D871" s="94" t="s">
        <v>1658</v>
      </c>
      <c r="E871" s="20" t="s">
        <v>2052</v>
      </c>
      <c r="F871" s="20" t="s">
        <v>1843</v>
      </c>
      <c r="G871" s="31" t="s">
        <v>40</v>
      </c>
      <c r="H871" s="32">
        <v>1</v>
      </c>
      <c r="J871" s="32">
        <v>1</v>
      </c>
      <c r="O871" s="20">
        <v>0</v>
      </c>
      <c r="P871" s="20">
        <v>1</v>
      </c>
      <c r="Q871" s="20">
        <v>0</v>
      </c>
      <c r="R871" s="20">
        <v>0</v>
      </c>
      <c r="X871" s="20">
        <v>1</v>
      </c>
      <c r="Z871" s="20" t="s">
        <v>1858</v>
      </c>
      <c r="AA871" s="20" t="s">
        <v>1860</v>
      </c>
      <c r="AB871" s="31">
        <f>VLOOKUP(AA871,Masters!$K$2:$L$183,2,FALSE)</f>
        <v>1002</v>
      </c>
      <c r="AC871" s="20" t="s">
        <v>2063</v>
      </c>
      <c r="AD871" s="20" t="s">
        <v>2060</v>
      </c>
      <c r="AE871" s="20">
        <v>22</v>
      </c>
      <c r="AF871" s="20">
        <v>9</v>
      </c>
      <c r="AG871" s="20">
        <v>2000</v>
      </c>
      <c r="AH871" s="21">
        <v>36791</v>
      </c>
    </row>
    <row r="872" spans="1:34" x14ac:dyDescent="0.25">
      <c r="A872" s="35">
        <v>1734</v>
      </c>
      <c r="B872" s="20" t="s">
        <v>1842</v>
      </c>
      <c r="C872" s="20" t="s">
        <v>1842</v>
      </c>
      <c r="D872" s="94" t="s">
        <v>1661</v>
      </c>
      <c r="E872" s="20" t="s">
        <v>135</v>
      </c>
      <c r="F872" s="20" t="s">
        <v>1845</v>
      </c>
      <c r="G872" s="31" t="s">
        <v>40</v>
      </c>
      <c r="H872" s="32">
        <v>1</v>
      </c>
      <c r="J872" s="32">
        <v>1</v>
      </c>
      <c r="O872" s="20">
        <v>0</v>
      </c>
      <c r="P872" s="20">
        <v>1</v>
      </c>
      <c r="Q872" s="20">
        <v>0</v>
      </c>
      <c r="R872" s="20">
        <v>0</v>
      </c>
      <c r="X872" s="20">
        <v>1</v>
      </c>
      <c r="Z872" s="20" t="s">
        <v>1853</v>
      </c>
      <c r="AA872" s="20" t="s">
        <v>1860</v>
      </c>
      <c r="AB872" s="31">
        <f>VLOOKUP(AA872,Masters!$K$2:$L$183,2,FALSE)</f>
        <v>1002</v>
      </c>
      <c r="AC872" s="20" t="s">
        <v>2063</v>
      </c>
      <c r="AD872" s="20" t="s">
        <v>2060</v>
      </c>
      <c r="AE872" s="20">
        <v>31</v>
      </c>
      <c r="AF872" s="20">
        <v>7</v>
      </c>
      <c r="AG872" s="20">
        <v>2002</v>
      </c>
      <c r="AH872" s="21">
        <v>37468</v>
      </c>
    </row>
    <row r="873" spans="1:34" x14ac:dyDescent="0.25">
      <c r="A873" s="35">
        <v>1735</v>
      </c>
      <c r="B873" s="20" t="s">
        <v>1842</v>
      </c>
      <c r="C873" s="20" t="s">
        <v>1842</v>
      </c>
      <c r="D873" s="94" t="s">
        <v>1662</v>
      </c>
      <c r="E873" s="20" t="s">
        <v>2059</v>
      </c>
      <c r="F873" s="20" t="s">
        <v>1847</v>
      </c>
      <c r="G873" s="31" t="s">
        <v>40</v>
      </c>
      <c r="H873" s="32">
        <v>1</v>
      </c>
      <c r="J873" s="32">
        <v>1</v>
      </c>
      <c r="O873" s="20">
        <v>0</v>
      </c>
      <c r="P873" s="20">
        <v>1</v>
      </c>
      <c r="Q873" s="20">
        <v>0</v>
      </c>
      <c r="R873" s="20">
        <v>0</v>
      </c>
      <c r="X873" s="20">
        <v>1</v>
      </c>
      <c r="Z873" s="20" t="s">
        <v>1858</v>
      </c>
      <c r="AA873" s="20" t="s">
        <v>1860</v>
      </c>
      <c r="AB873" s="31">
        <f>VLOOKUP(AA873,Masters!$K$2:$L$183,2,FALSE)</f>
        <v>1002</v>
      </c>
      <c r="AC873" s="20" t="s">
        <v>2063</v>
      </c>
      <c r="AD873" s="20" t="s">
        <v>2060</v>
      </c>
      <c r="AE873" s="20">
        <v>10</v>
      </c>
      <c r="AF873" s="20">
        <v>10</v>
      </c>
      <c r="AG873" s="20">
        <v>2005</v>
      </c>
      <c r="AH873" s="21">
        <v>38635</v>
      </c>
    </row>
    <row r="874" spans="1:34" x14ac:dyDescent="0.25">
      <c r="A874" s="35">
        <v>1737</v>
      </c>
      <c r="B874" s="20" t="s">
        <v>1842</v>
      </c>
      <c r="C874" s="20" t="s">
        <v>1842</v>
      </c>
      <c r="D874" s="94" t="s">
        <v>1664</v>
      </c>
      <c r="E874" s="20" t="s">
        <v>2057</v>
      </c>
      <c r="F874" s="20" t="s">
        <v>1846</v>
      </c>
      <c r="G874" s="31" t="s">
        <v>40</v>
      </c>
      <c r="H874" s="32">
        <v>1</v>
      </c>
      <c r="J874" s="32">
        <v>1</v>
      </c>
      <c r="O874" s="20">
        <v>0</v>
      </c>
      <c r="P874" s="20">
        <v>1</v>
      </c>
      <c r="Q874" s="20">
        <v>0</v>
      </c>
      <c r="R874" s="20">
        <v>0</v>
      </c>
      <c r="X874" s="20">
        <v>1</v>
      </c>
      <c r="Z874" s="20" t="s">
        <v>1849</v>
      </c>
      <c r="AA874" s="20" t="s">
        <v>1862</v>
      </c>
      <c r="AB874" s="31">
        <f>VLOOKUP(AA874,Masters!$K$2:$L$183,2,FALSE)</f>
        <v>1004</v>
      </c>
      <c r="AC874" s="20" t="s">
        <v>2063</v>
      </c>
      <c r="AD874" s="20" t="s">
        <v>2060</v>
      </c>
      <c r="AE874" s="20">
        <v>24</v>
      </c>
      <c r="AF874" s="20">
        <v>5</v>
      </c>
      <c r="AG874" s="20">
        <v>2004</v>
      </c>
      <c r="AH874" s="21">
        <v>38131</v>
      </c>
    </row>
    <row r="875" spans="1:34" x14ac:dyDescent="0.25">
      <c r="A875" s="35">
        <v>1744</v>
      </c>
      <c r="B875" s="20" t="s">
        <v>1842</v>
      </c>
      <c r="C875" s="20" t="s">
        <v>1842</v>
      </c>
      <c r="D875" s="94" t="s">
        <v>1671</v>
      </c>
      <c r="E875" s="20" t="s">
        <v>2053</v>
      </c>
      <c r="F875" s="20" t="s">
        <v>1843</v>
      </c>
      <c r="G875" s="31" t="s">
        <v>40</v>
      </c>
      <c r="H875" s="32">
        <v>1</v>
      </c>
      <c r="J875" s="32">
        <v>1</v>
      </c>
      <c r="O875" s="20">
        <v>0</v>
      </c>
      <c r="P875" s="20">
        <v>1</v>
      </c>
      <c r="Q875" s="20">
        <v>0</v>
      </c>
      <c r="R875" s="20">
        <v>0</v>
      </c>
      <c r="X875" s="20">
        <v>1</v>
      </c>
      <c r="Z875" s="20" t="s">
        <v>1850</v>
      </c>
      <c r="AA875" s="20" t="s">
        <v>1863</v>
      </c>
      <c r="AB875" s="31">
        <f>VLOOKUP(AA875,Masters!$K$2:$L$183,2,FALSE)</f>
        <v>1005</v>
      </c>
      <c r="AC875" s="20" t="s">
        <v>2063</v>
      </c>
      <c r="AD875" s="20" t="s">
        <v>2060</v>
      </c>
      <c r="AE875" s="20">
        <v>13</v>
      </c>
      <c r="AF875" s="20">
        <v>3</v>
      </c>
      <c r="AG875" s="20">
        <v>2001</v>
      </c>
      <c r="AH875" s="21">
        <v>36963</v>
      </c>
    </row>
    <row r="876" spans="1:34" x14ac:dyDescent="0.25">
      <c r="A876" s="35">
        <v>1745</v>
      </c>
      <c r="B876" s="20" t="s">
        <v>1842</v>
      </c>
      <c r="C876" s="20" t="s">
        <v>1842</v>
      </c>
      <c r="D876" s="94" t="s">
        <v>1672</v>
      </c>
      <c r="E876" s="20" t="s">
        <v>133</v>
      </c>
      <c r="F876" s="20" t="s">
        <v>1843</v>
      </c>
      <c r="G876" s="31" t="s">
        <v>40</v>
      </c>
      <c r="H876" s="32">
        <v>1</v>
      </c>
      <c r="J876" s="32">
        <v>1</v>
      </c>
      <c r="O876" s="20">
        <v>0</v>
      </c>
      <c r="P876" s="20">
        <v>1</v>
      </c>
      <c r="Q876" s="20">
        <v>0</v>
      </c>
      <c r="R876" s="20">
        <v>0</v>
      </c>
      <c r="X876" s="20">
        <v>1</v>
      </c>
      <c r="Z876" s="20" t="s">
        <v>1854</v>
      </c>
      <c r="AA876" s="20" t="s">
        <v>1861</v>
      </c>
      <c r="AB876" s="31">
        <f>VLOOKUP(AA876,Masters!$K$2:$L$183,2,FALSE)</f>
        <v>1003</v>
      </c>
      <c r="AC876" s="20" t="s">
        <v>2063</v>
      </c>
      <c r="AD876" s="20" t="s">
        <v>2060</v>
      </c>
      <c r="AE876" s="20">
        <v>2</v>
      </c>
      <c r="AF876" s="20">
        <v>8</v>
      </c>
      <c r="AG876" s="20">
        <v>2005</v>
      </c>
      <c r="AH876" s="21">
        <v>38566</v>
      </c>
    </row>
    <row r="877" spans="1:34" x14ac:dyDescent="0.25">
      <c r="A877" s="35">
        <v>1750</v>
      </c>
      <c r="B877" s="20" t="s">
        <v>1842</v>
      </c>
      <c r="C877" s="20" t="s">
        <v>1842</v>
      </c>
      <c r="D877" s="94" t="s">
        <v>1677</v>
      </c>
      <c r="E877" s="20" t="s">
        <v>2054</v>
      </c>
      <c r="F877" s="20" t="s">
        <v>1843</v>
      </c>
      <c r="G877" s="31" t="s">
        <v>40</v>
      </c>
      <c r="H877" s="32">
        <v>1</v>
      </c>
      <c r="J877" s="32">
        <v>1</v>
      </c>
      <c r="O877" s="20">
        <v>0</v>
      </c>
      <c r="P877" s="20">
        <v>1</v>
      </c>
      <c r="Q877" s="20">
        <v>0</v>
      </c>
      <c r="R877" s="20">
        <v>0</v>
      </c>
      <c r="X877" s="20">
        <v>1</v>
      </c>
      <c r="Z877" s="20" t="s">
        <v>1852</v>
      </c>
      <c r="AA877" s="20" t="s">
        <v>1862</v>
      </c>
      <c r="AB877" s="31">
        <f>VLOOKUP(AA877,Masters!$K$2:$L$183,2,FALSE)</f>
        <v>1004</v>
      </c>
      <c r="AC877" s="20" t="s">
        <v>2063</v>
      </c>
      <c r="AD877" s="20" t="s">
        <v>2060</v>
      </c>
      <c r="AE877" s="20">
        <v>8</v>
      </c>
      <c r="AF877" s="20">
        <v>10</v>
      </c>
      <c r="AG877" s="20">
        <v>2005</v>
      </c>
      <c r="AH877" s="21">
        <v>38633</v>
      </c>
    </row>
    <row r="878" spans="1:34" x14ac:dyDescent="0.25">
      <c r="A878" s="35">
        <v>1751</v>
      </c>
      <c r="B878" s="20" t="s">
        <v>1842</v>
      </c>
      <c r="C878" s="20" t="s">
        <v>1842</v>
      </c>
      <c r="D878" s="94" t="s">
        <v>1678</v>
      </c>
      <c r="E878" s="20" t="s">
        <v>2052</v>
      </c>
      <c r="F878" s="20" t="s">
        <v>1843</v>
      </c>
      <c r="G878" s="31" t="s">
        <v>40</v>
      </c>
      <c r="H878" s="32">
        <v>1</v>
      </c>
      <c r="J878" s="32">
        <v>1</v>
      </c>
      <c r="O878" s="20">
        <v>0</v>
      </c>
      <c r="P878" s="20">
        <v>1</v>
      </c>
      <c r="Q878" s="20">
        <v>0</v>
      </c>
      <c r="R878" s="20">
        <v>0</v>
      </c>
      <c r="X878" s="20">
        <v>1</v>
      </c>
      <c r="Z878" s="20" t="s">
        <v>1850</v>
      </c>
      <c r="AA878" s="20" t="s">
        <v>1859</v>
      </c>
      <c r="AB878" s="31">
        <f>VLOOKUP(AA878,Masters!$K$2:$L$183,2,FALSE)</f>
        <v>1001</v>
      </c>
      <c r="AC878" s="20" t="s">
        <v>2063</v>
      </c>
      <c r="AD878" s="20" t="s">
        <v>2060</v>
      </c>
      <c r="AE878" s="20">
        <v>13</v>
      </c>
      <c r="AF878" s="20">
        <v>2</v>
      </c>
      <c r="AG878" s="20">
        <v>2000</v>
      </c>
      <c r="AH878" s="21">
        <v>36569</v>
      </c>
    </row>
    <row r="879" spans="1:34" x14ac:dyDescent="0.25">
      <c r="A879" s="35">
        <v>1760</v>
      </c>
      <c r="B879" s="20" t="s">
        <v>1842</v>
      </c>
      <c r="C879" s="20" t="s">
        <v>1842</v>
      </c>
      <c r="D879" s="94" t="s">
        <v>1687</v>
      </c>
      <c r="E879" s="20" t="s">
        <v>2054</v>
      </c>
      <c r="F879" s="20" t="s">
        <v>1845</v>
      </c>
      <c r="G879" s="31" t="s">
        <v>40</v>
      </c>
      <c r="H879" s="32">
        <v>1</v>
      </c>
      <c r="J879" s="32">
        <v>1</v>
      </c>
      <c r="O879" s="20">
        <v>0</v>
      </c>
      <c r="P879" s="20">
        <v>1</v>
      </c>
      <c r="Q879" s="20">
        <v>0</v>
      </c>
      <c r="R879" s="20">
        <v>0</v>
      </c>
      <c r="X879" s="20">
        <v>1</v>
      </c>
      <c r="Z879" s="20" t="s">
        <v>1848</v>
      </c>
      <c r="AA879" s="20" t="s">
        <v>1862</v>
      </c>
      <c r="AB879" s="31">
        <f>VLOOKUP(AA879,Masters!$K$2:$L$183,2,FALSE)</f>
        <v>1004</v>
      </c>
      <c r="AC879" s="20" t="s">
        <v>2063</v>
      </c>
      <c r="AD879" s="20" t="s">
        <v>2060</v>
      </c>
      <c r="AE879" s="20">
        <v>18</v>
      </c>
      <c r="AF879" s="20">
        <v>7</v>
      </c>
      <c r="AG879" s="20">
        <v>2000</v>
      </c>
      <c r="AH879" s="21">
        <v>36725</v>
      </c>
    </row>
    <row r="880" spans="1:34" x14ac:dyDescent="0.25">
      <c r="A880" s="35">
        <v>1761</v>
      </c>
      <c r="B880" s="20" t="s">
        <v>1842</v>
      </c>
      <c r="C880" s="20" t="s">
        <v>1842</v>
      </c>
      <c r="D880" s="94" t="s">
        <v>1688</v>
      </c>
      <c r="E880" s="20" t="s">
        <v>2054</v>
      </c>
      <c r="F880" s="20" t="s">
        <v>1845</v>
      </c>
      <c r="G880" s="31" t="s">
        <v>40</v>
      </c>
      <c r="H880" s="32">
        <v>1</v>
      </c>
      <c r="J880" s="32">
        <v>1</v>
      </c>
      <c r="O880" s="20">
        <v>0</v>
      </c>
      <c r="P880" s="20">
        <v>1</v>
      </c>
      <c r="Q880" s="20">
        <v>0</v>
      </c>
      <c r="R880" s="20">
        <v>0</v>
      </c>
      <c r="X880" s="20">
        <v>1</v>
      </c>
      <c r="Z880" s="20" t="s">
        <v>1835</v>
      </c>
      <c r="AA880" s="20" t="s">
        <v>1862</v>
      </c>
      <c r="AB880" s="31">
        <f>VLOOKUP(AA880,Masters!$K$2:$L$183,2,FALSE)</f>
        <v>1004</v>
      </c>
      <c r="AC880" s="20" t="s">
        <v>2063</v>
      </c>
      <c r="AD880" s="20" t="s">
        <v>2060</v>
      </c>
      <c r="AE880" s="20">
        <v>9</v>
      </c>
      <c r="AF880" s="20">
        <v>5</v>
      </c>
      <c r="AG880" s="20">
        <v>2005</v>
      </c>
      <c r="AH880" s="21">
        <v>38481</v>
      </c>
    </row>
    <row r="881" spans="1:34" x14ac:dyDescent="0.25">
      <c r="A881" s="35">
        <v>1762</v>
      </c>
      <c r="B881" s="20" t="s">
        <v>1842</v>
      </c>
      <c r="C881" s="20" t="s">
        <v>1842</v>
      </c>
      <c r="D881" s="94" t="s">
        <v>1689</v>
      </c>
      <c r="E881" s="20" t="s">
        <v>2052</v>
      </c>
      <c r="F881" s="20" t="s">
        <v>1846</v>
      </c>
      <c r="G881" s="31" t="s">
        <v>40</v>
      </c>
      <c r="H881" s="32">
        <v>1</v>
      </c>
      <c r="J881" s="32">
        <v>1</v>
      </c>
      <c r="O881" s="20">
        <v>0</v>
      </c>
      <c r="P881" s="20">
        <v>1</v>
      </c>
      <c r="Q881" s="20">
        <v>0</v>
      </c>
      <c r="R881" s="20">
        <v>0</v>
      </c>
      <c r="X881" s="20">
        <v>1</v>
      </c>
      <c r="Z881" s="20" t="s">
        <v>34</v>
      </c>
      <c r="AA881" s="20" t="s">
        <v>1859</v>
      </c>
      <c r="AB881" s="31">
        <f>VLOOKUP(AA881,Masters!$K$2:$L$183,2,FALSE)</f>
        <v>1001</v>
      </c>
      <c r="AC881" s="20" t="s">
        <v>2063</v>
      </c>
      <c r="AD881" s="20" t="s">
        <v>2060</v>
      </c>
      <c r="AE881" s="20">
        <v>3</v>
      </c>
      <c r="AF881" s="20">
        <v>8</v>
      </c>
      <c r="AG881" s="20">
        <v>2003</v>
      </c>
      <c r="AH881" s="21">
        <v>37836</v>
      </c>
    </row>
    <row r="882" spans="1:34" x14ac:dyDescent="0.25">
      <c r="A882" s="35">
        <v>1763</v>
      </c>
      <c r="B882" s="20" t="s">
        <v>1842</v>
      </c>
      <c r="C882" s="20" t="s">
        <v>1842</v>
      </c>
      <c r="D882" s="94" t="s">
        <v>1690</v>
      </c>
      <c r="E882" s="20" t="s">
        <v>135</v>
      </c>
      <c r="F882" s="20" t="s">
        <v>1847</v>
      </c>
      <c r="G882" s="31" t="s">
        <v>40</v>
      </c>
      <c r="H882" s="32">
        <v>1</v>
      </c>
      <c r="J882" s="32">
        <v>1</v>
      </c>
      <c r="O882" s="20">
        <v>0</v>
      </c>
      <c r="P882" s="20">
        <v>1</v>
      </c>
      <c r="Q882" s="20">
        <v>0</v>
      </c>
      <c r="R882" s="20">
        <v>0</v>
      </c>
      <c r="X882" s="20">
        <v>1</v>
      </c>
      <c r="Z882" s="20" t="s">
        <v>1857</v>
      </c>
      <c r="AA882" s="20" t="s">
        <v>1860</v>
      </c>
      <c r="AB882" s="31">
        <f>VLOOKUP(AA882,Masters!$K$2:$L$183,2,FALSE)</f>
        <v>1002</v>
      </c>
      <c r="AC882" s="20" t="s">
        <v>2063</v>
      </c>
      <c r="AD882" s="20" t="s">
        <v>2060</v>
      </c>
      <c r="AE882" s="20">
        <v>22</v>
      </c>
      <c r="AF882" s="20">
        <v>7</v>
      </c>
      <c r="AG882" s="20">
        <v>2002</v>
      </c>
      <c r="AH882" s="21">
        <v>37459</v>
      </c>
    </row>
    <row r="883" spans="1:34" x14ac:dyDescent="0.25">
      <c r="A883" s="35">
        <v>1764</v>
      </c>
      <c r="B883" s="20" t="s">
        <v>1842</v>
      </c>
      <c r="C883" s="20" t="s">
        <v>1842</v>
      </c>
      <c r="D883" s="94" t="s">
        <v>1691</v>
      </c>
      <c r="E883" s="20" t="s">
        <v>126</v>
      </c>
      <c r="F883" s="20" t="s">
        <v>1843</v>
      </c>
      <c r="G883" s="31" t="s">
        <v>40</v>
      </c>
      <c r="H883" s="32">
        <v>1</v>
      </c>
      <c r="J883" s="32">
        <v>1</v>
      </c>
      <c r="O883" s="20">
        <v>0</v>
      </c>
      <c r="P883" s="20">
        <v>1</v>
      </c>
      <c r="Q883" s="20">
        <v>0</v>
      </c>
      <c r="R883" s="20">
        <v>0</v>
      </c>
      <c r="X883" s="20">
        <v>1</v>
      </c>
      <c r="Z883" s="20" t="s">
        <v>1850</v>
      </c>
      <c r="AA883" s="20" t="s">
        <v>1862</v>
      </c>
      <c r="AB883" s="31">
        <f>VLOOKUP(AA883,Masters!$K$2:$L$183,2,FALSE)</f>
        <v>1004</v>
      </c>
      <c r="AC883" s="20" t="s">
        <v>2063</v>
      </c>
      <c r="AD883" s="20" t="s">
        <v>2060</v>
      </c>
      <c r="AE883" s="20">
        <v>9</v>
      </c>
      <c r="AF883" s="20">
        <v>11</v>
      </c>
      <c r="AG883" s="20">
        <v>2000</v>
      </c>
      <c r="AH883" s="21">
        <v>36839</v>
      </c>
    </row>
    <row r="884" spans="1:34" x14ac:dyDescent="0.25">
      <c r="A884" s="35">
        <v>1765</v>
      </c>
      <c r="B884" s="20" t="s">
        <v>1842</v>
      </c>
      <c r="C884" s="20" t="s">
        <v>1842</v>
      </c>
      <c r="D884" s="94" t="s">
        <v>1692</v>
      </c>
      <c r="E884" s="20" t="s">
        <v>133</v>
      </c>
      <c r="F884" s="20" t="s">
        <v>1846</v>
      </c>
      <c r="G884" s="31" t="s">
        <v>40</v>
      </c>
      <c r="H884" s="32">
        <v>1</v>
      </c>
      <c r="J884" s="32">
        <v>1</v>
      </c>
      <c r="O884" s="20">
        <v>0</v>
      </c>
      <c r="P884" s="20">
        <v>1</v>
      </c>
      <c r="Q884" s="20">
        <v>0</v>
      </c>
      <c r="R884" s="20">
        <v>0</v>
      </c>
      <c r="X884" s="20">
        <v>1</v>
      </c>
      <c r="Z884" s="20" t="s">
        <v>34</v>
      </c>
      <c r="AA884" s="20" t="s">
        <v>1863</v>
      </c>
      <c r="AB884" s="31">
        <f>VLOOKUP(AA884,Masters!$K$2:$L$183,2,FALSE)</f>
        <v>1005</v>
      </c>
      <c r="AC884" s="20" t="s">
        <v>2063</v>
      </c>
      <c r="AD884" s="20" t="s">
        <v>2060</v>
      </c>
      <c r="AE884" s="20">
        <v>24</v>
      </c>
      <c r="AF884" s="20">
        <v>5</v>
      </c>
      <c r="AG884" s="20">
        <v>2001</v>
      </c>
      <c r="AH884" s="21">
        <v>37035</v>
      </c>
    </row>
    <row r="885" spans="1:34" x14ac:dyDescent="0.25">
      <c r="A885" s="35">
        <v>1766</v>
      </c>
      <c r="B885" s="20" t="s">
        <v>1842</v>
      </c>
      <c r="C885" s="20" t="s">
        <v>1842</v>
      </c>
      <c r="D885" s="94" t="s">
        <v>1693</v>
      </c>
      <c r="E885" s="20" t="s">
        <v>2055</v>
      </c>
      <c r="F885" s="20" t="s">
        <v>1845</v>
      </c>
      <c r="G885" s="31" t="s">
        <v>40</v>
      </c>
      <c r="H885" s="32">
        <v>1</v>
      </c>
      <c r="J885" s="32">
        <v>1</v>
      </c>
      <c r="O885" s="20">
        <v>0</v>
      </c>
      <c r="P885" s="20">
        <v>1</v>
      </c>
      <c r="Q885" s="20">
        <v>0</v>
      </c>
      <c r="R885" s="20">
        <v>0</v>
      </c>
      <c r="X885" s="20">
        <v>1</v>
      </c>
      <c r="Z885" s="20" t="s">
        <v>1855</v>
      </c>
      <c r="AA885" s="20" t="s">
        <v>1859</v>
      </c>
      <c r="AB885" s="31">
        <f>VLOOKUP(AA885,Masters!$K$2:$L$183,2,FALSE)</f>
        <v>1001</v>
      </c>
      <c r="AC885" s="20" t="s">
        <v>2063</v>
      </c>
      <c r="AD885" s="20" t="s">
        <v>2060</v>
      </c>
      <c r="AE885" s="20">
        <v>23</v>
      </c>
      <c r="AF885" s="20">
        <v>10</v>
      </c>
      <c r="AG885" s="20">
        <v>2000</v>
      </c>
      <c r="AH885" s="21">
        <v>36822</v>
      </c>
    </row>
    <row r="886" spans="1:34" x14ac:dyDescent="0.25">
      <c r="A886" s="35">
        <v>1767</v>
      </c>
      <c r="B886" s="20" t="s">
        <v>1842</v>
      </c>
      <c r="C886" s="20" t="s">
        <v>1842</v>
      </c>
      <c r="D886" s="94" t="s">
        <v>1694</v>
      </c>
      <c r="E886" s="20" t="s">
        <v>2059</v>
      </c>
      <c r="F886" s="20" t="s">
        <v>1843</v>
      </c>
      <c r="G886" s="31" t="s">
        <v>40</v>
      </c>
      <c r="H886" s="32">
        <v>1</v>
      </c>
      <c r="J886" s="32">
        <v>1</v>
      </c>
      <c r="O886" s="20">
        <v>0</v>
      </c>
      <c r="P886" s="20">
        <v>1</v>
      </c>
      <c r="Q886" s="20">
        <v>0</v>
      </c>
      <c r="R886" s="20">
        <v>0</v>
      </c>
      <c r="X886" s="20">
        <v>1</v>
      </c>
      <c r="Z886" s="20" t="s">
        <v>1856</v>
      </c>
      <c r="AA886" s="20" t="s">
        <v>1861</v>
      </c>
      <c r="AB886" s="31">
        <f>VLOOKUP(AA886,Masters!$K$2:$L$183,2,FALSE)</f>
        <v>1003</v>
      </c>
      <c r="AC886" s="20" t="s">
        <v>2063</v>
      </c>
      <c r="AD886" s="20" t="s">
        <v>2060</v>
      </c>
      <c r="AE886" s="20">
        <v>24</v>
      </c>
      <c r="AF886" s="20">
        <v>10</v>
      </c>
      <c r="AG886" s="20">
        <v>2001</v>
      </c>
      <c r="AH886" s="21">
        <v>37188</v>
      </c>
    </row>
    <row r="887" spans="1:34" x14ac:dyDescent="0.25">
      <c r="A887" s="35">
        <v>1768</v>
      </c>
      <c r="B887" s="20" t="s">
        <v>1842</v>
      </c>
      <c r="C887" s="20" t="s">
        <v>1842</v>
      </c>
      <c r="D887" s="94" t="s">
        <v>1695</v>
      </c>
      <c r="E887" s="20" t="s">
        <v>2057</v>
      </c>
      <c r="F887" s="20" t="s">
        <v>1845</v>
      </c>
      <c r="G887" s="31" t="s">
        <v>40</v>
      </c>
      <c r="H887" s="32">
        <v>1</v>
      </c>
      <c r="J887" s="32">
        <v>1</v>
      </c>
      <c r="O887" s="20">
        <v>0</v>
      </c>
      <c r="P887" s="20">
        <v>1</v>
      </c>
      <c r="Q887" s="20">
        <v>0</v>
      </c>
      <c r="R887" s="20">
        <v>0</v>
      </c>
      <c r="X887" s="20">
        <v>1</v>
      </c>
      <c r="Z887" s="20" t="s">
        <v>1848</v>
      </c>
      <c r="AA887" s="20" t="s">
        <v>1862</v>
      </c>
      <c r="AB887" s="31">
        <f>VLOOKUP(AA887,Masters!$K$2:$L$183,2,FALSE)</f>
        <v>1004</v>
      </c>
      <c r="AC887" s="20" t="s">
        <v>2063</v>
      </c>
      <c r="AD887" s="20" t="s">
        <v>2060</v>
      </c>
      <c r="AE887" s="20">
        <v>9</v>
      </c>
      <c r="AF887" s="20">
        <v>10</v>
      </c>
      <c r="AG887" s="20">
        <v>2004</v>
      </c>
      <c r="AH887" s="21">
        <v>38269</v>
      </c>
    </row>
    <row r="888" spans="1:34" x14ac:dyDescent="0.25">
      <c r="A888" s="35">
        <v>1770</v>
      </c>
      <c r="B888" s="20" t="s">
        <v>1842</v>
      </c>
      <c r="C888" s="20" t="s">
        <v>1842</v>
      </c>
      <c r="D888" s="94" t="s">
        <v>1697</v>
      </c>
      <c r="E888" s="20" t="s">
        <v>2058</v>
      </c>
      <c r="F888" s="20" t="s">
        <v>1845</v>
      </c>
      <c r="G888" s="31" t="s">
        <v>40</v>
      </c>
      <c r="H888" s="32">
        <v>1</v>
      </c>
      <c r="J888" s="32">
        <v>1</v>
      </c>
      <c r="O888" s="20">
        <v>0</v>
      </c>
      <c r="P888" s="20">
        <v>1</v>
      </c>
      <c r="Q888" s="20">
        <v>0</v>
      </c>
      <c r="R888" s="20">
        <v>0</v>
      </c>
      <c r="X888" s="20">
        <v>1</v>
      </c>
      <c r="Z888" s="20" t="s">
        <v>1849</v>
      </c>
      <c r="AA888" s="20" t="s">
        <v>1861</v>
      </c>
      <c r="AB888" s="31">
        <f>VLOOKUP(AA888,Masters!$K$2:$L$183,2,FALSE)</f>
        <v>1003</v>
      </c>
      <c r="AC888" s="20" t="s">
        <v>2063</v>
      </c>
      <c r="AD888" s="20" t="s">
        <v>2060</v>
      </c>
      <c r="AE888" s="20">
        <v>28</v>
      </c>
      <c r="AF888" s="20">
        <v>8</v>
      </c>
      <c r="AG888" s="20">
        <v>2005</v>
      </c>
      <c r="AH888" s="21">
        <v>38592</v>
      </c>
    </row>
    <row r="889" spans="1:34" x14ac:dyDescent="0.25">
      <c r="A889" s="35">
        <v>1771</v>
      </c>
      <c r="B889" s="20" t="s">
        <v>1842</v>
      </c>
      <c r="C889" s="20" t="s">
        <v>1842</v>
      </c>
      <c r="D889" s="94" t="s">
        <v>1698</v>
      </c>
      <c r="E889" s="20" t="s">
        <v>2054</v>
      </c>
      <c r="F889" s="20" t="s">
        <v>1844</v>
      </c>
      <c r="G889" s="31" t="s">
        <v>40</v>
      </c>
      <c r="H889" s="32">
        <v>1</v>
      </c>
      <c r="J889" s="32">
        <v>1</v>
      </c>
      <c r="O889" s="20">
        <v>0</v>
      </c>
      <c r="P889" s="20">
        <v>1</v>
      </c>
      <c r="Q889" s="20">
        <v>0</v>
      </c>
      <c r="R889" s="20">
        <v>0</v>
      </c>
      <c r="X889" s="20">
        <v>1</v>
      </c>
      <c r="Z889" s="20" t="s">
        <v>1857</v>
      </c>
      <c r="AA889" s="20" t="s">
        <v>1861</v>
      </c>
      <c r="AB889" s="31">
        <f>VLOOKUP(AA889,Masters!$K$2:$L$183,2,FALSE)</f>
        <v>1003</v>
      </c>
      <c r="AC889" s="20" t="s">
        <v>2063</v>
      </c>
      <c r="AD889" s="20" t="s">
        <v>2060</v>
      </c>
      <c r="AE889" s="20">
        <v>16</v>
      </c>
      <c r="AF889" s="20">
        <v>6</v>
      </c>
      <c r="AG889" s="20">
        <v>2002</v>
      </c>
      <c r="AH889" s="21">
        <v>37423</v>
      </c>
    </row>
    <row r="890" spans="1:34" x14ac:dyDescent="0.25">
      <c r="A890" s="35">
        <v>1773</v>
      </c>
      <c r="B890" s="20" t="s">
        <v>1842</v>
      </c>
      <c r="C890" s="20" t="s">
        <v>1842</v>
      </c>
      <c r="D890" s="94" t="s">
        <v>1700</v>
      </c>
      <c r="E890" s="20" t="s">
        <v>2058</v>
      </c>
      <c r="F890" s="20" t="s">
        <v>1843</v>
      </c>
      <c r="G890" s="31" t="s">
        <v>40</v>
      </c>
      <c r="H890" s="32">
        <v>1</v>
      </c>
      <c r="J890" s="32">
        <v>1</v>
      </c>
      <c r="O890" s="20">
        <v>0</v>
      </c>
      <c r="P890" s="20">
        <v>1</v>
      </c>
      <c r="Q890" s="20">
        <v>0</v>
      </c>
      <c r="R890" s="20">
        <v>0</v>
      </c>
      <c r="X890" s="20">
        <v>1</v>
      </c>
      <c r="Z890" s="20" t="s">
        <v>1852</v>
      </c>
      <c r="AA890" s="20" t="s">
        <v>1861</v>
      </c>
      <c r="AB890" s="31">
        <f>VLOOKUP(AA890,Masters!$K$2:$L$183,2,FALSE)</f>
        <v>1003</v>
      </c>
      <c r="AC890" s="20" t="s">
        <v>2063</v>
      </c>
      <c r="AD890" s="20" t="s">
        <v>2060</v>
      </c>
      <c r="AE890" s="20">
        <v>2</v>
      </c>
      <c r="AF890" s="20">
        <v>9</v>
      </c>
      <c r="AG890" s="20">
        <v>2000</v>
      </c>
      <c r="AH890" s="21">
        <v>36771</v>
      </c>
    </row>
    <row r="891" spans="1:34" x14ac:dyDescent="0.25">
      <c r="A891" s="35">
        <v>1774</v>
      </c>
      <c r="B891" s="20" t="s">
        <v>1842</v>
      </c>
      <c r="C891" s="20" t="s">
        <v>1842</v>
      </c>
      <c r="D891" s="94" t="s">
        <v>1701</v>
      </c>
      <c r="E891" s="20" t="s">
        <v>2054</v>
      </c>
      <c r="F891" s="20" t="s">
        <v>1847</v>
      </c>
      <c r="G891" s="31" t="s">
        <v>40</v>
      </c>
      <c r="H891" s="32">
        <v>1</v>
      </c>
      <c r="J891" s="32">
        <v>1</v>
      </c>
      <c r="O891" s="20">
        <v>0</v>
      </c>
      <c r="P891" s="20">
        <v>1</v>
      </c>
      <c r="Q891" s="20">
        <v>0</v>
      </c>
      <c r="R891" s="20">
        <v>0</v>
      </c>
      <c r="X891" s="20">
        <v>1</v>
      </c>
      <c r="Z891" s="20" t="s">
        <v>1857</v>
      </c>
      <c r="AA891" s="20" t="s">
        <v>1863</v>
      </c>
      <c r="AB891" s="31">
        <f>VLOOKUP(AA891,Masters!$K$2:$L$183,2,FALSE)</f>
        <v>1005</v>
      </c>
      <c r="AC891" s="20" t="s">
        <v>2063</v>
      </c>
      <c r="AD891" s="20" t="s">
        <v>2060</v>
      </c>
      <c r="AE891" s="20">
        <v>15</v>
      </c>
      <c r="AF891" s="20">
        <v>4</v>
      </c>
      <c r="AG891" s="20">
        <v>2002</v>
      </c>
      <c r="AH891" s="21">
        <v>37361</v>
      </c>
    </row>
    <row r="892" spans="1:34" x14ac:dyDescent="0.25">
      <c r="A892" s="35">
        <v>1776</v>
      </c>
      <c r="B892" s="20" t="s">
        <v>1842</v>
      </c>
      <c r="C892" s="20" t="s">
        <v>1842</v>
      </c>
      <c r="D892" s="94" t="s">
        <v>1703</v>
      </c>
      <c r="E892" s="20" t="s">
        <v>2056</v>
      </c>
      <c r="F892" s="20" t="s">
        <v>1844</v>
      </c>
      <c r="G892" s="31" t="s">
        <v>40</v>
      </c>
      <c r="H892" s="32">
        <v>1</v>
      </c>
      <c r="J892" s="32">
        <v>1</v>
      </c>
      <c r="O892" s="20">
        <v>0</v>
      </c>
      <c r="P892" s="20">
        <v>1</v>
      </c>
      <c r="Q892" s="20">
        <v>0</v>
      </c>
      <c r="R892" s="20">
        <v>0</v>
      </c>
      <c r="X892" s="20">
        <v>1</v>
      </c>
      <c r="Z892" s="20" t="s">
        <v>1835</v>
      </c>
      <c r="AA892" s="20" t="s">
        <v>1861</v>
      </c>
      <c r="AB892" s="31">
        <f>VLOOKUP(AA892,Masters!$K$2:$L$183,2,FALSE)</f>
        <v>1003</v>
      </c>
      <c r="AC892" s="20" t="s">
        <v>2063</v>
      </c>
      <c r="AD892" s="20" t="s">
        <v>2060</v>
      </c>
      <c r="AE892" s="20">
        <v>21</v>
      </c>
      <c r="AF892" s="20">
        <v>12</v>
      </c>
      <c r="AG892" s="20">
        <v>2005</v>
      </c>
      <c r="AH892" s="21">
        <v>38707</v>
      </c>
    </row>
    <row r="893" spans="1:34" x14ac:dyDescent="0.25">
      <c r="A893" s="35">
        <v>1777</v>
      </c>
      <c r="B893" s="20" t="s">
        <v>1842</v>
      </c>
      <c r="C893" s="20" t="s">
        <v>1842</v>
      </c>
      <c r="D893" s="94" t="s">
        <v>1704</v>
      </c>
      <c r="E893" s="20" t="s">
        <v>2059</v>
      </c>
      <c r="F893" s="20" t="s">
        <v>1845</v>
      </c>
      <c r="G893" s="31" t="s">
        <v>40</v>
      </c>
      <c r="H893" s="32">
        <v>1</v>
      </c>
      <c r="J893" s="32">
        <v>1</v>
      </c>
      <c r="O893" s="20">
        <v>0</v>
      </c>
      <c r="P893" s="20">
        <v>1</v>
      </c>
      <c r="Q893" s="20">
        <v>0</v>
      </c>
      <c r="R893" s="20">
        <v>0</v>
      </c>
      <c r="X893" s="20">
        <v>1</v>
      </c>
      <c r="Z893" s="20" t="s">
        <v>1854</v>
      </c>
      <c r="AA893" s="20" t="s">
        <v>1860</v>
      </c>
      <c r="AB893" s="31">
        <f>VLOOKUP(AA893,Masters!$K$2:$L$183,2,FALSE)</f>
        <v>1002</v>
      </c>
      <c r="AC893" s="20" t="s">
        <v>2063</v>
      </c>
      <c r="AD893" s="20" t="s">
        <v>2060</v>
      </c>
      <c r="AE893" s="20">
        <v>20</v>
      </c>
      <c r="AF893" s="20">
        <v>5</v>
      </c>
      <c r="AG893" s="20">
        <v>2002</v>
      </c>
      <c r="AH893" s="21">
        <v>37396</v>
      </c>
    </row>
    <row r="894" spans="1:34" x14ac:dyDescent="0.25">
      <c r="A894" s="35">
        <v>1782</v>
      </c>
      <c r="B894" s="20" t="s">
        <v>1842</v>
      </c>
      <c r="C894" s="20" t="s">
        <v>1842</v>
      </c>
      <c r="D894" s="94" t="s">
        <v>1709</v>
      </c>
      <c r="E894" s="20" t="s">
        <v>2057</v>
      </c>
      <c r="F894" s="20" t="s">
        <v>1844</v>
      </c>
      <c r="G894" s="31" t="s">
        <v>40</v>
      </c>
      <c r="H894" s="32">
        <v>1</v>
      </c>
      <c r="J894" s="32">
        <v>1</v>
      </c>
      <c r="O894" s="20">
        <v>0</v>
      </c>
      <c r="P894" s="20">
        <v>1</v>
      </c>
      <c r="Q894" s="20">
        <v>0</v>
      </c>
      <c r="R894" s="20">
        <v>0</v>
      </c>
      <c r="X894" s="20">
        <v>1</v>
      </c>
      <c r="Z894" s="20" t="s">
        <v>1850</v>
      </c>
      <c r="AA894" s="20" t="s">
        <v>1861</v>
      </c>
      <c r="AB894" s="31">
        <f>VLOOKUP(AA894,Masters!$K$2:$L$183,2,FALSE)</f>
        <v>1003</v>
      </c>
      <c r="AC894" s="20" t="s">
        <v>2063</v>
      </c>
      <c r="AD894" s="20" t="s">
        <v>2060</v>
      </c>
      <c r="AE894" s="20">
        <v>22</v>
      </c>
      <c r="AF894" s="20">
        <v>7</v>
      </c>
      <c r="AG894" s="20">
        <v>2004</v>
      </c>
      <c r="AH894" s="21">
        <v>38190</v>
      </c>
    </row>
    <row r="895" spans="1:34" x14ac:dyDescent="0.25">
      <c r="A895" s="35">
        <v>1783</v>
      </c>
      <c r="B895" s="20" t="s">
        <v>1842</v>
      </c>
      <c r="C895" s="20" t="s">
        <v>1842</v>
      </c>
      <c r="D895" s="94" t="s">
        <v>1710</v>
      </c>
      <c r="E895" s="20" t="s">
        <v>2056</v>
      </c>
      <c r="F895" s="20" t="s">
        <v>1847</v>
      </c>
      <c r="G895" s="31" t="s">
        <v>40</v>
      </c>
      <c r="H895" s="32">
        <v>1</v>
      </c>
      <c r="J895" s="32">
        <v>1</v>
      </c>
      <c r="O895" s="20">
        <v>0</v>
      </c>
      <c r="P895" s="20">
        <v>1</v>
      </c>
      <c r="Q895" s="20">
        <v>0</v>
      </c>
      <c r="R895" s="20">
        <v>0</v>
      </c>
      <c r="X895" s="20">
        <v>1</v>
      </c>
      <c r="Z895" s="20" t="s">
        <v>78</v>
      </c>
      <c r="AA895" s="20" t="s">
        <v>1860</v>
      </c>
      <c r="AB895" s="31">
        <f>VLOOKUP(AA895,Masters!$K$2:$L$183,2,FALSE)</f>
        <v>1002</v>
      </c>
      <c r="AC895" s="20" t="s">
        <v>2063</v>
      </c>
      <c r="AD895" s="20" t="s">
        <v>2060</v>
      </c>
      <c r="AE895" s="20">
        <v>22</v>
      </c>
      <c r="AF895" s="20">
        <v>6</v>
      </c>
      <c r="AG895" s="20">
        <v>2004</v>
      </c>
      <c r="AH895" s="21">
        <v>38160</v>
      </c>
    </row>
    <row r="896" spans="1:34" x14ac:dyDescent="0.25">
      <c r="A896" s="35">
        <v>1784</v>
      </c>
      <c r="B896" s="20" t="s">
        <v>1842</v>
      </c>
      <c r="C896" s="20" t="s">
        <v>1842</v>
      </c>
      <c r="D896" s="94" t="s">
        <v>1711</v>
      </c>
      <c r="E896" s="20" t="s">
        <v>2056</v>
      </c>
      <c r="F896" s="20" t="s">
        <v>1844</v>
      </c>
      <c r="G896" s="31" t="s">
        <v>40</v>
      </c>
      <c r="H896" s="32">
        <v>1</v>
      </c>
      <c r="J896" s="32">
        <v>1</v>
      </c>
      <c r="O896" s="20">
        <v>0</v>
      </c>
      <c r="P896" s="20">
        <v>1</v>
      </c>
      <c r="Q896" s="20">
        <v>0</v>
      </c>
      <c r="R896" s="20">
        <v>0</v>
      </c>
      <c r="X896" s="20">
        <v>1</v>
      </c>
      <c r="Z896" s="20" t="s">
        <v>1848</v>
      </c>
      <c r="AA896" s="20" t="s">
        <v>1863</v>
      </c>
      <c r="AB896" s="31">
        <f>VLOOKUP(AA896,Masters!$K$2:$L$183,2,FALSE)</f>
        <v>1005</v>
      </c>
      <c r="AC896" s="20" t="s">
        <v>2063</v>
      </c>
      <c r="AD896" s="20" t="s">
        <v>2060</v>
      </c>
      <c r="AE896" s="20">
        <v>19</v>
      </c>
      <c r="AF896" s="20">
        <v>11</v>
      </c>
      <c r="AG896" s="20">
        <v>2001</v>
      </c>
      <c r="AH896" s="21">
        <v>37214</v>
      </c>
    </row>
    <row r="897" spans="1:34" x14ac:dyDescent="0.25">
      <c r="A897" s="35">
        <v>1785</v>
      </c>
      <c r="B897" s="20" t="s">
        <v>1842</v>
      </c>
      <c r="C897" s="20" t="s">
        <v>1842</v>
      </c>
      <c r="D897" s="94" t="s">
        <v>1712</v>
      </c>
      <c r="E897" s="20" t="s">
        <v>2050</v>
      </c>
      <c r="F897" s="20" t="s">
        <v>1845</v>
      </c>
      <c r="G897" s="31" t="s">
        <v>40</v>
      </c>
      <c r="H897" s="32">
        <v>1</v>
      </c>
      <c r="J897" s="32">
        <v>1</v>
      </c>
      <c r="O897" s="20">
        <v>0</v>
      </c>
      <c r="P897" s="20">
        <v>1</v>
      </c>
      <c r="Q897" s="20">
        <v>0</v>
      </c>
      <c r="R897" s="20">
        <v>0</v>
      </c>
      <c r="X897" s="20">
        <v>1</v>
      </c>
      <c r="Z897" s="20" t="s">
        <v>1850</v>
      </c>
      <c r="AA897" s="20" t="s">
        <v>1859</v>
      </c>
      <c r="AB897" s="31">
        <f>VLOOKUP(AA897,Masters!$K$2:$L$183,2,FALSE)</f>
        <v>1001</v>
      </c>
      <c r="AC897" s="20" t="s">
        <v>2064</v>
      </c>
      <c r="AD897" s="20" t="s">
        <v>2061</v>
      </c>
      <c r="AE897" s="20">
        <v>26</v>
      </c>
      <c r="AF897" s="20">
        <v>7</v>
      </c>
      <c r="AG897" s="20">
        <v>2002</v>
      </c>
      <c r="AH897" s="21">
        <v>37463</v>
      </c>
    </row>
    <row r="898" spans="1:34" x14ac:dyDescent="0.25">
      <c r="A898" s="35">
        <v>1787</v>
      </c>
      <c r="B898" s="20" t="s">
        <v>1842</v>
      </c>
      <c r="C898" s="20" t="s">
        <v>1842</v>
      </c>
      <c r="D898" s="94" t="s">
        <v>1714</v>
      </c>
      <c r="E898" s="20" t="s">
        <v>2051</v>
      </c>
      <c r="F898" s="20" t="s">
        <v>1844</v>
      </c>
      <c r="G898" s="31" t="s">
        <v>40</v>
      </c>
      <c r="H898" s="32">
        <v>1</v>
      </c>
      <c r="J898" s="32">
        <v>1</v>
      </c>
      <c r="O898" s="20">
        <v>0</v>
      </c>
      <c r="P898" s="20">
        <v>1</v>
      </c>
      <c r="Q898" s="20">
        <v>0</v>
      </c>
      <c r="R898" s="20">
        <v>0</v>
      </c>
      <c r="X898" s="20">
        <v>1</v>
      </c>
      <c r="Z898" s="20" t="s">
        <v>1857</v>
      </c>
      <c r="AA898" s="20" t="s">
        <v>1859</v>
      </c>
      <c r="AB898" s="31">
        <f>VLOOKUP(AA898,Masters!$K$2:$L$183,2,FALSE)</f>
        <v>1001</v>
      </c>
      <c r="AC898" s="20" t="s">
        <v>2063</v>
      </c>
      <c r="AD898" s="20" t="s">
        <v>2060</v>
      </c>
      <c r="AE898" s="20">
        <v>11</v>
      </c>
      <c r="AF898" s="20">
        <v>7</v>
      </c>
      <c r="AG898" s="20">
        <v>2004</v>
      </c>
      <c r="AH898" s="21">
        <v>38179</v>
      </c>
    </row>
    <row r="899" spans="1:34" x14ac:dyDescent="0.25">
      <c r="A899" s="35">
        <v>1788</v>
      </c>
      <c r="B899" s="20" t="s">
        <v>1842</v>
      </c>
      <c r="C899" s="20" t="s">
        <v>1842</v>
      </c>
      <c r="D899" s="94" t="s">
        <v>1715</v>
      </c>
      <c r="E899" s="20" t="s">
        <v>2057</v>
      </c>
      <c r="F899" s="20" t="s">
        <v>1843</v>
      </c>
      <c r="G899" s="31" t="s">
        <v>40</v>
      </c>
      <c r="H899" s="32">
        <v>1</v>
      </c>
      <c r="J899" s="32">
        <v>1</v>
      </c>
      <c r="O899" s="20">
        <v>0</v>
      </c>
      <c r="P899" s="20">
        <v>1</v>
      </c>
      <c r="Q899" s="20">
        <v>0</v>
      </c>
      <c r="R899" s="20">
        <v>0</v>
      </c>
      <c r="X899" s="20">
        <v>1</v>
      </c>
      <c r="Z899" s="20" t="s">
        <v>1857</v>
      </c>
      <c r="AA899" s="20" t="s">
        <v>1863</v>
      </c>
      <c r="AB899" s="31">
        <f>VLOOKUP(AA899,Masters!$K$2:$L$183,2,FALSE)</f>
        <v>1005</v>
      </c>
      <c r="AC899" s="20" t="s">
        <v>2063</v>
      </c>
      <c r="AD899" s="20" t="s">
        <v>2060</v>
      </c>
      <c r="AE899" s="20">
        <v>8</v>
      </c>
      <c r="AF899" s="20">
        <v>4</v>
      </c>
      <c r="AG899" s="20">
        <v>2000</v>
      </c>
      <c r="AH899" s="21">
        <v>36624</v>
      </c>
    </row>
    <row r="900" spans="1:34" x14ac:dyDescent="0.25">
      <c r="A900" s="35">
        <v>1789</v>
      </c>
      <c r="B900" s="20" t="s">
        <v>1842</v>
      </c>
      <c r="C900" s="20" t="s">
        <v>1842</v>
      </c>
      <c r="D900" s="94" t="s">
        <v>1716</v>
      </c>
      <c r="E900" s="20" t="s">
        <v>2055</v>
      </c>
      <c r="F900" s="20" t="s">
        <v>1843</v>
      </c>
      <c r="G900" s="31" t="s">
        <v>40</v>
      </c>
      <c r="H900" s="32">
        <v>1</v>
      </c>
      <c r="J900" s="32">
        <v>1</v>
      </c>
      <c r="O900" s="20">
        <v>0</v>
      </c>
      <c r="P900" s="20">
        <v>1</v>
      </c>
      <c r="Q900" s="20">
        <v>0</v>
      </c>
      <c r="R900" s="20">
        <v>0</v>
      </c>
      <c r="X900" s="20">
        <v>1</v>
      </c>
      <c r="Z900" s="20" t="s">
        <v>34</v>
      </c>
      <c r="AA900" s="20" t="s">
        <v>1862</v>
      </c>
      <c r="AB900" s="31">
        <f>VLOOKUP(AA900,Masters!$K$2:$L$183,2,FALSE)</f>
        <v>1004</v>
      </c>
      <c r="AC900" s="20" t="s">
        <v>2063</v>
      </c>
      <c r="AD900" s="20" t="s">
        <v>2060</v>
      </c>
      <c r="AE900" s="20">
        <v>7</v>
      </c>
      <c r="AF900" s="20">
        <v>3</v>
      </c>
      <c r="AG900" s="20">
        <v>2005</v>
      </c>
      <c r="AH900" s="21">
        <v>38418</v>
      </c>
    </row>
    <row r="901" spans="1:34" x14ac:dyDescent="0.25">
      <c r="A901" s="35">
        <v>1790</v>
      </c>
      <c r="B901" s="20" t="s">
        <v>1842</v>
      </c>
      <c r="C901" s="20" t="s">
        <v>1842</v>
      </c>
      <c r="D901" s="94" t="s">
        <v>1717</v>
      </c>
      <c r="E901" s="20" t="s">
        <v>2055</v>
      </c>
      <c r="F901" s="20" t="s">
        <v>1843</v>
      </c>
      <c r="G901" s="31" t="s">
        <v>40</v>
      </c>
      <c r="H901" s="32">
        <v>1</v>
      </c>
      <c r="J901" s="32">
        <v>1</v>
      </c>
      <c r="O901" s="20">
        <v>0</v>
      </c>
      <c r="P901" s="20">
        <v>1</v>
      </c>
      <c r="Q901" s="20">
        <v>0</v>
      </c>
      <c r="R901" s="20">
        <v>0</v>
      </c>
      <c r="X901" s="20">
        <v>1</v>
      </c>
      <c r="Z901" s="20" t="s">
        <v>1854</v>
      </c>
      <c r="AA901" s="20" t="s">
        <v>1861</v>
      </c>
      <c r="AB901" s="31">
        <f>VLOOKUP(AA901,Masters!$K$2:$L$183,2,FALSE)</f>
        <v>1003</v>
      </c>
      <c r="AC901" s="20" t="s">
        <v>2063</v>
      </c>
      <c r="AD901" s="20" t="s">
        <v>2060</v>
      </c>
      <c r="AE901" s="20">
        <v>23</v>
      </c>
      <c r="AF901" s="20">
        <v>4</v>
      </c>
      <c r="AG901" s="20">
        <v>2001</v>
      </c>
      <c r="AH901" s="21">
        <v>37004</v>
      </c>
    </row>
    <row r="902" spans="1:34" x14ac:dyDescent="0.25">
      <c r="A902" s="35">
        <v>1791</v>
      </c>
      <c r="B902" s="20" t="s">
        <v>1842</v>
      </c>
      <c r="C902" s="20" t="s">
        <v>1842</v>
      </c>
      <c r="D902" s="94" t="s">
        <v>1718</v>
      </c>
      <c r="E902" s="20" t="s">
        <v>2053</v>
      </c>
      <c r="F902" s="20" t="s">
        <v>1847</v>
      </c>
      <c r="G902" s="31" t="s">
        <v>40</v>
      </c>
      <c r="H902" s="32">
        <v>1</v>
      </c>
      <c r="J902" s="32">
        <v>1</v>
      </c>
      <c r="O902" s="20">
        <v>0</v>
      </c>
      <c r="P902" s="20">
        <v>1</v>
      </c>
      <c r="Q902" s="20">
        <v>0</v>
      </c>
      <c r="R902" s="20">
        <v>0</v>
      </c>
      <c r="X902" s="20">
        <v>1</v>
      </c>
      <c r="Z902" s="20" t="s">
        <v>1856</v>
      </c>
      <c r="AA902" s="20" t="s">
        <v>1862</v>
      </c>
      <c r="AB902" s="31">
        <f>VLOOKUP(AA902,Masters!$K$2:$L$183,2,FALSE)</f>
        <v>1004</v>
      </c>
      <c r="AC902" s="20" t="s">
        <v>2063</v>
      </c>
      <c r="AD902" s="20" t="s">
        <v>2060</v>
      </c>
      <c r="AE902" s="20">
        <v>19</v>
      </c>
      <c r="AF902" s="20">
        <v>10</v>
      </c>
      <c r="AG902" s="20">
        <v>2003</v>
      </c>
      <c r="AH902" s="21">
        <v>37913</v>
      </c>
    </row>
    <row r="903" spans="1:34" x14ac:dyDescent="0.25">
      <c r="A903" s="35">
        <v>1792</v>
      </c>
      <c r="B903" s="20" t="s">
        <v>1842</v>
      </c>
      <c r="C903" s="20" t="s">
        <v>1842</v>
      </c>
      <c r="D903" s="94" t="s">
        <v>1719</v>
      </c>
      <c r="E903" s="20" t="s">
        <v>2056</v>
      </c>
      <c r="F903" s="20" t="s">
        <v>1845</v>
      </c>
      <c r="G903" s="31" t="s">
        <v>40</v>
      </c>
      <c r="H903" s="32">
        <v>1</v>
      </c>
      <c r="J903" s="32">
        <v>1</v>
      </c>
      <c r="O903" s="20">
        <v>0</v>
      </c>
      <c r="P903" s="20">
        <v>1</v>
      </c>
      <c r="Q903" s="20">
        <v>0</v>
      </c>
      <c r="R903" s="20">
        <v>0</v>
      </c>
      <c r="X903" s="20">
        <v>1</v>
      </c>
      <c r="Z903" s="20" t="s">
        <v>1851</v>
      </c>
      <c r="AA903" s="20" t="s">
        <v>1859</v>
      </c>
      <c r="AB903" s="31">
        <f>VLOOKUP(AA903,Masters!$K$2:$L$183,2,FALSE)</f>
        <v>1001</v>
      </c>
      <c r="AC903" s="20" t="s">
        <v>2063</v>
      </c>
      <c r="AD903" s="20" t="s">
        <v>2060</v>
      </c>
      <c r="AE903" s="20">
        <v>8</v>
      </c>
      <c r="AF903" s="20">
        <v>2</v>
      </c>
      <c r="AG903" s="20">
        <v>2003</v>
      </c>
      <c r="AH903" s="21">
        <v>37660</v>
      </c>
    </row>
    <row r="904" spans="1:34" x14ac:dyDescent="0.25">
      <c r="A904" s="35">
        <v>1793</v>
      </c>
      <c r="B904" s="20" t="s">
        <v>1842</v>
      </c>
      <c r="C904" s="20" t="s">
        <v>1842</v>
      </c>
      <c r="D904" s="94" t="s">
        <v>1720</v>
      </c>
      <c r="E904" s="20" t="s">
        <v>2056</v>
      </c>
      <c r="F904" s="20" t="s">
        <v>1843</v>
      </c>
      <c r="G904" s="31" t="s">
        <v>40</v>
      </c>
      <c r="H904" s="32">
        <v>1</v>
      </c>
      <c r="J904" s="32">
        <v>1</v>
      </c>
      <c r="O904" s="20">
        <v>0</v>
      </c>
      <c r="P904" s="20">
        <v>1</v>
      </c>
      <c r="Q904" s="20">
        <v>0</v>
      </c>
      <c r="R904" s="20">
        <v>0</v>
      </c>
      <c r="X904" s="20">
        <v>1</v>
      </c>
      <c r="Z904" s="20" t="s">
        <v>100</v>
      </c>
      <c r="AA904" s="20" t="s">
        <v>1861</v>
      </c>
      <c r="AB904" s="31">
        <f>VLOOKUP(AA904,Masters!$K$2:$L$183,2,FALSE)</f>
        <v>1003</v>
      </c>
      <c r="AC904" s="20" t="s">
        <v>2063</v>
      </c>
      <c r="AD904" s="20" t="s">
        <v>2060</v>
      </c>
      <c r="AE904" s="20">
        <v>30</v>
      </c>
      <c r="AF904" s="20">
        <v>5</v>
      </c>
      <c r="AG904" s="20">
        <v>2001</v>
      </c>
      <c r="AH904" s="21">
        <v>37041</v>
      </c>
    </row>
    <row r="905" spans="1:34" x14ac:dyDescent="0.25">
      <c r="A905" s="35">
        <v>1794</v>
      </c>
      <c r="B905" s="20" t="s">
        <v>1842</v>
      </c>
      <c r="C905" s="20" t="s">
        <v>1842</v>
      </c>
      <c r="D905" s="94" t="s">
        <v>1721</v>
      </c>
      <c r="E905" s="20" t="s">
        <v>2058</v>
      </c>
      <c r="F905" s="20" t="s">
        <v>1845</v>
      </c>
      <c r="G905" s="31" t="s">
        <v>40</v>
      </c>
      <c r="H905" s="32">
        <v>1</v>
      </c>
      <c r="J905" s="32">
        <v>1</v>
      </c>
      <c r="O905" s="20">
        <v>0</v>
      </c>
      <c r="P905" s="20">
        <v>1</v>
      </c>
      <c r="Q905" s="20">
        <v>0</v>
      </c>
      <c r="R905" s="20">
        <v>0</v>
      </c>
      <c r="X905" s="20">
        <v>1</v>
      </c>
      <c r="Z905" s="20" t="s">
        <v>201</v>
      </c>
      <c r="AA905" s="20" t="s">
        <v>1860</v>
      </c>
      <c r="AB905" s="31">
        <f>VLOOKUP(AA905,Masters!$K$2:$L$183,2,FALSE)</f>
        <v>1002</v>
      </c>
      <c r="AC905" s="20" t="s">
        <v>2063</v>
      </c>
      <c r="AD905" s="20" t="s">
        <v>2060</v>
      </c>
      <c r="AE905" s="20">
        <v>6</v>
      </c>
      <c r="AF905" s="20">
        <v>8</v>
      </c>
      <c r="AG905" s="20">
        <v>2004</v>
      </c>
      <c r="AH905" s="21">
        <v>38205</v>
      </c>
    </row>
    <row r="906" spans="1:34" x14ac:dyDescent="0.25">
      <c r="A906" s="35">
        <v>1795</v>
      </c>
      <c r="B906" s="20" t="s">
        <v>1842</v>
      </c>
      <c r="C906" s="20" t="s">
        <v>1842</v>
      </c>
      <c r="D906" s="94" t="s">
        <v>1722</v>
      </c>
      <c r="E906" s="20" t="s">
        <v>133</v>
      </c>
      <c r="F906" s="20" t="s">
        <v>1843</v>
      </c>
      <c r="G906" s="31" t="s">
        <v>40</v>
      </c>
      <c r="H906" s="32">
        <v>1</v>
      </c>
      <c r="J906" s="32">
        <v>1</v>
      </c>
      <c r="O906" s="20">
        <v>0</v>
      </c>
      <c r="P906" s="20">
        <v>1</v>
      </c>
      <c r="Q906" s="20">
        <v>0</v>
      </c>
      <c r="R906" s="20">
        <v>0</v>
      </c>
      <c r="X906" s="20">
        <v>1</v>
      </c>
      <c r="Z906" s="20" t="s">
        <v>1852</v>
      </c>
      <c r="AA906" s="20" t="s">
        <v>1863</v>
      </c>
      <c r="AB906" s="31">
        <f>VLOOKUP(AA906,Masters!$K$2:$L$183,2,FALSE)</f>
        <v>1005</v>
      </c>
      <c r="AC906" s="20" t="s">
        <v>2063</v>
      </c>
      <c r="AD906" s="20" t="s">
        <v>2060</v>
      </c>
      <c r="AE906" s="20">
        <v>24</v>
      </c>
      <c r="AF906" s="20">
        <v>6</v>
      </c>
      <c r="AG906" s="20">
        <v>2003</v>
      </c>
      <c r="AH906" s="21">
        <v>37796</v>
      </c>
    </row>
    <row r="907" spans="1:34" x14ac:dyDescent="0.25">
      <c r="A907" s="35">
        <v>1796</v>
      </c>
      <c r="B907" s="20" t="s">
        <v>1842</v>
      </c>
      <c r="C907" s="20" t="s">
        <v>1842</v>
      </c>
      <c r="D907" s="94" t="s">
        <v>1723</v>
      </c>
      <c r="E907" s="20" t="s">
        <v>126</v>
      </c>
      <c r="F907" s="20" t="s">
        <v>1844</v>
      </c>
      <c r="G907" s="31" t="s">
        <v>40</v>
      </c>
      <c r="H907" s="32">
        <v>1</v>
      </c>
      <c r="J907" s="32">
        <v>1</v>
      </c>
      <c r="O907" s="20">
        <v>0</v>
      </c>
      <c r="P907" s="20">
        <v>1</v>
      </c>
      <c r="Q907" s="20">
        <v>0</v>
      </c>
      <c r="R907" s="20">
        <v>0</v>
      </c>
      <c r="X907" s="20">
        <v>1</v>
      </c>
      <c r="Z907" s="20" t="s">
        <v>1848</v>
      </c>
      <c r="AA907" s="20" t="s">
        <v>1859</v>
      </c>
      <c r="AB907" s="31">
        <f>VLOOKUP(AA907,Masters!$K$2:$L$183,2,FALSE)</f>
        <v>1001</v>
      </c>
      <c r="AC907" s="20" t="s">
        <v>2063</v>
      </c>
      <c r="AD907" s="20" t="s">
        <v>2060</v>
      </c>
      <c r="AE907" s="20">
        <v>1</v>
      </c>
      <c r="AF907" s="20">
        <v>4</v>
      </c>
      <c r="AG907" s="20">
        <v>2005</v>
      </c>
      <c r="AH907" s="21">
        <v>38443</v>
      </c>
    </row>
    <row r="908" spans="1:34" x14ac:dyDescent="0.25">
      <c r="A908" s="35">
        <v>1799</v>
      </c>
      <c r="B908" s="20" t="s">
        <v>1842</v>
      </c>
      <c r="C908" s="20" t="s">
        <v>1842</v>
      </c>
      <c r="D908" s="94" t="s">
        <v>1726</v>
      </c>
      <c r="E908" s="20" t="s">
        <v>135</v>
      </c>
      <c r="F908" s="20" t="s">
        <v>1846</v>
      </c>
      <c r="G908" s="31" t="s">
        <v>40</v>
      </c>
      <c r="H908" s="32">
        <v>1</v>
      </c>
      <c r="J908" s="32">
        <v>1</v>
      </c>
      <c r="O908" s="20">
        <v>0</v>
      </c>
      <c r="P908" s="20">
        <v>1</v>
      </c>
      <c r="Q908" s="20">
        <v>0</v>
      </c>
      <c r="R908" s="20">
        <v>0</v>
      </c>
      <c r="X908" s="20">
        <v>1</v>
      </c>
      <c r="Z908" s="20" t="s">
        <v>1835</v>
      </c>
      <c r="AA908" s="20" t="s">
        <v>1863</v>
      </c>
      <c r="AB908" s="31">
        <f>VLOOKUP(AA908,Masters!$K$2:$L$183,2,FALSE)</f>
        <v>1005</v>
      </c>
      <c r="AC908" s="20" t="s">
        <v>2063</v>
      </c>
      <c r="AD908" s="20" t="s">
        <v>2060</v>
      </c>
      <c r="AE908" s="20">
        <v>27</v>
      </c>
      <c r="AF908" s="20">
        <v>4</v>
      </c>
      <c r="AG908" s="20">
        <v>2004</v>
      </c>
      <c r="AH908" s="21">
        <v>38104</v>
      </c>
    </row>
    <row r="909" spans="1:34" x14ac:dyDescent="0.25">
      <c r="A909" s="35">
        <v>1802</v>
      </c>
      <c r="B909" s="20" t="s">
        <v>1842</v>
      </c>
      <c r="C909" s="20" t="s">
        <v>1842</v>
      </c>
      <c r="D909" s="94" t="s">
        <v>1729</v>
      </c>
      <c r="E909" s="20" t="s">
        <v>2055</v>
      </c>
      <c r="F909" s="20" t="s">
        <v>1843</v>
      </c>
      <c r="G909" s="31" t="s">
        <v>40</v>
      </c>
      <c r="H909" s="32">
        <v>1</v>
      </c>
      <c r="J909" s="32">
        <v>1</v>
      </c>
      <c r="O909" s="20">
        <v>0</v>
      </c>
      <c r="P909" s="20">
        <v>1</v>
      </c>
      <c r="Q909" s="20">
        <v>0</v>
      </c>
      <c r="R909" s="20">
        <v>0</v>
      </c>
      <c r="X909" s="20">
        <v>1</v>
      </c>
      <c r="Z909" s="20" t="s">
        <v>1853</v>
      </c>
      <c r="AA909" s="20" t="s">
        <v>1862</v>
      </c>
      <c r="AB909" s="31">
        <f>VLOOKUP(AA909,Masters!$K$2:$L$183,2,FALSE)</f>
        <v>1004</v>
      </c>
      <c r="AC909" s="20" t="s">
        <v>2063</v>
      </c>
      <c r="AD909" s="20" t="s">
        <v>2060</v>
      </c>
      <c r="AE909" s="20">
        <v>20</v>
      </c>
      <c r="AF909" s="20">
        <v>4</v>
      </c>
      <c r="AG909" s="20">
        <v>2000</v>
      </c>
      <c r="AH909" s="21">
        <v>36636</v>
      </c>
    </row>
    <row r="910" spans="1:34" x14ac:dyDescent="0.25">
      <c r="A910" s="35">
        <v>1804</v>
      </c>
      <c r="B910" s="20" t="s">
        <v>1842</v>
      </c>
      <c r="C910" s="20" t="s">
        <v>1842</v>
      </c>
      <c r="D910" s="94" t="s">
        <v>1731</v>
      </c>
      <c r="E910" s="20" t="s">
        <v>2050</v>
      </c>
      <c r="F910" s="20" t="s">
        <v>1847</v>
      </c>
      <c r="G910" s="31" t="s">
        <v>40</v>
      </c>
      <c r="H910" s="32">
        <v>1</v>
      </c>
      <c r="J910" s="32">
        <v>1</v>
      </c>
      <c r="O910" s="20">
        <v>0</v>
      </c>
      <c r="P910" s="20">
        <v>1</v>
      </c>
      <c r="Q910" s="20">
        <v>0</v>
      </c>
      <c r="R910" s="20">
        <v>0</v>
      </c>
      <c r="X910" s="20">
        <v>1</v>
      </c>
      <c r="Z910" s="20" t="s">
        <v>1857</v>
      </c>
      <c r="AA910" s="20" t="s">
        <v>1862</v>
      </c>
      <c r="AB910" s="31">
        <f>VLOOKUP(AA910,Masters!$K$2:$L$183,2,FALSE)</f>
        <v>1004</v>
      </c>
      <c r="AC910" s="20" t="s">
        <v>2063</v>
      </c>
      <c r="AD910" s="20" t="s">
        <v>2060</v>
      </c>
      <c r="AE910" s="20">
        <v>8</v>
      </c>
      <c r="AF910" s="20">
        <v>2</v>
      </c>
      <c r="AG910" s="20">
        <v>2003</v>
      </c>
      <c r="AH910" s="21">
        <v>37660</v>
      </c>
    </row>
    <row r="911" spans="1:34" x14ac:dyDescent="0.25">
      <c r="A911" s="35">
        <v>1806</v>
      </c>
      <c r="B911" s="20" t="s">
        <v>1842</v>
      </c>
      <c r="C911" s="20" t="s">
        <v>1842</v>
      </c>
      <c r="D911" s="94" t="s">
        <v>1733</v>
      </c>
      <c r="E911" s="20" t="s">
        <v>2053</v>
      </c>
      <c r="F911" s="20" t="s">
        <v>1844</v>
      </c>
      <c r="G911" s="31" t="s">
        <v>40</v>
      </c>
      <c r="H911" s="32">
        <v>1</v>
      </c>
      <c r="J911" s="32">
        <v>1</v>
      </c>
      <c r="O911" s="20">
        <v>0</v>
      </c>
      <c r="P911" s="20">
        <v>1</v>
      </c>
      <c r="Q911" s="20">
        <v>0</v>
      </c>
      <c r="R911" s="20">
        <v>0</v>
      </c>
      <c r="X911" s="20">
        <v>1</v>
      </c>
      <c r="Z911" s="20" t="s">
        <v>1849</v>
      </c>
      <c r="AA911" s="20" t="s">
        <v>1861</v>
      </c>
      <c r="AB911" s="31">
        <f>VLOOKUP(AA911,Masters!$K$2:$L$183,2,FALSE)</f>
        <v>1003</v>
      </c>
      <c r="AC911" s="20" t="s">
        <v>2063</v>
      </c>
      <c r="AD911" s="20" t="s">
        <v>2060</v>
      </c>
      <c r="AE911" s="20">
        <v>13</v>
      </c>
      <c r="AF911" s="20">
        <v>12</v>
      </c>
      <c r="AG911" s="20">
        <v>2005</v>
      </c>
      <c r="AH911" s="21">
        <v>38699</v>
      </c>
    </row>
    <row r="912" spans="1:34" x14ac:dyDescent="0.25">
      <c r="A912" s="35">
        <v>1807</v>
      </c>
      <c r="B912" s="20" t="s">
        <v>1842</v>
      </c>
      <c r="C912" s="20" t="s">
        <v>1842</v>
      </c>
      <c r="D912" s="94" t="s">
        <v>1734</v>
      </c>
      <c r="E912" s="20" t="s">
        <v>2057</v>
      </c>
      <c r="F912" s="20" t="s">
        <v>1845</v>
      </c>
      <c r="G912" s="31" t="s">
        <v>40</v>
      </c>
      <c r="H912" s="32">
        <v>1</v>
      </c>
      <c r="J912" s="32">
        <v>1</v>
      </c>
      <c r="O912" s="20">
        <v>0</v>
      </c>
      <c r="P912" s="20">
        <v>1</v>
      </c>
      <c r="Q912" s="20">
        <v>0</v>
      </c>
      <c r="R912" s="20">
        <v>0</v>
      </c>
      <c r="X912" s="20">
        <v>1</v>
      </c>
      <c r="Z912" s="20" t="s">
        <v>34</v>
      </c>
      <c r="AA912" s="20" t="s">
        <v>1862</v>
      </c>
      <c r="AB912" s="31">
        <f>VLOOKUP(AA912,Masters!$K$2:$L$183,2,FALSE)</f>
        <v>1004</v>
      </c>
      <c r="AC912" s="20" t="s">
        <v>2063</v>
      </c>
      <c r="AD912" s="20" t="s">
        <v>2060</v>
      </c>
      <c r="AE912" s="20">
        <v>2</v>
      </c>
      <c r="AF912" s="20">
        <v>10</v>
      </c>
      <c r="AG912" s="20">
        <v>2004</v>
      </c>
      <c r="AH912" s="21">
        <v>38262</v>
      </c>
    </row>
    <row r="913" spans="1:34" x14ac:dyDescent="0.25">
      <c r="A913" s="35">
        <v>1808</v>
      </c>
      <c r="B913" s="20" t="s">
        <v>1842</v>
      </c>
      <c r="C913" s="20" t="s">
        <v>1842</v>
      </c>
      <c r="D913" s="94" t="s">
        <v>1735</v>
      </c>
      <c r="E913" s="20" t="s">
        <v>2058</v>
      </c>
      <c r="F913" s="20" t="s">
        <v>1844</v>
      </c>
      <c r="G913" s="31" t="s">
        <v>40</v>
      </c>
      <c r="H913" s="32">
        <v>1</v>
      </c>
      <c r="J913" s="32">
        <v>1</v>
      </c>
      <c r="O913" s="20">
        <v>0</v>
      </c>
      <c r="P913" s="20">
        <v>1</v>
      </c>
      <c r="Q913" s="20">
        <v>0</v>
      </c>
      <c r="R913" s="20">
        <v>0</v>
      </c>
      <c r="X913" s="20">
        <v>1</v>
      </c>
      <c r="Z913" s="20" t="s">
        <v>753</v>
      </c>
      <c r="AA913" s="20" t="s">
        <v>1863</v>
      </c>
      <c r="AB913" s="31">
        <f>VLOOKUP(AA913,Masters!$K$2:$L$183,2,FALSE)</f>
        <v>1005</v>
      </c>
      <c r="AC913" s="20" t="s">
        <v>2064</v>
      </c>
      <c r="AD913" s="20" t="s">
        <v>2061</v>
      </c>
      <c r="AE913" s="20">
        <v>6</v>
      </c>
      <c r="AF913" s="20">
        <v>5</v>
      </c>
      <c r="AG913" s="20">
        <v>2004</v>
      </c>
      <c r="AH913" s="21">
        <v>38113</v>
      </c>
    </row>
    <row r="914" spans="1:34" x14ac:dyDescent="0.25">
      <c r="A914" s="35">
        <v>1809</v>
      </c>
      <c r="B914" s="20" t="s">
        <v>1842</v>
      </c>
      <c r="C914" s="20" t="s">
        <v>1842</v>
      </c>
      <c r="D914" s="94" t="s">
        <v>1736</v>
      </c>
      <c r="E914" s="20" t="s">
        <v>2051</v>
      </c>
      <c r="F914" s="20" t="s">
        <v>1845</v>
      </c>
      <c r="G914" s="31" t="s">
        <v>40</v>
      </c>
      <c r="H914" s="32">
        <v>1</v>
      </c>
      <c r="J914" s="32">
        <v>1</v>
      </c>
      <c r="O914" s="20">
        <v>0</v>
      </c>
      <c r="P914" s="20">
        <v>1</v>
      </c>
      <c r="Q914" s="20">
        <v>0</v>
      </c>
      <c r="R914" s="20">
        <v>0</v>
      </c>
      <c r="X914" s="20">
        <v>1</v>
      </c>
      <c r="Z914" s="20" t="s">
        <v>100</v>
      </c>
      <c r="AA914" s="20" t="s">
        <v>1860</v>
      </c>
      <c r="AB914" s="31">
        <f>VLOOKUP(AA914,Masters!$K$2:$L$183,2,FALSE)</f>
        <v>1002</v>
      </c>
      <c r="AC914" s="20" t="s">
        <v>2063</v>
      </c>
      <c r="AD914" s="20" t="s">
        <v>2061</v>
      </c>
      <c r="AE914" s="20">
        <v>27</v>
      </c>
      <c r="AF914" s="20">
        <v>9</v>
      </c>
      <c r="AG914" s="20">
        <v>2000</v>
      </c>
      <c r="AH914" s="21">
        <v>36796</v>
      </c>
    </row>
    <row r="915" spans="1:34" x14ac:dyDescent="0.25">
      <c r="A915" s="35">
        <v>1813</v>
      </c>
      <c r="B915" s="20" t="s">
        <v>1842</v>
      </c>
      <c r="C915" s="20" t="s">
        <v>1842</v>
      </c>
      <c r="D915" s="94" t="s">
        <v>1740</v>
      </c>
      <c r="E915" s="20" t="s">
        <v>2055</v>
      </c>
      <c r="F915" s="20" t="s">
        <v>1845</v>
      </c>
      <c r="G915" s="31" t="s">
        <v>40</v>
      </c>
      <c r="H915" s="32">
        <v>1</v>
      </c>
      <c r="J915" s="32">
        <v>1</v>
      </c>
      <c r="O915" s="20">
        <v>0</v>
      </c>
      <c r="P915" s="20">
        <v>1</v>
      </c>
      <c r="Q915" s="20">
        <v>0</v>
      </c>
      <c r="R915" s="20">
        <v>0</v>
      </c>
      <c r="X915" s="20">
        <v>1</v>
      </c>
      <c r="Z915" s="20" t="s">
        <v>100</v>
      </c>
      <c r="AA915" s="20" t="s">
        <v>1863</v>
      </c>
      <c r="AB915" s="31">
        <f>VLOOKUP(AA915,Masters!$K$2:$L$183,2,FALSE)</f>
        <v>1005</v>
      </c>
      <c r="AC915" s="20" t="s">
        <v>2064</v>
      </c>
      <c r="AD915" s="20" t="s">
        <v>2061</v>
      </c>
      <c r="AE915" s="20">
        <v>25</v>
      </c>
      <c r="AF915" s="20">
        <v>4</v>
      </c>
      <c r="AG915" s="20">
        <v>2004</v>
      </c>
      <c r="AH915" s="21">
        <v>38102</v>
      </c>
    </row>
    <row r="916" spans="1:34" x14ac:dyDescent="0.25">
      <c r="A916" s="35">
        <v>1815</v>
      </c>
      <c r="B916" s="20" t="s">
        <v>1842</v>
      </c>
      <c r="C916" s="20" t="s">
        <v>1842</v>
      </c>
      <c r="D916" s="94" t="s">
        <v>1742</v>
      </c>
      <c r="E916" s="20" t="s">
        <v>2050</v>
      </c>
      <c r="F916" s="20" t="s">
        <v>1843</v>
      </c>
      <c r="G916" s="31" t="s">
        <v>40</v>
      </c>
      <c r="H916" s="32">
        <v>1</v>
      </c>
      <c r="J916" s="32">
        <v>1</v>
      </c>
      <c r="O916" s="20">
        <v>0</v>
      </c>
      <c r="P916" s="20">
        <v>1</v>
      </c>
      <c r="Q916" s="20">
        <v>0</v>
      </c>
      <c r="R916" s="20">
        <v>0</v>
      </c>
      <c r="X916" s="20">
        <v>1</v>
      </c>
      <c r="Z916" s="20" t="s">
        <v>1858</v>
      </c>
      <c r="AA916" s="20" t="s">
        <v>1863</v>
      </c>
      <c r="AB916" s="31">
        <f>VLOOKUP(AA916,Masters!$K$2:$L$183,2,FALSE)</f>
        <v>1005</v>
      </c>
      <c r="AC916" s="20" t="s">
        <v>2063</v>
      </c>
      <c r="AD916" s="20" t="s">
        <v>2060</v>
      </c>
      <c r="AE916" s="20">
        <v>10</v>
      </c>
      <c r="AF916" s="20">
        <v>4</v>
      </c>
      <c r="AG916" s="20">
        <v>2005</v>
      </c>
      <c r="AH916" s="21">
        <v>38452</v>
      </c>
    </row>
    <row r="917" spans="1:34" x14ac:dyDescent="0.25">
      <c r="A917" s="35">
        <v>1819</v>
      </c>
      <c r="B917" s="20" t="s">
        <v>1842</v>
      </c>
      <c r="C917" s="20" t="s">
        <v>1842</v>
      </c>
      <c r="D917" s="94" t="s">
        <v>1746</v>
      </c>
      <c r="E917" s="20" t="s">
        <v>2053</v>
      </c>
      <c r="F917" s="20" t="s">
        <v>1846</v>
      </c>
      <c r="G917" s="31" t="s">
        <v>40</v>
      </c>
      <c r="H917" s="32">
        <v>1</v>
      </c>
      <c r="J917" s="32">
        <v>1</v>
      </c>
      <c r="O917" s="20">
        <v>0</v>
      </c>
      <c r="P917" s="20">
        <v>1</v>
      </c>
      <c r="Q917" s="20">
        <v>0</v>
      </c>
      <c r="R917" s="20">
        <v>0</v>
      </c>
      <c r="X917" s="20">
        <v>1</v>
      </c>
      <c r="Z917" s="20" t="s">
        <v>100</v>
      </c>
      <c r="AA917" s="20" t="s">
        <v>1861</v>
      </c>
      <c r="AB917" s="31">
        <f>VLOOKUP(AA917,Masters!$K$2:$L$183,2,FALSE)</f>
        <v>1003</v>
      </c>
      <c r="AC917" s="20" t="s">
        <v>2063</v>
      </c>
      <c r="AD917" s="20" t="s">
        <v>2061</v>
      </c>
      <c r="AE917" s="20">
        <v>12</v>
      </c>
      <c r="AF917" s="20">
        <v>11</v>
      </c>
      <c r="AG917" s="20">
        <v>2002</v>
      </c>
      <c r="AH917" s="21">
        <v>37572</v>
      </c>
    </row>
    <row r="918" spans="1:34" x14ac:dyDescent="0.25">
      <c r="A918" s="35">
        <v>1825</v>
      </c>
      <c r="B918" s="20" t="s">
        <v>1842</v>
      </c>
      <c r="C918" s="20" t="s">
        <v>1842</v>
      </c>
      <c r="D918" s="94" t="s">
        <v>1752</v>
      </c>
      <c r="E918" s="20" t="s">
        <v>133</v>
      </c>
      <c r="F918" s="20" t="s">
        <v>1844</v>
      </c>
      <c r="G918" s="31" t="s">
        <v>40</v>
      </c>
      <c r="H918" s="32">
        <v>1</v>
      </c>
      <c r="J918" s="32">
        <v>1</v>
      </c>
      <c r="O918" s="20">
        <v>0</v>
      </c>
      <c r="P918" s="20">
        <v>1</v>
      </c>
      <c r="Q918" s="20">
        <v>0</v>
      </c>
      <c r="R918" s="20">
        <v>0</v>
      </c>
      <c r="T918" s="20" t="s">
        <v>36</v>
      </c>
      <c r="X918" s="20">
        <v>1</v>
      </c>
      <c r="Z918" s="20" t="s">
        <v>1848</v>
      </c>
      <c r="AA918" s="20" t="s">
        <v>1862</v>
      </c>
      <c r="AB918" s="31">
        <f>VLOOKUP(AA918,Masters!$K$2:$L$183,2,FALSE)</f>
        <v>1004</v>
      </c>
      <c r="AC918" s="20" t="s">
        <v>2063</v>
      </c>
      <c r="AD918" s="20" t="s">
        <v>2060</v>
      </c>
      <c r="AE918" s="20">
        <v>16</v>
      </c>
      <c r="AF918" s="20">
        <v>1</v>
      </c>
      <c r="AG918" s="20">
        <v>2005</v>
      </c>
      <c r="AH918" s="21">
        <v>38368</v>
      </c>
    </row>
    <row r="919" spans="1:34" x14ac:dyDescent="0.25">
      <c r="A919" s="35">
        <v>1829</v>
      </c>
      <c r="B919" s="20" t="s">
        <v>1842</v>
      </c>
      <c r="C919" s="20" t="s">
        <v>1842</v>
      </c>
      <c r="D919" s="94" t="s">
        <v>1756</v>
      </c>
      <c r="E919" s="20" t="s">
        <v>2053</v>
      </c>
      <c r="F919" s="20" t="s">
        <v>1843</v>
      </c>
      <c r="G919" s="31" t="s">
        <v>40</v>
      </c>
      <c r="J919" s="32">
        <v>0</v>
      </c>
      <c r="K919" s="33">
        <v>1</v>
      </c>
      <c r="O919" s="20">
        <v>0</v>
      </c>
      <c r="P919" s="20">
        <v>1</v>
      </c>
      <c r="Q919" s="20">
        <v>0</v>
      </c>
      <c r="R919" s="20">
        <v>1</v>
      </c>
      <c r="X919" s="20">
        <v>1</v>
      </c>
      <c r="Z919" s="20" t="s">
        <v>1858</v>
      </c>
      <c r="AA919" s="20" t="s">
        <v>1863</v>
      </c>
      <c r="AB919" s="31">
        <f>VLOOKUP(AA919,Masters!$K$2:$L$183,2,FALSE)</f>
        <v>1005</v>
      </c>
      <c r="AC919" s="20" t="s">
        <v>2063</v>
      </c>
      <c r="AD919" s="20" t="s">
        <v>2060</v>
      </c>
      <c r="AE919" s="20">
        <v>6</v>
      </c>
      <c r="AF919" s="20">
        <v>1</v>
      </c>
      <c r="AG919" s="20">
        <v>2002</v>
      </c>
      <c r="AH919" s="21">
        <v>37262</v>
      </c>
    </row>
    <row r="920" spans="1:34" x14ac:dyDescent="0.25">
      <c r="A920" s="35">
        <v>1830</v>
      </c>
      <c r="B920" s="20" t="s">
        <v>1842</v>
      </c>
      <c r="C920" s="20" t="s">
        <v>1842</v>
      </c>
      <c r="D920" s="94" t="s">
        <v>1757</v>
      </c>
      <c r="E920" s="20" t="s">
        <v>2050</v>
      </c>
      <c r="F920" s="20" t="s">
        <v>1843</v>
      </c>
      <c r="G920" s="31" t="s">
        <v>40</v>
      </c>
      <c r="H920" s="32">
        <v>1</v>
      </c>
      <c r="J920" s="32">
        <v>1</v>
      </c>
      <c r="O920" s="20">
        <v>0</v>
      </c>
      <c r="P920" s="20">
        <v>1</v>
      </c>
      <c r="Q920" s="20">
        <v>0</v>
      </c>
      <c r="R920" s="20">
        <v>0</v>
      </c>
      <c r="X920" s="20">
        <v>1</v>
      </c>
      <c r="Z920" s="20" t="s">
        <v>58</v>
      </c>
      <c r="AA920" s="20" t="s">
        <v>1863</v>
      </c>
      <c r="AB920" s="31">
        <f>VLOOKUP(AA920,Masters!$K$2:$L$183,2,FALSE)</f>
        <v>1005</v>
      </c>
      <c r="AC920" s="20" t="s">
        <v>2063</v>
      </c>
      <c r="AD920" s="20" t="s">
        <v>2060</v>
      </c>
      <c r="AE920" s="20">
        <v>1</v>
      </c>
      <c r="AF920" s="20">
        <v>8</v>
      </c>
      <c r="AG920" s="20">
        <v>2000</v>
      </c>
      <c r="AH920" s="21">
        <v>36739</v>
      </c>
    </row>
    <row r="921" spans="1:34" x14ac:dyDescent="0.25">
      <c r="A921" s="35">
        <v>1831</v>
      </c>
      <c r="B921" s="20" t="s">
        <v>1842</v>
      </c>
      <c r="C921" s="20" t="s">
        <v>1842</v>
      </c>
      <c r="D921" s="94" t="s">
        <v>1758</v>
      </c>
      <c r="E921" s="20" t="s">
        <v>2051</v>
      </c>
      <c r="F921" s="20" t="s">
        <v>1846</v>
      </c>
      <c r="G921" s="31" t="s">
        <v>40</v>
      </c>
      <c r="J921" s="32">
        <v>0</v>
      </c>
      <c r="K921" s="33">
        <v>1</v>
      </c>
      <c r="O921" s="20">
        <v>0</v>
      </c>
      <c r="P921" s="20">
        <v>1</v>
      </c>
      <c r="Q921" s="20">
        <v>0</v>
      </c>
      <c r="R921" s="20">
        <v>1</v>
      </c>
      <c r="X921" s="20">
        <v>1</v>
      </c>
      <c r="Z921" s="20" t="s">
        <v>1853</v>
      </c>
      <c r="AA921" s="20" t="s">
        <v>1861</v>
      </c>
      <c r="AB921" s="31">
        <f>VLOOKUP(AA921,Masters!$K$2:$L$183,2,FALSE)</f>
        <v>1003</v>
      </c>
      <c r="AC921" s="20" t="s">
        <v>2063</v>
      </c>
      <c r="AD921" s="20" t="s">
        <v>2060</v>
      </c>
      <c r="AE921" s="20">
        <v>29</v>
      </c>
      <c r="AF921" s="20">
        <v>8</v>
      </c>
      <c r="AG921" s="20">
        <v>2003</v>
      </c>
      <c r="AH921" s="21">
        <v>37862</v>
      </c>
    </row>
    <row r="922" spans="1:34" x14ac:dyDescent="0.25">
      <c r="A922" s="35">
        <v>1832</v>
      </c>
      <c r="B922" s="20" t="s">
        <v>1842</v>
      </c>
      <c r="C922" s="20" t="s">
        <v>1842</v>
      </c>
      <c r="D922" s="94" t="s">
        <v>1759</v>
      </c>
      <c r="E922" s="20" t="s">
        <v>133</v>
      </c>
      <c r="F922" s="20" t="s">
        <v>1845</v>
      </c>
      <c r="G922" s="31" t="s">
        <v>40</v>
      </c>
      <c r="H922" s="32">
        <v>1</v>
      </c>
      <c r="J922" s="32">
        <v>1</v>
      </c>
      <c r="O922" s="20">
        <v>0</v>
      </c>
      <c r="P922" s="20">
        <v>1</v>
      </c>
      <c r="Q922" s="20">
        <v>0</v>
      </c>
      <c r="R922" s="20">
        <v>0</v>
      </c>
      <c r="X922" s="20">
        <v>1</v>
      </c>
      <c r="Z922" s="20" t="s">
        <v>1851</v>
      </c>
      <c r="AA922" s="20" t="s">
        <v>1862</v>
      </c>
      <c r="AB922" s="31">
        <f>VLOOKUP(AA922,Masters!$K$2:$L$183,2,FALSE)</f>
        <v>1004</v>
      </c>
      <c r="AC922" s="20" t="s">
        <v>2063</v>
      </c>
      <c r="AD922" s="20" t="s">
        <v>2060</v>
      </c>
      <c r="AE922" s="20">
        <v>31</v>
      </c>
      <c r="AF922" s="20">
        <v>12</v>
      </c>
      <c r="AG922" s="20">
        <v>2003</v>
      </c>
      <c r="AH922" s="21">
        <v>37986</v>
      </c>
    </row>
    <row r="923" spans="1:34" x14ac:dyDescent="0.25">
      <c r="A923" s="35">
        <v>1833</v>
      </c>
      <c r="B923" s="20" t="s">
        <v>1842</v>
      </c>
      <c r="C923" s="20" t="s">
        <v>1842</v>
      </c>
      <c r="D923" s="94" t="s">
        <v>1760</v>
      </c>
      <c r="E923" s="20" t="s">
        <v>2057</v>
      </c>
      <c r="F923" s="20" t="s">
        <v>1846</v>
      </c>
      <c r="G923" s="31" t="s">
        <v>40</v>
      </c>
      <c r="H923" s="32">
        <v>1</v>
      </c>
      <c r="J923" s="32">
        <v>1</v>
      </c>
      <c r="O923" s="20">
        <v>0</v>
      </c>
      <c r="P923" s="20">
        <v>1</v>
      </c>
      <c r="Q923" s="20">
        <v>0</v>
      </c>
      <c r="R923" s="20">
        <v>0</v>
      </c>
      <c r="X923" s="20">
        <v>1</v>
      </c>
      <c r="Z923" s="20" t="s">
        <v>1835</v>
      </c>
      <c r="AA923" s="20" t="s">
        <v>1859</v>
      </c>
      <c r="AB923" s="31">
        <f>VLOOKUP(AA923,Masters!$K$2:$L$183,2,FALSE)</f>
        <v>1001</v>
      </c>
      <c r="AC923" s="20" t="s">
        <v>2063</v>
      </c>
      <c r="AD923" s="20" t="s">
        <v>2060</v>
      </c>
      <c r="AE923" s="20">
        <v>2</v>
      </c>
      <c r="AF923" s="20">
        <v>12</v>
      </c>
      <c r="AG923" s="20">
        <v>2002</v>
      </c>
      <c r="AH923" s="21">
        <v>37592</v>
      </c>
    </row>
    <row r="924" spans="1:34" x14ac:dyDescent="0.25">
      <c r="A924" s="35">
        <v>1834</v>
      </c>
      <c r="B924" s="20" t="s">
        <v>1842</v>
      </c>
      <c r="C924" s="20" t="s">
        <v>1842</v>
      </c>
      <c r="D924" s="94" t="s">
        <v>1761</v>
      </c>
      <c r="E924" s="20" t="s">
        <v>2054</v>
      </c>
      <c r="F924" s="20" t="s">
        <v>1847</v>
      </c>
      <c r="G924" s="31" t="s">
        <v>40</v>
      </c>
      <c r="H924" s="32">
        <v>1</v>
      </c>
      <c r="J924" s="32">
        <v>1</v>
      </c>
      <c r="O924" s="20">
        <v>0</v>
      </c>
      <c r="P924" s="20">
        <v>1</v>
      </c>
      <c r="Q924" s="20">
        <v>0</v>
      </c>
      <c r="R924" s="20">
        <v>0</v>
      </c>
      <c r="X924" s="20">
        <v>1</v>
      </c>
      <c r="Z924" s="20" t="s">
        <v>1850</v>
      </c>
      <c r="AA924" s="20" t="s">
        <v>1859</v>
      </c>
      <c r="AB924" s="31">
        <f>VLOOKUP(AA924,Masters!$K$2:$L$183,2,FALSE)</f>
        <v>1001</v>
      </c>
      <c r="AC924" s="20" t="s">
        <v>2063</v>
      </c>
      <c r="AD924" s="20" t="s">
        <v>2060</v>
      </c>
      <c r="AE924" s="20">
        <v>2</v>
      </c>
      <c r="AF924" s="20">
        <v>7</v>
      </c>
      <c r="AG924" s="20">
        <v>2000</v>
      </c>
      <c r="AH924" s="21">
        <v>36709</v>
      </c>
    </row>
    <row r="925" spans="1:34" x14ac:dyDescent="0.25">
      <c r="A925" s="35">
        <v>1835</v>
      </c>
      <c r="B925" s="20" t="s">
        <v>1842</v>
      </c>
      <c r="C925" s="20" t="s">
        <v>1842</v>
      </c>
      <c r="D925" s="94" t="s">
        <v>1762</v>
      </c>
      <c r="E925" s="20" t="s">
        <v>2050</v>
      </c>
      <c r="F925" s="20" t="s">
        <v>1845</v>
      </c>
      <c r="G925" s="31" t="s">
        <v>40</v>
      </c>
      <c r="H925" s="32">
        <v>1</v>
      </c>
      <c r="J925" s="32">
        <v>1</v>
      </c>
      <c r="O925" s="20">
        <v>0</v>
      </c>
      <c r="P925" s="20">
        <v>1</v>
      </c>
      <c r="Q925" s="20">
        <v>0</v>
      </c>
      <c r="R925" s="20">
        <v>0</v>
      </c>
      <c r="X925" s="20">
        <v>1</v>
      </c>
      <c r="Z925" s="20" t="s">
        <v>58</v>
      </c>
      <c r="AA925" s="20" t="s">
        <v>1860</v>
      </c>
      <c r="AB925" s="31">
        <f>VLOOKUP(AA925,Masters!$K$2:$L$183,2,FALSE)</f>
        <v>1002</v>
      </c>
      <c r="AC925" s="20" t="s">
        <v>2063</v>
      </c>
      <c r="AD925" s="20" t="s">
        <v>2060</v>
      </c>
      <c r="AE925" s="20">
        <v>21</v>
      </c>
      <c r="AF925" s="20">
        <v>2</v>
      </c>
      <c r="AG925" s="20">
        <v>2005</v>
      </c>
      <c r="AH925" s="21">
        <v>38404</v>
      </c>
    </row>
    <row r="926" spans="1:34" x14ac:dyDescent="0.25">
      <c r="A926" s="35">
        <v>1836</v>
      </c>
      <c r="B926" s="20" t="s">
        <v>1842</v>
      </c>
      <c r="C926" s="20" t="s">
        <v>1842</v>
      </c>
      <c r="D926" s="94" t="s">
        <v>1763</v>
      </c>
      <c r="E926" s="20" t="s">
        <v>2055</v>
      </c>
      <c r="F926" s="20" t="s">
        <v>1846</v>
      </c>
      <c r="G926" s="31" t="s">
        <v>40</v>
      </c>
      <c r="H926" s="32">
        <v>1</v>
      </c>
      <c r="J926" s="32">
        <v>1</v>
      </c>
      <c r="O926" s="20">
        <v>0</v>
      </c>
      <c r="P926" s="20">
        <v>1</v>
      </c>
      <c r="Q926" s="20">
        <v>0</v>
      </c>
      <c r="R926" s="20">
        <v>0</v>
      </c>
      <c r="X926" s="20">
        <v>1</v>
      </c>
      <c r="Z926" s="20" t="s">
        <v>1832</v>
      </c>
      <c r="AA926" s="20" t="s">
        <v>1861</v>
      </c>
      <c r="AB926" s="31">
        <f>VLOOKUP(AA926,Masters!$K$2:$L$183,2,FALSE)</f>
        <v>1003</v>
      </c>
      <c r="AC926" s="20" t="s">
        <v>2063</v>
      </c>
      <c r="AD926" s="20" t="s">
        <v>2060</v>
      </c>
      <c r="AE926" s="20">
        <v>21</v>
      </c>
      <c r="AF926" s="20">
        <v>10</v>
      </c>
      <c r="AG926" s="20">
        <v>2002</v>
      </c>
      <c r="AH926" s="21">
        <v>37550</v>
      </c>
    </row>
    <row r="927" spans="1:34" x14ac:dyDescent="0.25">
      <c r="A927" s="35">
        <v>1837</v>
      </c>
      <c r="B927" s="20" t="s">
        <v>1842</v>
      </c>
      <c r="C927" s="20" t="s">
        <v>1842</v>
      </c>
      <c r="D927" s="94" t="s">
        <v>1764</v>
      </c>
      <c r="E927" s="20" t="s">
        <v>126</v>
      </c>
      <c r="F927" s="20" t="s">
        <v>1845</v>
      </c>
      <c r="G927" s="31" t="s">
        <v>40</v>
      </c>
      <c r="J927" s="32">
        <v>0</v>
      </c>
      <c r="K927" s="33">
        <v>1</v>
      </c>
      <c r="O927" s="20">
        <v>0</v>
      </c>
      <c r="P927" s="20">
        <v>1</v>
      </c>
      <c r="Q927" s="20">
        <v>0</v>
      </c>
      <c r="R927" s="20">
        <v>1</v>
      </c>
      <c r="X927" s="20">
        <v>1</v>
      </c>
      <c r="Z927" s="20" t="s">
        <v>1835</v>
      </c>
      <c r="AA927" s="20" t="s">
        <v>1863</v>
      </c>
      <c r="AB927" s="31">
        <f>VLOOKUP(AA927,Masters!$K$2:$L$183,2,FALSE)</f>
        <v>1005</v>
      </c>
      <c r="AC927" s="20" t="s">
        <v>2063</v>
      </c>
      <c r="AD927" s="20" t="s">
        <v>2060</v>
      </c>
      <c r="AE927" s="20">
        <v>24</v>
      </c>
      <c r="AF927" s="20">
        <v>7</v>
      </c>
      <c r="AG927" s="20">
        <v>2005</v>
      </c>
      <c r="AH927" s="21">
        <v>38557</v>
      </c>
    </row>
    <row r="928" spans="1:34" x14ac:dyDescent="0.25">
      <c r="A928" s="35">
        <v>1839</v>
      </c>
      <c r="B928" s="20" t="s">
        <v>1842</v>
      </c>
      <c r="C928" s="20" t="s">
        <v>1842</v>
      </c>
      <c r="D928" s="94" t="s">
        <v>1766</v>
      </c>
      <c r="E928" s="20" t="s">
        <v>2054</v>
      </c>
      <c r="F928" s="20" t="s">
        <v>1844</v>
      </c>
      <c r="G928" s="31" t="s">
        <v>40</v>
      </c>
      <c r="H928" s="32">
        <v>1</v>
      </c>
      <c r="J928" s="32">
        <v>1</v>
      </c>
      <c r="O928" s="20">
        <v>0</v>
      </c>
      <c r="P928" s="20">
        <v>1</v>
      </c>
      <c r="Q928" s="20">
        <v>0</v>
      </c>
      <c r="R928" s="20">
        <v>0</v>
      </c>
      <c r="X928" s="20">
        <v>1</v>
      </c>
      <c r="Z928" s="20" t="s">
        <v>1855</v>
      </c>
      <c r="AA928" s="20" t="s">
        <v>1863</v>
      </c>
      <c r="AB928" s="31">
        <f>VLOOKUP(AA928,Masters!$K$2:$L$183,2,FALSE)</f>
        <v>1005</v>
      </c>
      <c r="AC928" s="20" t="s">
        <v>2064</v>
      </c>
      <c r="AD928" s="20" t="s">
        <v>2061</v>
      </c>
      <c r="AE928" s="20">
        <v>7</v>
      </c>
      <c r="AF928" s="20">
        <v>6</v>
      </c>
      <c r="AG928" s="20">
        <v>2000</v>
      </c>
      <c r="AH928" s="21">
        <v>36684</v>
      </c>
    </row>
    <row r="929" spans="1:34" x14ac:dyDescent="0.25">
      <c r="A929" s="35">
        <v>1840</v>
      </c>
      <c r="B929" s="20" t="s">
        <v>1842</v>
      </c>
      <c r="C929" s="20" t="s">
        <v>1842</v>
      </c>
      <c r="D929" s="94" t="s">
        <v>1767</v>
      </c>
      <c r="E929" s="20" t="s">
        <v>2056</v>
      </c>
      <c r="F929" s="20" t="s">
        <v>1847</v>
      </c>
      <c r="G929" s="31" t="s">
        <v>40</v>
      </c>
      <c r="J929" s="32">
        <v>0</v>
      </c>
      <c r="K929" s="33">
        <v>1</v>
      </c>
      <c r="O929" s="20">
        <v>0</v>
      </c>
      <c r="P929" s="20">
        <v>1</v>
      </c>
      <c r="Q929" s="20">
        <v>0</v>
      </c>
      <c r="R929" s="20">
        <v>1</v>
      </c>
      <c r="X929" s="20">
        <v>1</v>
      </c>
      <c r="Z929" s="20" t="s">
        <v>34</v>
      </c>
      <c r="AA929" s="20" t="s">
        <v>1860</v>
      </c>
      <c r="AB929" s="31">
        <f>VLOOKUP(AA929,Masters!$K$2:$L$183,2,FALSE)</f>
        <v>1002</v>
      </c>
      <c r="AC929" s="20" t="s">
        <v>2063</v>
      </c>
      <c r="AD929" s="20" t="s">
        <v>2060</v>
      </c>
      <c r="AE929" s="20">
        <v>14</v>
      </c>
      <c r="AF929" s="20">
        <v>4</v>
      </c>
      <c r="AG929" s="20">
        <v>2003</v>
      </c>
      <c r="AH929" s="21">
        <v>37725</v>
      </c>
    </row>
    <row r="930" spans="1:34" x14ac:dyDescent="0.25">
      <c r="A930" s="35">
        <v>1841</v>
      </c>
      <c r="B930" s="20" t="s">
        <v>1842</v>
      </c>
      <c r="C930" s="20" t="s">
        <v>1842</v>
      </c>
      <c r="D930" s="94" t="s">
        <v>1768</v>
      </c>
      <c r="E930" s="20" t="s">
        <v>135</v>
      </c>
      <c r="F930" s="20" t="s">
        <v>1847</v>
      </c>
      <c r="G930" s="31" t="s">
        <v>40</v>
      </c>
      <c r="J930" s="32">
        <v>0</v>
      </c>
      <c r="K930" s="33">
        <v>1</v>
      </c>
      <c r="O930" s="20">
        <v>0</v>
      </c>
      <c r="P930" s="20">
        <v>1</v>
      </c>
      <c r="Q930" s="20">
        <v>0</v>
      </c>
      <c r="R930" s="20">
        <v>1</v>
      </c>
      <c r="X930" s="20">
        <v>1</v>
      </c>
      <c r="Z930" s="20" t="s">
        <v>1858</v>
      </c>
      <c r="AA930" s="20" t="s">
        <v>1863</v>
      </c>
      <c r="AB930" s="31">
        <f>VLOOKUP(AA930,Masters!$K$2:$L$183,2,FALSE)</f>
        <v>1005</v>
      </c>
      <c r="AC930" s="20" t="s">
        <v>2063</v>
      </c>
      <c r="AD930" s="20" t="s">
        <v>2060</v>
      </c>
      <c r="AE930" s="20">
        <v>24</v>
      </c>
      <c r="AF930" s="20">
        <v>3</v>
      </c>
      <c r="AG930" s="20">
        <v>2002</v>
      </c>
      <c r="AH930" s="21">
        <v>37339</v>
      </c>
    </row>
    <row r="931" spans="1:34" x14ac:dyDescent="0.25">
      <c r="A931" s="35">
        <v>1842</v>
      </c>
      <c r="B931" s="20" t="s">
        <v>1842</v>
      </c>
      <c r="C931" s="20" t="s">
        <v>1842</v>
      </c>
      <c r="D931" s="94" t="s">
        <v>1769</v>
      </c>
      <c r="E931" s="20" t="s">
        <v>2055</v>
      </c>
      <c r="F931" s="20" t="s">
        <v>1844</v>
      </c>
      <c r="G931" s="31" t="s">
        <v>40</v>
      </c>
      <c r="H931" s="32">
        <v>1</v>
      </c>
      <c r="J931" s="32">
        <v>1</v>
      </c>
      <c r="O931" s="20">
        <v>0</v>
      </c>
      <c r="P931" s="20">
        <v>1</v>
      </c>
      <c r="Q931" s="20">
        <v>0</v>
      </c>
      <c r="R931" s="20">
        <v>0</v>
      </c>
      <c r="X931" s="20">
        <v>1</v>
      </c>
      <c r="Z931" s="20" t="s">
        <v>1850</v>
      </c>
      <c r="AA931" s="20" t="s">
        <v>1859</v>
      </c>
      <c r="AB931" s="31">
        <f>VLOOKUP(AA931,Masters!$K$2:$L$183,2,FALSE)</f>
        <v>1001</v>
      </c>
      <c r="AC931" s="20" t="s">
        <v>2063</v>
      </c>
      <c r="AD931" s="20" t="s">
        <v>2060</v>
      </c>
      <c r="AE931" s="20">
        <v>16</v>
      </c>
      <c r="AF931" s="20">
        <v>4</v>
      </c>
      <c r="AG931" s="20">
        <v>2001</v>
      </c>
      <c r="AH931" s="21">
        <v>36997</v>
      </c>
    </row>
    <row r="932" spans="1:34" x14ac:dyDescent="0.25">
      <c r="A932" s="35">
        <v>1843</v>
      </c>
      <c r="B932" s="20" t="s">
        <v>1842</v>
      </c>
      <c r="C932" s="20" t="s">
        <v>1842</v>
      </c>
      <c r="D932" s="94" t="s">
        <v>1770</v>
      </c>
      <c r="E932" s="20" t="s">
        <v>2055</v>
      </c>
      <c r="F932" s="20" t="s">
        <v>1844</v>
      </c>
      <c r="G932" s="31" t="s">
        <v>40</v>
      </c>
      <c r="H932" s="32">
        <v>1</v>
      </c>
      <c r="J932" s="32">
        <v>1</v>
      </c>
      <c r="O932" s="20">
        <v>0</v>
      </c>
      <c r="P932" s="20">
        <v>1</v>
      </c>
      <c r="Q932" s="20">
        <v>0</v>
      </c>
      <c r="R932" s="20">
        <v>0</v>
      </c>
      <c r="T932" s="20" t="s">
        <v>36</v>
      </c>
      <c r="X932" s="20">
        <v>1</v>
      </c>
      <c r="Z932" s="20" t="s">
        <v>1851</v>
      </c>
      <c r="AA932" s="20" t="s">
        <v>1859</v>
      </c>
      <c r="AB932" s="31">
        <f>VLOOKUP(AA932,Masters!$K$2:$L$183,2,FALSE)</f>
        <v>1001</v>
      </c>
      <c r="AC932" s="20" t="s">
        <v>2063</v>
      </c>
      <c r="AD932" s="20" t="s">
        <v>2060</v>
      </c>
      <c r="AE932" s="20">
        <v>3</v>
      </c>
      <c r="AF932" s="20">
        <v>7</v>
      </c>
      <c r="AG932" s="20">
        <v>2003</v>
      </c>
      <c r="AH932" s="21">
        <v>37805</v>
      </c>
    </row>
    <row r="933" spans="1:34" x14ac:dyDescent="0.25">
      <c r="A933" s="35">
        <v>1844</v>
      </c>
      <c r="B933" s="20" t="s">
        <v>1842</v>
      </c>
      <c r="C933" s="20" t="s">
        <v>1842</v>
      </c>
      <c r="D933" s="94" t="s">
        <v>1771</v>
      </c>
      <c r="E933" s="20" t="s">
        <v>2054</v>
      </c>
      <c r="F933" s="20" t="s">
        <v>1847</v>
      </c>
      <c r="G933" s="31" t="s">
        <v>40</v>
      </c>
      <c r="H933" s="32">
        <v>1</v>
      </c>
      <c r="J933" s="32">
        <v>1</v>
      </c>
      <c r="O933" s="20">
        <v>0</v>
      </c>
      <c r="P933" s="20">
        <v>1</v>
      </c>
      <c r="Q933" s="20">
        <v>0</v>
      </c>
      <c r="R933" s="20">
        <v>0</v>
      </c>
      <c r="T933" s="20" t="s">
        <v>36</v>
      </c>
      <c r="X933" s="20">
        <v>1</v>
      </c>
      <c r="Z933" s="20" t="s">
        <v>34</v>
      </c>
      <c r="AA933" s="20" t="s">
        <v>1861</v>
      </c>
      <c r="AB933" s="31">
        <f>VLOOKUP(AA933,Masters!$K$2:$L$183,2,FALSE)</f>
        <v>1003</v>
      </c>
      <c r="AC933" s="20" t="s">
        <v>2064</v>
      </c>
      <c r="AD933" s="20" t="s">
        <v>2061</v>
      </c>
      <c r="AE933" s="20">
        <v>25</v>
      </c>
      <c r="AF933" s="20">
        <v>2</v>
      </c>
      <c r="AG933" s="20">
        <v>2002</v>
      </c>
      <c r="AH933" s="21">
        <v>37312</v>
      </c>
    </row>
    <row r="934" spans="1:34" x14ac:dyDescent="0.25">
      <c r="A934" s="35">
        <v>1847</v>
      </c>
      <c r="B934" s="20" t="s">
        <v>1842</v>
      </c>
      <c r="C934" s="20" t="s">
        <v>1842</v>
      </c>
      <c r="D934" s="94" t="s">
        <v>1774</v>
      </c>
      <c r="E934" s="20" t="s">
        <v>126</v>
      </c>
      <c r="F934" s="20" t="s">
        <v>1847</v>
      </c>
      <c r="G934" s="31" t="s">
        <v>40</v>
      </c>
      <c r="H934" s="32">
        <v>1</v>
      </c>
      <c r="J934" s="32">
        <v>1</v>
      </c>
      <c r="O934" s="20">
        <v>0</v>
      </c>
      <c r="P934" s="20">
        <v>1</v>
      </c>
      <c r="Q934" s="20">
        <v>0</v>
      </c>
      <c r="R934" s="20">
        <v>0</v>
      </c>
      <c r="X934" s="20">
        <v>1</v>
      </c>
      <c r="Z934" s="20" t="s">
        <v>1857</v>
      </c>
      <c r="AA934" s="20" t="s">
        <v>1859</v>
      </c>
      <c r="AB934" s="31">
        <f>VLOOKUP(AA934,Masters!$K$2:$L$183,2,FALSE)</f>
        <v>1001</v>
      </c>
      <c r="AC934" s="20" t="s">
        <v>2063</v>
      </c>
      <c r="AD934" s="20" t="s">
        <v>2060</v>
      </c>
      <c r="AE934" s="20">
        <v>30</v>
      </c>
      <c r="AF934" s="20">
        <v>5</v>
      </c>
      <c r="AG934" s="20">
        <v>2004</v>
      </c>
      <c r="AH934" s="21">
        <v>38137</v>
      </c>
    </row>
    <row r="935" spans="1:34" x14ac:dyDescent="0.25">
      <c r="A935" s="35">
        <v>1855</v>
      </c>
      <c r="B935" s="20" t="s">
        <v>1842</v>
      </c>
      <c r="C935" s="20" t="s">
        <v>1842</v>
      </c>
      <c r="D935" s="94" t="s">
        <v>1782</v>
      </c>
      <c r="E935" s="20" t="s">
        <v>2051</v>
      </c>
      <c r="F935" s="20" t="s">
        <v>1843</v>
      </c>
      <c r="G935" s="31" t="s">
        <v>40</v>
      </c>
      <c r="H935" s="32">
        <v>1</v>
      </c>
      <c r="J935" s="32">
        <v>1</v>
      </c>
      <c r="O935" s="20">
        <v>0</v>
      </c>
      <c r="P935" s="20">
        <v>1</v>
      </c>
      <c r="Q935" s="20">
        <v>0</v>
      </c>
      <c r="R935" s="20">
        <v>0</v>
      </c>
      <c r="X935" s="20">
        <v>1</v>
      </c>
      <c r="Z935" s="20" t="s">
        <v>201</v>
      </c>
      <c r="AA935" s="20" t="s">
        <v>1861</v>
      </c>
      <c r="AB935" s="31">
        <f>VLOOKUP(AA935,Masters!$K$2:$L$183,2,FALSE)</f>
        <v>1003</v>
      </c>
      <c r="AC935" s="20" t="s">
        <v>2063</v>
      </c>
      <c r="AD935" s="20" t="s">
        <v>2060</v>
      </c>
      <c r="AE935" s="20">
        <v>10</v>
      </c>
      <c r="AF935" s="20">
        <v>5</v>
      </c>
      <c r="AG935" s="20">
        <v>2000</v>
      </c>
      <c r="AH935" s="21">
        <v>36656</v>
      </c>
    </row>
    <row r="936" spans="1:34" x14ac:dyDescent="0.25">
      <c r="A936" s="35">
        <v>1856</v>
      </c>
      <c r="B936" s="20" t="s">
        <v>1842</v>
      </c>
      <c r="C936" s="20" t="s">
        <v>1842</v>
      </c>
      <c r="D936" s="94" t="s">
        <v>1783</v>
      </c>
      <c r="E936" s="20" t="s">
        <v>2053</v>
      </c>
      <c r="F936" s="20" t="s">
        <v>1844</v>
      </c>
      <c r="G936" s="31" t="s">
        <v>40</v>
      </c>
      <c r="H936" s="32">
        <v>1</v>
      </c>
      <c r="J936" s="32">
        <v>1</v>
      </c>
      <c r="O936" s="20">
        <v>0</v>
      </c>
      <c r="P936" s="20">
        <v>1</v>
      </c>
      <c r="Q936" s="20">
        <v>0</v>
      </c>
      <c r="R936" s="20">
        <v>0</v>
      </c>
      <c r="X936" s="20">
        <v>1</v>
      </c>
      <c r="Z936" s="20" t="s">
        <v>78</v>
      </c>
      <c r="AA936" s="20" t="s">
        <v>1862</v>
      </c>
      <c r="AB936" s="31">
        <f>VLOOKUP(AA936,Masters!$K$2:$L$183,2,FALSE)</f>
        <v>1004</v>
      </c>
      <c r="AC936" s="20" t="s">
        <v>2063</v>
      </c>
      <c r="AD936" s="20" t="s">
        <v>2060</v>
      </c>
      <c r="AE936" s="20">
        <v>13</v>
      </c>
      <c r="AF936" s="20">
        <v>5</v>
      </c>
      <c r="AG936" s="20">
        <v>2003</v>
      </c>
      <c r="AH936" s="21">
        <v>37754</v>
      </c>
    </row>
    <row r="937" spans="1:34" x14ac:dyDescent="0.25">
      <c r="A937" s="35">
        <v>1857</v>
      </c>
      <c r="B937" s="20" t="s">
        <v>1842</v>
      </c>
      <c r="C937" s="20" t="s">
        <v>1842</v>
      </c>
      <c r="D937" s="94" t="s">
        <v>1784</v>
      </c>
      <c r="E937" s="20" t="s">
        <v>2051</v>
      </c>
      <c r="F937" s="20" t="s">
        <v>1845</v>
      </c>
      <c r="G937" s="31" t="s">
        <v>40</v>
      </c>
      <c r="H937" s="32">
        <v>1</v>
      </c>
      <c r="J937" s="32">
        <v>1</v>
      </c>
      <c r="O937" s="20">
        <v>0</v>
      </c>
      <c r="P937" s="20">
        <v>1</v>
      </c>
      <c r="Q937" s="20">
        <v>0</v>
      </c>
      <c r="R937" s="20">
        <v>0</v>
      </c>
      <c r="X937" s="20">
        <v>1</v>
      </c>
      <c r="Z937" s="20" t="s">
        <v>34</v>
      </c>
      <c r="AA937" s="20" t="s">
        <v>1863</v>
      </c>
      <c r="AB937" s="31">
        <f>VLOOKUP(AA937,Masters!$K$2:$L$183,2,FALSE)</f>
        <v>1005</v>
      </c>
      <c r="AC937" s="20" t="s">
        <v>2063</v>
      </c>
      <c r="AD937" s="20" t="s">
        <v>2060</v>
      </c>
      <c r="AE937" s="20">
        <v>29</v>
      </c>
      <c r="AF937" s="20">
        <v>10</v>
      </c>
      <c r="AG937" s="20">
        <v>2004</v>
      </c>
      <c r="AH937" s="21">
        <v>38289</v>
      </c>
    </row>
    <row r="938" spans="1:34" x14ac:dyDescent="0.25">
      <c r="A938" s="35">
        <v>1858</v>
      </c>
      <c r="B938" s="20" t="s">
        <v>1842</v>
      </c>
      <c r="C938" s="20" t="s">
        <v>1842</v>
      </c>
      <c r="D938" s="94" t="s">
        <v>1785</v>
      </c>
      <c r="E938" s="20" t="s">
        <v>2054</v>
      </c>
      <c r="F938" s="20" t="s">
        <v>1845</v>
      </c>
      <c r="G938" s="31" t="s">
        <v>40</v>
      </c>
      <c r="H938" s="32">
        <v>1</v>
      </c>
      <c r="J938" s="32">
        <v>1</v>
      </c>
      <c r="O938" s="20">
        <v>0</v>
      </c>
      <c r="P938" s="20">
        <v>1</v>
      </c>
      <c r="Q938" s="20">
        <v>0</v>
      </c>
      <c r="R938" s="20">
        <v>0</v>
      </c>
      <c r="X938" s="20">
        <v>1</v>
      </c>
      <c r="Z938" s="20" t="s">
        <v>1853</v>
      </c>
      <c r="AA938" s="20" t="s">
        <v>1861</v>
      </c>
      <c r="AB938" s="31">
        <f>VLOOKUP(AA938,Masters!$K$2:$L$183,2,FALSE)</f>
        <v>1003</v>
      </c>
      <c r="AC938" s="20" t="s">
        <v>2063</v>
      </c>
      <c r="AD938" s="20" t="s">
        <v>2060</v>
      </c>
      <c r="AE938" s="20">
        <v>6</v>
      </c>
      <c r="AF938" s="20">
        <v>9</v>
      </c>
      <c r="AG938" s="20">
        <v>2002</v>
      </c>
      <c r="AH938" s="21">
        <v>37505</v>
      </c>
    </row>
    <row r="939" spans="1:34" x14ac:dyDescent="0.25">
      <c r="A939" s="35">
        <v>1859</v>
      </c>
      <c r="B939" s="20" t="s">
        <v>1842</v>
      </c>
      <c r="C939" s="20" t="s">
        <v>1842</v>
      </c>
      <c r="D939" s="94" t="s">
        <v>1786</v>
      </c>
      <c r="E939" s="20" t="s">
        <v>2050</v>
      </c>
      <c r="F939" s="20" t="s">
        <v>1843</v>
      </c>
      <c r="G939" s="31" t="s">
        <v>40</v>
      </c>
      <c r="H939" s="32">
        <v>1</v>
      </c>
      <c r="J939" s="32">
        <v>1</v>
      </c>
      <c r="O939" s="20">
        <v>0</v>
      </c>
      <c r="P939" s="20">
        <v>1</v>
      </c>
      <c r="Q939" s="20">
        <v>0</v>
      </c>
      <c r="R939" s="20">
        <v>0</v>
      </c>
      <c r="X939" s="20">
        <v>1</v>
      </c>
      <c r="Z939" s="20" t="s">
        <v>1850</v>
      </c>
      <c r="AA939" s="20" t="s">
        <v>1860</v>
      </c>
      <c r="AB939" s="31">
        <f>VLOOKUP(AA939,Masters!$K$2:$L$183,2,FALSE)</f>
        <v>1002</v>
      </c>
      <c r="AC939" s="20" t="s">
        <v>2063</v>
      </c>
      <c r="AD939" s="20" t="s">
        <v>2060</v>
      </c>
      <c r="AE939" s="20">
        <v>10</v>
      </c>
      <c r="AF939" s="20">
        <v>1</v>
      </c>
      <c r="AG939" s="20">
        <v>2005</v>
      </c>
      <c r="AH939" s="21">
        <v>38362</v>
      </c>
    </row>
    <row r="940" spans="1:34" x14ac:dyDescent="0.25">
      <c r="A940" s="35">
        <v>1860</v>
      </c>
      <c r="B940" s="20" t="s">
        <v>1842</v>
      </c>
      <c r="C940" s="20" t="s">
        <v>1842</v>
      </c>
      <c r="D940" s="94" t="s">
        <v>1787</v>
      </c>
      <c r="E940" s="20" t="s">
        <v>2055</v>
      </c>
      <c r="F940" s="20" t="s">
        <v>1847</v>
      </c>
      <c r="G940" s="31" t="s">
        <v>40</v>
      </c>
      <c r="H940" s="32">
        <v>1</v>
      </c>
      <c r="J940" s="32">
        <v>1</v>
      </c>
      <c r="O940" s="20">
        <v>0</v>
      </c>
      <c r="P940" s="20">
        <v>1</v>
      </c>
      <c r="Q940" s="20">
        <v>0</v>
      </c>
      <c r="R940" s="20">
        <v>0</v>
      </c>
      <c r="X940" s="20">
        <v>1</v>
      </c>
      <c r="Z940" s="20" t="s">
        <v>1856</v>
      </c>
      <c r="AA940" s="20" t="s">
        <v>1859</v>
      </c>
      <c r="AB940" s="31">
        <f>VLOOKUP(AA940,Masters!$K$2:$L$183,2,FALSE)</f>
        <v>1001</v>
      </c>
      <c r="AC940" s="20" t="s">
        <v>2063</v>
      </c>
      <c r="AD940" s="20" t="s">
        <v>2060</v>
      </c>
      <c r="AE940" s="20">
        <v>10</v>
      </c>
      <c r="AF940" s="20">
        <v>1</v>
      </c>
      <c r="AG940" s="20">
        <v>2003</v>
      </c>
      <c r="AH940" s="21">
        <v>37631</v>
      </c>
    </row>
    <row r="941" spans="1:34" x14ac:dyDescent="0.25">
      <c r="A941" s="35">
        <v>1861</v>
      </c>
      <c r="B941" s="20" t="s">
        <v>1842</v>
      </c>
      <c r="C941" s="20" t="s">
        <v>1842</v>
      </c>
      <c r="D941" s="94" t="s">
        <v>1788</v>
      </c>
      <c r="E941" s="20" t="s">
        <v>133</v>
      </c>
      <c r="F941" s="20" t="s">
        <v>1847</v>
      </c>
      <c r="G941" s="31" t="s">
        <v>40</v>
      </c>
      <c r="H941" s="32">
        <v>1</v>
      </c>
      <c r="J941" s="32">
        <v>1</v>
      </c>
      <c r="O941" s="20">
        <v>0</v>
      </c>
      <c r="P941" s="20">
        <v>1</v>
      </c>
      <c r="Q941" s="20">
        <v>0</v>
      </c>
      <c r="R941" s="20">
        <v>0</v>
      </c>
      <c r="X941" s="20">
        <v>1</v>
      </c>
      <c r="Z941" s="20" t="s">
        <v>1832</v>
      </c>
      <c r="AA941" s="20" t="s">
        <v>1860</v>
      </c>
      <c r="AB941" s="31">
        <f>VLOOKUP(AA941,Masters!$K$2:$L$183,2,FALSE)</f>
        <v>1002</v>
      </c>
      <c r="AC941" s="20" t="s">
        <v>2063</v>
      </c>
      <c r="AD941" s="20" t="s">
        <v>2061</v>
      </c>
      <c r="AE941" s="20">
        <v>26</v>
      </c>
      <c r="AF941" s="20">
        <v>6</v>
      </c>
      <c r="AG941" s="20">
        <v>2002</v>
      </c>
      <c r="AH941" s="21">
        <v>37433</v>
      </c>
    </row>
    <row r="942" spans="1:34" x14ac:dyDescent="0.25">
      <c r="A942" s="35">
        <v>1864</v>
      </c>
      <c r="B942" s="20" t="s">
        <v>1842</v>
      </c>
      <c r="C942" s="20" t="s">
        <v>1842</v>
      </c>
      <c r="D942" s="94" t="s">
        <v>1791</v>
      </c>
      <c r="E942" s="20" t="s">
        <v>2053</v>
      </c>
      <c r="F942" s="20" t="s">
        <v>1847</v>
      </c>
      <c r="G942" s="31" t="s">
        <v>40</v>
      </c>
      <c r="H942" s="32">
        <v>1</v>
      </c>
      <c r="J942" s="32">
        <v>1</v>
      </c>
      <c r="O942" s="20">
        <v>0</v>
      </c>
      <c r="P942" s="20">
        <v>1</v>
      </c>
      <c r="Q942" s="20">
        <v>0</v>
      </c>
      <c r="R942" s="20">
        <v>0</v>
      </c>
      <c r="X942" s="20">
        <v>1</v>
      </c>
      <c r="Z942" s="20" t="s">
        <v>1852</v>
      </c>
      <c r="AA942" s="20" t="s">
        <v>1863</v>
      </c>
      <c r="AB942" s="31">
        <f>VLOOKUP(AA942,Masters!$K$2:$L$183,2,FALSE)</f>
        <v>1005</v>
      </c>
      <c r="AC942" s="20" t="s">
        <v>2063</v>
      </c>
      <c r="AD942" s="20" t="s">
        <v>2060</v>
      </c>
      <c r="AE942" s="20">
        <v>27</v>
      </c>
      <c r="AF942" s="20">
        <v>8</v>
      </c>
      <c r="AG942" s="20">
        <v>2001</v>
      </c>
      <c r="AH942" s="21">
        <v>37130</v>
      </c>
    </row>
    <row r="943" spans="1:34" x14ac:dyDescent="0.25">
      <c r="A943" s="35">
        <v>1871</v>
      </c>
      <c r="B943" s="20" t="s">
        <v>1842</v>
      </c>
      <c r="C943" s="20" t="s">
        <v>1842</v>
      </c>
      <c r="D943" s="94" t="s">
        <v>1798</v>
      </c>
      <c r="E943" s="20" t="s">
        <v>2050</v>
      </c>
      <c r="F943" s="20" t="s">
        <v>1844</v>
      </c>
      <c r="G943" s="31" t="s">
        <v>40</v>
      </c>
      <c r="H943" s="32">
        <v>1</v>
      </c>
      <c r="J943" s="32">
        <v>1</v>
      </c>
      <c r="O943" s="20">
        <v>0</v>
      </c>
      <c r="P943" s="20">
        <v>1</v>
      </c>
      <c r="Q943" s="20">
        <v>0</v>
      </c>
      <c r="R943" s="20">
        <v>0</v>
      </c>
      <c r="X943" s="20">
        <v>1</v>
      </c>
      <c r="Z943" s="20" t="s">
        <v>1835</v>
      </c>
      <c r="AA943" s="20" t="s">
        <v>1861</v>
      </c>
      <c r="AB943" s="31">
        <f>VLOOKUP(AA943,Masters!$K$2:$L$183,2,FALSE)</f>
        <v>1003</v>
      </c>
      <c r="AC943" s="20" t="s">
        <v>2063</v>
      </c>
      <c r="AD943" s="20" t="s">
        <v>2060</v>
      </c>
      <c r="AE943" s="20">
        <v>10</v>
      </c>
      <c r="AF943" s="20">
        <v>11</v>
      </c>
      <c r="AG943" s="20">
        <v>2002</v>
      </c>
      <c r="AH943" s="21">
        <v>37570</v>
      </c>
    </row>
    <row r="944" spans="1:34" x14ac:dyDescent="0.25">
      <c r="A944" s="35">
        <v>1872</v>
      </c>
      <c r="B944" s="20" t="s">
        <v>1842</v>
      </c>
      <c r="C944" s="20" t="s">
        <v>1842</v>
      </c>
      <c r="D944" s="94" t="s">
        <v>1799</v>
      </c>
      <c r="E944" s="20" t="s">
        <v>2052</v>
      </c>
      <c r="F944" s="20" t="s">
        <v>1845</v>
      </c>
      <c r="G944" s="31" t="s">
        <v>40</v>
      </c>
      <c r="H944" s="32">
        <v>1</v>
      </c>
      <c r="J944" s="32">
        <v>1</v>
      </c>
      <c r="O944" s="20">
        <v>0</v>
      </c>
      <c r="P944" s="20">
        <v>1</v>
      </c>
      <c r="Q944" s="20">
        <v>0</v>
      </c>
      <c r="R944" s="20">
        <v>0</v>
      </c>
      <c r="X944" s="20">
        <v>1</v>
      </c>
      <c r="Z944" s="20" t="s">
        <v>1857</v>
      </c>
      <c r="AA944" s="20" t="s">
        <v>1863</v>
      </c>
      <c r="AB944" s="31">
        <f>VLOOKUP(AA944,Masters!$K$2:$L$183,2,FALSE)</f>
        <v>1005</v>
      </c>
      <c r="AC944" s="20" t="s">
        <v>2063</v>
      </c>
      <c r="AD944" s="20" t="s">
        <v>2060</v>
      </c>
      <c r="AE944" s="20">
        <v>16</v>
      </c>
      <c r="AF944" s="20">
        <v>8</v>
      </c>
      <c r="AG944" s="20">
        <v>2005</v>
      </c>
      <c r="AH944" s="21">
        <v>38580</v>
      </c>
    </row>
    <row r="945" spans="1:34" x14ac:dyDescent="0.25">
      <c r="A945" s="35">
        <v>1873</v>
      </c>
      <c r="B945" s="20" t="s">
        <v>1842</v>
      </c>
      <c r="C945" s="20" t="s">
        <v>1842</v>
      </c>
      <c r="D945" s="94" t="s">
        <v>1800</v>
      </c>
      <c r="E945" s="20" t="s">
        <v>2059</v>
      </c>
      <c r="F945" s="20" t="s">
        <v>1844</v>
      </c>
      <c r="G945" s="31" t="s">
        <v>40</v>
      </c>
      <c r="H945" s="32">
        <v>1</v>
      </c>
      <c r="J945" s="32">
        <v>1</v>
      </c>
      <c r="O945" s="20">
        <v>0</v>
      </c>
      <c r="P945" s="20">
        <v>1</v>
      </c>
      <c r="Q945" s="20">
        <v>0</v>
      </c>
      <c r="R945" s="20">
        <v>0</v>
      </c>
      <c r="X945" s="20">
        <v>1</v>
      </c>
      <c r="Z945" s="20" t="s">
        <v>1855</v>
      </c>
      <c r="AA945" s="20" t="s">
        <v>1861</v>
      </c>
      <c r="AB945" s="31">
        <f>VLOOKUP(AA945,Masters!$K$2:$L$183,2,FALSE)</f>
        <v>1003</v>
      </c>
      <c r="AC945" s="20" t="s">
        <v>2063</v>
      </c>
      <c r="AD945" s="20" t="s">
        <v>2060</v>
      </c>
      <c r="AE945" s="20">
        <v>30</v>
      </c>
      <c r="AF945" s="20">
        <v>6</v>
      </c>
      <c r="AG945" s="20">
        <v>2004</v>
      </c>
      <c r="AH945" s="21">
        <v>38168</v>
      </c>
    </row>
    <row r="946" spans="1:34" x14ac:dyDescent="0.25">
      <c r="A946" s="35">
        <v>1874</v>
      </c>
      <c r="B946" s="20" t="s">
        <v>1842</v>
      </c>
      <c r="C946" s="20" t="s">
        <v>1842</v>
      </c>
      <c r="D946" s="94" t="s">
        <v>1801</v>
      </c>
      <c r="E946" s="20" t="s">
        <v>2057</v>
      </c>
      <c r="F946" s="20" t="s">
        <v>1847</v>
      </c>
      <c r="G946" s="31" t="s">
        <v>40</v>
      </c>
      <c r="H946" s="32">
        <v>1</v>
      </c>
      <c r="J946" s="32">
        <v>1</v>
      </c>
      <c r="O946" s="20">
        <v>0</v>
      </c>
      <c r="P946" s="20">
        <v>1</v>
      </c>
      <c r="Q946" s="20">
        <v>0</v>
      </c>
      <c r="R946" s="20">
        <v>0</v>
      </c>
      <c r="X946" s="20">
        <v>1</v>
      </c>
      <c r="Z946" s="20" t="s">
        <v>100</v>
      </c>
      <c r="AA946" s="20" t="s">
        <v>1859</v>
      </c>
      <c r="AB946" s="31">
        <f>VLOOKUP(AA946,Masters!$K$2:$L$183,2,FALSE)</f>
        <v>1001</v>
      </c>
      <c r="AC946" s="20" t="s">
        <v>2063</v>
      </c>
      <c r="AD946" s="20" t="s">
        <v>2060</v>
      </c>
      <c r="AE946" s="20">
        <v>30</v>
      </c>
      <c r="AF946" s="20">
        <v>10</v>
      </c>
      <c r="AG946" s="20">
        <v>2001</v>
      </c>
      <c r="AH946" s="21">
        <v>37194</v>
      </c>
    </row>
    <row r="947" spans="1:34" x14ac:dyDescent="0.25">
      <c r="A947" s="35">
        <v>1875</v>
      </c>
      <c r="B947" s="20" t="s">
        <v>1842</v>
      </c>
      <c r="C947" s="20" t="s">
        <v>1842</v>
      </c>
      <c r="D947" s="94" t="s">
        <v>1802</v>
      </c>
      <c r="E947" s="20" t="s">
        <v>133</v>
      </c>
      <c r="F947" s="20" t="s">
        <v>1845</v>
      </c>
      <c r="G947" s="31" t="s">
        <v>40</v>
      </c>
      <c r="H947" s="32">
        <v>1</v>
      </c>
      <c r="J947" s="32">
        <v>1</v>
      </c>
      <c r="O947" s="20">
        <v>0</v>
      </c>
      <c r="P947" s="20">
        <v>1</v>
      </c>
      <c r="Q947" s="20">
        <v>0</v>
      </c>
      <c r="R947" s="20">
        <v>0</v>
      </c>
      <c r="X947" s="20">
        <v>1</v>
      </c>
      <c r="Z947" s="20" t="s">
        <v>1852</v>
      </c>
      <c r="AA947" s="20" t="s">
        <v>1863</v>
      </c>
      <c r="AB947" s="31">
        <f>VLOOKUP(AA947,Masters!$K$2:$L$183,2,FALSE)</f>
        <v>1005</v>
      </c>
      <c r="AC947" s="20" t="s">
        <v>2063</v>
      </c>
      <c r="AD947" s="20" t="s">
        <v>2060</v>
      </c>
      <c r="AE947" s="20">
        <v>5</v>
      </c>
      <c r="AF947" s="20">
        <v>9</v>
      </c>
      <c r="AG947" s="20">
        <v>2003</v>
      </c>
      <c r="AH947" s="21">
        <v>37869</v>
      </c>
    </row>
    <row r="948" spans="1:34" x14ac:dyDescent="0.25">
      <c r="A948" s="35">
        <v>1876</v>
      </c>
      <c r="B948" s="20" t="s">
        <v>1842</v>
      </c>
      <c r="C948" s="20" t="s">
        <v>1842</v>
      </c>
      <c r="D948" s="94" t="s">
        <v>1803</v>
      </c>
      <c r="E948" s="20" t="s">
        <v>2054</v>
      </c>
      <c r="F948" s="20" t="s">
        <v>1846</v>
      </c>
      <c r="G948" s="31" t="s">
        <v>40</v>
      </c>
      <c r="H948" s="32">
        <v>1</v>
      </c>
      <c r="J948" s="32">
        <v>1</v>
      </c>
      <c r="O948" s="20">
        <v>0</v>
      </c>
      <c r="P948" s="20">
        <v>1</v>
      </c>
      <c r="Q948" s="20">
        <v>0</v>
      </c>
      <c r="R948" s="20">
        <v>0</v>
      </c>
      <c r="X948" s="20">
        <v>1</v>
      </c>
      <c r="Z948" s="20" t="s">
        <v>100</v>
      </c>
      <c r="AA948" s="20" t="s">
        <v>1861</v>
      </c>
      <c r="AB948" s="31">
        <f>VLOOKUP(AA948,Masters!$K$2:$L$183,2,FALSE)</f>
        <v>1003</v>
      </c>
      <c r="AC948" s="20" t="s">
        <v>2063</v>
      </c>
      <c r="AD948" s="20" t="s">
        <v>2060</v>
      </c>
      <c r="AE948" s="20">
        <v>7</v>
      </c>
      <c r="AF948" s="20">
        <v>8</v>
      </c>
      <c r="AG948" s="20">
        <v>2000</v>
      </c>
      <c r="AH948" s="21">
        <v>36745</v>
      </c>
    </row>
    <row r="949" spans="1:34" x14ac:dyDescent="0.25">
      <c r="A949" s="35">
        <v>1877</v>
      </c>
      <c r="B949" s="20" t="s">
        <v>1842</v>
      </c>
      <c r="C949" s="20" t="s">
        <v>1842</v>
      </c>
      <c r="D949" s="94" t="s">
        <v>1804</v>
      </c>
      <c r="E949" s="20" t="s">
        <v>133</v>
      </c>
      <c r="F949" s="20" t="s">
        <v>1844</v>
      </c>
      <c r="G949" s="31" t="s">
        <v>40</v>
      </c>
      <c r="H949" s="32">
        <v>1</v>
      </c>
      <c r="J949" s="32">
        <v>1</v>
      </c>
      <c r="O949" s="20">
        <v>0</v>
      </c>
      <c r="P949" s="20">
        <v>1</v>
      </c>
      <c r="Q949" s="20">
        <v>0</v>
      </c>
      <c r="R949" s="20">
        <v>0</v>
      </c>
      <c r="X949" s="20">
        <v>1</v>
      </c>
      <c r="Z949" s="20" t="s">
        <v>1850</v>
      </c>
      <c r="AA949" s="20" t="s">
        <v>1859</v>
      </c>
      <c r="AB949" s="31">
        <f>VLOOKUP(AA949,Masters!$K$2:$L$183,2,FALSE)</f>
        <v>1001</v>
      </c>
      <c r="AC949" s="20" t="s">
        <v>2063</v>
      </c>
      <c r="AD949" s="20" t="s">
        <v>2060</v>
      </c>
      <c r="AE949" s="20">
        <v>15</v>
      </c>
      <c r="AF949" s="20">
        <v>2</v>
      </c>
      <c r="AG949" s="20">
        <v>2001</v>
      </c>
      <c r="AH949" s="21">
        <v>36937</v>
      </c>
    </row>
    <row r="950" spans="1:34" x14ac:dyDescent="0.25">
      <c r="A950" s="35">
        <v>1878</v>
      </c>
      <c r="B950" s="20" t="s">
        <v>1842</v>
      </c>
      <c r="C950" s="20" t="s">
        <v>1842</v>
      </c>
      <c r="D950" s="94" t="s">
        <v>1805</v>
      </c>
      <c r="E950" s="20" t="s">
        <v>2051</v>
      </c>
      <c r="F950" s="20" t="s">
        <v>1847</v>
      </c>
      <c r="G950" s="31" t="s">
        <v>40</v>
      </c>
      <c r="J950" s="32">
        <v>0</v>
      </c>
      <c r="K950" s="33">
        <v>1</v>
      </c>
      <c r="O950" s="20">
        <v>0</v>
      </c>
      <c r="P950" s="20">
        <v>1</v>
      </c>
      <c r="Q950" s="20">
        <v>0</v>
      </c>
      <c r="R950" s="20">
        <v>1</v>
      </c>
      <c r="X950" s="20">
        <v>1</v>
      </c>
      <c r="Z950" s="20" t="s">
        <v>201</v>
      </c>
      <c r="AA950" s="20" t="s">
        <v>1860</v>
      </c>
      <c r="AB950" s="31">
        <f>VLOOKUP(AA950,Masters!$K$2:$L$183,2,FALSE)</f>
        <v>1002</v>
      </c>
      <c r="AC950" s="20" t="s">
        <v>2063</v>
      </c>
      <c r="AD950" s="20" t="s">
        <v>2060</v>
      </c>
      <c r="AE950" s="20">
        <v>30</v>
      </c>
      <c r="AF950" s="20">
        <v>5</v>
      </c>
      <c r="AG950" s="20">
        <v>2000</v>
      </c>
      <c r="AH950" s="21">
        <v>36676</v>
      </c>
    </row>
    <row r="951" spans="1:34" x14ac:dyDescent="0.25">
      <c r="A951" s="35">
        <v>1879</v>
      </c>
      <c r="B951" s="20" t="s">
        <v>1842</v>
      </c>
      <c r="C951" s="20" t="s">
        <v>1842</v>
      </c>
      <c r="D951" s="94" t="s">
        <v>1806</v>
      </c>
      <c r="E951" s="20" t="s">
        <v>2053</v>
      </c>
      <c r="F951" s="20" t="s">
        <v>1846</v>
      </c>
      <c r="G951" s="31" t="s">
        <v>40</v>
      </c>
      <c r="H951" s="32">
        <v>1</v>
      </c>
      <c r="J951" s="32">
        <v>1</v>
      </c>
      <c r="O951" s="20">
        <v>0</v>
      </c>
      <c r="P951" s="20">
        <v>1</v>
      </c>
      <c r="Q951" s="20">
        <v>0</v>
      </c>
      <c r="R951" s="20">
        <v>0</v>
      </c>
      <c r="X951" s="20">
        <v>1</v>
      </c>
      <c r="Z951" s="20" t="s">
        <v>1835</v>
      </c>
      <c r="AA951" s="20" t="s">
        <v>1860</v>
      </c>
      <c r="AB951" s="31">
        <f>VLOOKUP(AA951,Masters!$K$2:$L$183,2,FALSE)</f>
        <v>1002</v>
      </c>
      <c r="AC951" s="20" t="s">
        <v>2063</v>
      </c>
      <c r="AD951" s="20" t="s">
        <v>2060</v>
      </c>
      <c r="AE951" s="20">
        <v>28</v>
      </c>
      <c r="AF951" s="20">
        <v>10</v>
      </c>
      <c r="AG951" s="20">
        <v>2002</v>
      </c>
      <c r="AH951" s="21">
        <v>37557</v>
      </c>
    </row>
    <row r="952" spans="1:34" x14ac:dyDescent="0.25">
      <c r="A952" s="35">
        <v>1880</v>
      </c>
      <c r="B952" s="20" t="s">
        <v>1842</v>
      </c>
      <c r="C952" s="20" t="s">
        <v>1842</v>
      </c>
      <c r="D952" s="94" t="s">
        <v>1807</v>
      </c>
      <c r="E952" s="20" t="s">
        <v>2052</v>
      </c>
      <c r="F952" s="20" t="s">
        <v>1846</v>
      </c>
      <c r="G952" s="31" t="s">
        <v>40</v>
      </c>
      <c r="J952" s="32">
        <v>0</v>
      </c>
      <c r="K952" s="33">
        <v>1</v>
      </c>
      <c r="O952" s="20">
        <v>0</v>
      </c>
      <c r="P952" s="20">
        <v>1</v>
      </c>
      <c r="Q952" s="20">
        <v>0</v>
      </c>
      <c r="R952" s="20">
        <v>1</v>
      </c>
      <c r="X952" s="20">
        <v>1</v>
      </c>
      <c r="Z952" s="20" t="s">
        <v>78</v>
      </c>
      <c r="AA952" s="20" t="s">
        <v>1860</v>
      </c>
      <c r="AB952" s="31">
        <f>VLOOKUP(AA952,Masters!$K$2:$L$183,2,FALSE)</f>
        <v>1002</v>
      </c>
      <c r="AC952" s="20" t="s">
        <v>2063</v>
      </c>
      <c r="AD952" s="20" t="s">
        <v>2060</v>
      </c>
      <c r="AE952" s="20">
        <v>1</v>
      </c>
      <c r="AF952" s="20">
        <v>3</v>
      </c>
      <c r="AG952" s="20">
        <v>2005</v>
      </c>
      <c r="AH952" s="21">
        <v>38412</v>
      </c>
    </row>
    <row r="953" spans="1:34" x14ac:dyDescent="0.25">
      <c r="A953" s="35">
        <v>1881</v>
      </c>
      <c r="B953" s="20" t="s">
        <v>1842</v>
      </c>
      <c r="C953" s="20" t="s">
        <v>1842</v>
      </c>
      <c r="D953" s="94" t="s">
        <v>1808</v>
      </c>
      <c r="E953" s="20" t="s">
        <v>2053</v>
      </c>
      <c r="F953" s="20" t="s">
        <v>1843</v>
      </c>
      <c r="G953" s="31" t="s">
        <v>40</v>
      </c>
      <c r="J953" s="32">
        <v>0</v>
      </c>
      <c r="K953" s="33">
        <v>1</v>
      </c>
      <c r="O953" s="20">
        <v>0</v>
      </c>
      <c r="P953" s="20">
        <v>1</v>
      </c>
      <c r="Q953" s="20">
        <v>0</v>
      </c>
      <c r="R953" s="20">
        <v>1</v>
      </c>
      <c r="X953" s="20">
        <v>1</v>
      </c>
      <c r="Z953" s="20" t="s">
        <v>1854</v>
      </c>
      <c r="AA953" s="20" t="s">
        <v>1861</v>
      </c>
      <c r="AB953" s="31">
        <f>VLOOKUP(AA953,Masters!$K$2:$L$183,2,FALSE)</f>
        <v>1003</v>
      </c>
      <c r="AC953" s="20" t="s">
        <v>2063</v>
      </c>
      <c r="AD953" s="20" t="s">
        <v>2060</v>
      </c>
      <c r="AE953" s="20">
        <v>24</v>
      </c>
      <c r="AF953" s="20">
        <v>9</v>
      </c>
      <c r="AG953" s="20">
        <v>2002</v>
      </c>
      <c r="AH953" s="21">
        <v>37523</v>
      </c>
    </row>
    <row r="954" spans="1:34" x14ac:dyDescent="0.25">
      <c r="A954" s="35">
        <v>1882</v>
      </c>
      <c r="B954" s="20" t="s">
        <v>1842</v>
      </c>
      <c r="C954" s="20" t="s">
        <v>1842</v>
      </c>
      <c r="D954" s="94" t="s">
        <v>1809</v>
      </c>
      <c r="E954" s="20" t="s">
        <v>2056</v>
      </c>
      <c r="F954" s="20" t="s">
        <v>1843</v>
      </c>
      <c r="G954" s="31" t="s">
        <v>40</v>
      </c>
      <c r="J954" s="32">
        <v>0</v>
      </c>
      <c r="K954" s="33">
        <v>1</v>
      </c>
      <c r="O954" s="20">
        <v>0</v>
      </c>
      <c r="P954" s="20">
        <v>1</v>
      </c>
      <c r="Q954" s="20">
        <v>0</v>
      </c>
      <c r="R954" s="20">
        <v>1</v>
      </c>
      <c r="X954" s="20">
        <v>1</v>
      </c>
      <c r="Z954" s="20" t="s">
        <v>201</v>
      </c>
      <c r="AA954" s="20" t="s">
        <v>1863</v>
      </c>
      <c r="AB954" s="31">
        <f>VLOOKUP(AA954,Masters!$K$2:$L$183,2,FALSE)</f>
        <v>1005</v>
      </c>
      <c r="AC954" s="20" t="s">
        <v>2063</v>
      </c>
      <c r="AD954" s="20" t="s">
        <v>2060</v>
      </c>
      <c r="AE954" s="20">
        <v>23</v>
      </c>
      <c r="AF954" s="20">
        <v>8</v>
      </c>
      <c r="AG954" s="20">
        <v>2001</v>
      </c>
      <c r="AH954" s="21">
        <v>37126</v>
      </c>
    </row>
    <row r="955" spans="1:34" x14ac:dyDescent="0.25">
      <c r="A955" s="35">
        <v>1883</v>
      </c>
      <c r="B955" s="20" t="s">
        <v>1842</v>
      </c>
      <c r="C955" s="20" t="s">
        <v>1842</v>
      </c>
      <c r="D955" s="94" t="s">
        <v>1810</v>
      </c>
      <c r="E955" s="20" t="s">
        <v>2050</v>
      </c>
      <c r="F955" s="20" t="s">
        <v>1845</v>
      </c>
      <c r="G955" s="31" t="s">
        <v>40</v>
      </c>
      <c r="J955" s="32">
        <v>0</v>
      </c>
      <c r="K955" s="33">
        <v>1</v>
      </c>
      <c r="O955" s="20">
        <v>0</v>
      </c>
      <c r="P955" s="20">
        <v>1</v>
      </c>
      <c r="Q955" s="20">
        <v>0</v>
      </c>
      <c r="R955" s="20">
        <v>1</v>
      </c>
      <c r="X955" s="20">
        <v>1</v>
      </c>
      <c r="Z955" s="20" t="s">
        <v>1835</v>
      </c>
      <c r="AA955" s="20" t="s">
        <v>1860</v>
      </c>
      <c r="AB955" s="31">
        <f>VLOOKUP(AA955,Masters!$K$2:$L$183,2,FALSE)</f>
        <v>1002</v>
      </c>
      <c r="AC955" s="20" t="s">
        <v>2063</v>
      </c>
      <c r="AD955" s="20" t="s">
        <v>2060</v>
      </c>
      <c r="AE955" s="20">
        <v>22</v>
      </c>
      <c r="AF955" s="20">
        <v>9</v>
      </c>
      <c r="AG955" s="20">
        <v>2002</v>
      </c>
      <c r="AH955" s="21">
        <v>37521</v>
      </c>
    </row>
    <row r="956" spans="1:34" x14ac:dyDescent="0.25">
      <c r="A956" s="35">
        <v>1884</v>
      </c>
      <c r="B956" s="20" t="s">
        <v>1842</v>
      </c>
      <c r="C956" s="20" t="s">
        <v>1842</v>
      </c>
      <c r="D956" s="94" t="s">
        <v>1811</v>
      </c>
      <c r="E956" s="20" t="s">
        <v>2059</v>
      </c>
      <c r="F956" s="20" t="s">
        <v>1843</v>
      </c>
      <c r="G956" s="31" t="s">
        <v>40</v>
      </c>
      <c r="J956" s="32">
        <v>0</v>
      </c>
      <c r="K956" s="33">
        <v>1</v>
      </c>
      <c r="O956" s="20">
        <v>0</v>
      </c>
      <c r="P956" s="20">
        <v>1</v>
      </c>
      <c r="Q956" s="20">
        <v>0</v>
      </c>
      <c r="R956" s="20">
        <v>1</v>
      </c>
      <c r="X956" s="20">
        <v>1</v>
      </c>
      <c r="Z956" s="20" t="s">
        <v>1852</v>
      </c>
      <c r="AA956" s="20" t="s">
        <v>1860</v>
      </c>
      <c r="AB956" s="31">
        <f>VLOOKUP(AA956,Masters!$K$2:$L$183,2,FALSE)</f>
        <v>1002</v>
      </c>
      <c r="AC956" s="20" t="s">
        <v>2063</v>
      </c>
      <c r="AD956" s="20" t="s">
        <v>2060</v>
      </c>
      <c r="AE956" s="20">
        <v>8</v>
      </c>
      <c r="AF956" s="20">
        <v>5</v>
      </c>
      <c r="AG956" s="20">
        <v>2000</v>
      </c>
      <c r="AH956" s="21">
        <v>36654</v>
      </c>
    </row>
    <row r="957" spans="1:34" x14ac:dyDescent="0.25">
      <c r="A957" s="35">
        <v>1885</v>
      </c>
      <c r="B957" s="20" t="s">
        <v>1842</v>
      </c>
      <c r="C957" s="20" t="s">
        <v>1842</v>
      </c>
      <c r="D957" s="94" t="s">
        <v>1812</v>
      </c>
      <c r="E957" s="20" t="s">
        <v>2059</v>
      </c>
      <c r="F957" s="20" t="s">
        <v>1847</v>
      </c>
      <c r="G957" s="31" t="s">
        <v>40</v>
      </c>
      <c r="J957" s="32">
        <v>0</v>
      </c>
      <c r="K957" s="33">
        <v>1</v>
      </c>
      <c r="O957" s="20">
        <v>0</v>
      </c>
      <c r="P957" s="20">
        <v>1</v>
      </c>
      <c r="Q957" s="20">
        <v>0</v>
      </c>
      <c r="R957" s="20">
        <v>1</v>
      </c>
      <c r="X957" s="20">
        <v>1</v>
      </c>
      <c r="Z957" s="20" t="s">
        <v>1857</v>
      </c>
      <c r="AA957" s="20" t="s">
        <v>1862</v>
      </c>
      <c r="AB957" s="31">
        <f>VLOOKUP(AA957,Masters!$K$2:$L$183,2,FALSE)</f>
        <v>1004</v>
      </c>
      <c r="AC957" s="20" t="s">
        <v>2063</v>
      </c>
      <c r="AD957" s="20" t="s">
        <v>2060</v>
      </c>
      <c r="AE957" s="20">
        <v>7</v>
      </c>
      <c r="AF957" s="20">
        <v>6</v>
      </c>
      <c r="AG957" s="20">
        <v>2004</v>
      </c>
      <c r="AH957" s="21">
        <v>38145</v>
      </c>
    </row>
    <row r="958" spans="1:34" x14ac:dyDescent="0.25">
      <c r="A958" s="35">
        <v>1886</v>
      </c>
      <c r="B958" s="20" t="s">
        <v>1842</v>
      </c>
      <c r="C958" s="20" t="s">
        <v>1842</v>
      </c>
      <c r="D958" s="94" t="s">
        <v>1813</v>
      </c>
      <c r="E958" s="20" t="s">
        <v>135</v>
      </c>
      <c r="F958" s="20" t="s">
        <v>1847</v>
      </c>
      <c r="G958" s="31" t="s">
        <v>40</v>
      </c>
      <c r="J958" s="32">
        <v>0</v>
      </c>
      <c r="K958" s="33">
        <v>1</v>
      </c>
      <c r="O958" s="20">
        <v>0</v>
      </c>
      <c r="P958" s="20">
        <v>1</v>
      </c>
      <c r="Q958" s="20">
        <v>0</v>
      </c>
      <c r="R958" s="20">
        <v>1</v>
      </c>
      <c r="X958" s="20">
        <v>1</v>
      </c>
      <c r="Z958" s="20" t="s">
        <v>58</v>
      </c>
      <c r="AA958" s="20" t="s">
        <v>1863</v>
      </c>
      <c r="AB958" s="31">
        <f>VLOOKUP(AA958,Masters!$K$2:$L$183,2,FALSE)</f>
        <v>1005</v>
      </c>
      <c r="AC958" s="20" t="s">
        <v>2063</v>
      </c>
      <c r="AD958" s="20" t="s">
        <v>2060</v>
      </c>
      <c r="AE958" s="20">
        <v>10</v>
      </c>
      <c r="AF958" s="20">
        <v>6</v>
      </c>
      <c r="AG958" s="20">
        <v>2005</v>
      </c>
      <c r="AH958" s="21">
        <v>38513</v>
      </c>
    </row>
    <row r="959" spans="1:34" x14ac:dyDescent="0.25">
      <c r="A959" s="35">
        <v>1894</v>
      </c>
      <c r="B959" s="20" t="s">
        <v>1842</v>
      </c>
      <c r="C959" s="20" t="s">
        <v>1842</v>
      </c>
      <c r="D959" s="94" t="s">
        <v>1821</v>
      </c>
      <c r="E959" s="20" t="s">
        <v>126</v>
      </c>
      <c r="F959" s="20" t="s">
        <v>1843</v>
      </c>
      <c r="G959" s="31" t="s">
        <v>40</v>
      </c>
      <c r="H959" s="32">
        <v>1</v>
      </c>
      <c r="J959" s="32">
        <v>1</v>
      </c>
      <c r="O959" s="20">
        <v>0</v>
      </c>
      <c r="P959" s="20">
        <v>1</v>
      </c>
      <c r="Q959" s="20">
        <v>0</v>
      </c>
      <c r="R959" s="20">
        <v>0</v>
      </c>
      <c r="X959" s="20">
        <v>1</v>
      </c>
      <c r="Z959" s="20" t="s">
        <v>1849</v>
      </c>
      <c r="AA959" s="20" t="s">
        <v>1861</v>
      </c>
      <c r="AB959" s="31">
        <f>VLOOKUP(AA959,Masters!$K$2:$L$183,2,FALSE)</f>
        <v>1003</v>
      </c>
      <c r="AC959" s="20" t="s">
        <v>2063</v>
      </c>
      <c r="AD959" s="20" t="s">
        <v>2060</v>
      </c>
      <c r="AE959" s="20">
        <v>14</v>
      </c>
      <c r="AF959" s="20">
        <v>10</v>
      </c>
      <c r="AG959" s="20">
        <v>2005</v>
      </c>
      <c r="AH959" s="21">
        <v>38639</v>
      </c>
    </row>
    <row r="960" spans="1:34" x14ac:dyDescent="0.25">
      <c r="A960" s="35">
        <v>1895</v>
      </c>
      <c r="B960" s="20" t="s">
        <v>1842</v>
      </c>
      <c r="C960" s="20" t="s">
        <v>1842</v>
      </c>
      <c r="D960" s="94" t="s">
        <v>1822</v>
      </c>
      <c r="E960" s="20" t="s">
        <v>2051</v>
      </c>
      <c r="F960" s="20" t="s">
        <v>1845</v>
      </c>
      <c r="G960" s="31" t="s">
        <v>40</v>
      </c>
      <c r="H960" s="32">
        <v>1</v>
      </c>
      <c r="J960" s="32">
        <v>1</v>
      </c>
      <c r="O960" s="20">
        <v>0</v>
      </c>
      <c r="P960" s="20">
        <v>1</v>
      </c>
      <c r="Q960" s="20">
        <v>0</v>
      </c>
      <c r="R960" s="20">
        <v>0</v>
      </c>
      <c r="X960" s="20">
        <v>1</v>
      </c>
      <c r="Z960" s="20" t="s">
        <v>1857</v>
      </c>
      <c r="AA960" s="20" t="s">
        <v>1859</v>
      </c>
      <c r="AB960" s="31">
        <f>VLOOKUP(AA960,Masters!$K$2:$L$183,2,FALSE)</f>
        <v>1001</v>
      </c>
      <c r="AC960" s="20" t="s">
        <v>2063</v>
      </c>
      <c r="AD960" s="20" t="s">
        <v>2060</v>
      </c>
      <c r="AE960" s="20">
        <v>5</v>
      </c>
      <c r="AF960" s="20">
        <v>4</v>
      </c>
      <c r="AG960" s="20">
        <v>2004</v>
      </c>
      <c r="AH960" s="21">
        <v>38082</v>
      </c>
    </row>
    <row r="961" spans="1:34" x14ac:dyDescent="0.25">
      <c r="A961" s="35">
        <v>1931</v>
      </c>
      <c r="B961" s="20" t="s">
        <v>1842</v>
      </c>
      <c r="C961" s="20" t="s">
        <v>1842</v>
      </c>
      <c r="E961" s="20" t="s">
        <v>2058</v>
      </c>
      <c r="F961" s="20" t="s">
        <v>1846</v>
      </c>
      <c r="G961" s="31" t="s">
        <v>35</v>
      </c>
      <c r="I961" s="208">
        <v>1</v>
      </c>
      <c r="J961" s="208">
        <v>1</v>
      </c>
      <c r="K961" s="208"/>
      <c r="L961" s="209"/>
      <c r="M961" s="208"/>
      <c r="N961" s="208"/>
      <c r="O961" s="210">
        <v>0</v>
      </c>
      <c r="P961" s="210">
        <v>0</v>
      </c>
      <c r="Q961" s="210">
        <v>1</v>
      </c>
      <c r="R961" s="210">
        <v>0</v>
      </c>
      <c r="X961" s="20">
        <v>1</v>
      </c>
      <c r="Z961" s="20" t="s">
        <v>1848</v>
      </c>
      <c r="AA961" s="20" t="s">
        <v>1860</v>
      </c>
      <c r="AB961" s="31">
        <f>VLOOKUP(AA961,Masters!$K$2:$L$183,2,FALSE)</f>
        <v>1002</v>
      </c>
      <c r="AC961" s="20" t="s">
        <v>2063</v>
      </c>
      <c r="AE961" s="20">
        <v>1</v>
      </c>
      <c r="AF961" s="20">
        <v>1</v>
      </c>
      <c r="AG961" s="20">
        <v>1900</v>
      </c>
      <c r="AH961" s="21">
        <v>1</v>
      </c>
    </row>
    <row r="962" spans="1:34" x14ac:dyDescent="0.25">
      <c r="A962" s="35">
        <v>1932</v>
      </c>
      <c r="B962" s="20" t="s">
        <v>1842</v>
      </c>
      <c r="C962" s="20" t="s">
        <v>1842</v>
      </c>
      <c r="E962" s="20" t="s">
        <v>133</v>
      </c>
      <c r="F962" s="20" t="s">
        <v>1846</v>
      </c>
      <c r="G962" s="31" t="s">
        <v>35</v>
      </c>
      <c r="I962" s="208">
        <v>1</v>
      </c>
      <c r="J962" s="208">
        <v>1</v>
      </c>
      <c r="K962" s="208"/>
      <c r="L962" s="209"/>
      <c r="M962" s="208"/>
      <c r="N962" s="208"/>
      <c r="O962" s="210">
        <v>0</v>
      </c>
      <c r="P962" s="210">
        <v>0</v>
      </c>
      <c r="Q962" s="210">
        <v>1</v>
      </c>
      <c r="R962" s="210">
        <v>0</v>
      </c>
      <c r="X962" s="20">
        <v>1</v>
      </c>
      <c r="Z962" s="20" t="s">
        <v>1853</v>
      </c>
      <c r="AA962" s="20" t="s">
        <v>1859</v>
      </c>
      <c r="AB962" s="31">
        <f>VLOOKUP(AA962,Masters!$K$2:$L$183,2,FALSE)</f>
        <v>1001</v>
      </c>
      <c r="AC962" s="20" t="s">
        <v>2063</v>
      </c>
      <c r="AE962" s="20">
        <v>1</v>
      </c>
      <c r="AF962" s="20">
        <v>1</v>
      </c>
      <c r="AG962" s="20">
        <v>1900</v>
      </c>
      <c r="AH962" s="21">
        <v>1</v>
      </c>
    </row>
    <row r="963" spans="1:34" x14ac:dyDescent="0.25">
      <c r="A963" s="35">
        <v>1933</v>
      </c>
      <c r="B963" s="20" t="s">
        <v>1842</v>
      </c>
      <c r="C963" s="20" t="s">
        <v>1842</v>
      </c>
      <c r="E963" s="20" t="s">
        <v>135</v>
      </c>
      <c r="F963" s="20" t="s">
        <v>1847</v>
      </c>
      <c r="G963" s="31" t="s">
        <v>35</v>
      </c>
      <c r="I963" s="208">
        <v>1</v>
      </c>
      <c r="J963" s="208">
        <v>1</v>
      </c>
      <c r="K963" s="208"/>
      <c r="L963" s="209"/>
      <c r="M963" s="208"/>
      <c r="N963" s="208"/>
      <c r="O963" s="210">
        <v>0</v>
      </c>
      <c r="P963" s="210">
        <v>0</v>
      </c>
      <c r="Q963" s="210">
        <v>1</v>
      </c>
      <c r="R963" s="210">
        <v>0</v>
      </c>
      <c r="X963" s="20">
        <v>1</v>
      </c>
      <c r="Z963" s="20" t="s">
        <v>1835</v>
      </c>
      <c r="AA963" s="20" t="s">
        <v>1860</v>
      </c>
      <c r="AB963" s="31">
        <f>VLOOKUP(AA963,Masters!$K$2:$L$183,2,FALSE)</f>
        <v>1002</v>
      </c>
      <c r="AC963" s="20" t="s">
        <v>2063</v>
      </c>
      <c r="AE963" s="20">
        <v>1</v>
      </c>
      <c r="AF963" s="20">
        <v>1</v>
      </c>
      <c r="AG963" s="20">
        <v>1900</v>
      </c>
      <c r="AH963" s="21">
        <v>1</v>
      </c>
    </row>
    <row r="964" spans="1:34" x14ac:dyDescent="0.25">
      <c r="A964" s="35">
        <v>1934</v>
      </c>
      <c r="B964" s="20" t="s">
        <v>1842</v>
      </c>
      <c r="C964" s="20" t="s">
        <v>1842</v>
      </c>
      <c r="E964" s="20" t="s">
        <v>2054</v>
      </c>
      <c r="F964" s="20" t="s">
        <v>1846</v>
      </c>
      <c r="G964" s="31" t="s">
        <v>35</v>
      </c>
      <c r="I964" s="208">
        <v>1</v>
      </c>
      <c r="J964" s="208">
        <v>1</v>
      </c>
      <c r="K964" s="208"/>
      <c r="L964" s="209"/>
      <c r="M964" s="208"/>
      <c r="N964" s="208"/>
      <c r="O964" s="210">
        <v>0</v>
      </c>
      <c r="P964" s="210">
        <v>0</v>
      </c>
      <c r="Q964" s="210">
        <v>1</v>
      </c>
      <c r="R964" s="210">
        <v>0</v>
      </c>
      <c r="X964" s="20">
        <v>1</v>
      </c>
      <c r="Z964" s="20" t="s">
        <v>1858</v>
      </c>
      <c r="AA964" s="20" t="s">
        <v>1860</v>
      </c>
      <c r="AB964" s="31">
        <f>VLOOKUP(AA964,Masters!$K$2:$L$183,2,FALSE)</f>
        <v>1002</v>
      </c>
      <c r="AC964" s="20" t="s">
        <v>2064</v>
      </c>
      <c r="AE964" s="20">
        <v>1</v>
      </c>
      <c r="AF964" s="20">
        <v>1</v>
      </c>
      <c r="AG964" s="20">
        <v>1900</v>
      </c>
      <c r="AH964" s="21">
        <v>1</v>
      </c>
    </row>
    <row r="965" spans="1:34" x14ac:dyDescent="0.25">
      <c r="A965" s="35">
        <v>1935</v>
      </c>
      <c r="B965" s="20" t="s">
        <v>1842</v>
      </c>
      <c r="C965" s="20" t="s">
        <v>1842</v>
      </c>
      <c r="E965" s="20" t="s">
        <v>2058</v>
      </c>
      <c r="F965" s="20" t="s">
        <v>1843</v>
      </c>
      <c r="G965" s="31" t="s">
        <v>35</v>
      </c>
      <c r="I965" s="208">
        <v>1</v>
      </c>
      <c r="J965" s="208">
        <v>1</v>
      </c>
      <c r="K965" s="208"/>
      <c r="L965" s="209"/>
      <c r="M965" s="208"/>
      <c r="N965" s="208"/>
      <c r="O965" s="210">
        <v>0</v>
      </c>
      <c r="P965" s="210">
        <v>0</v>
      </c>
      <c r="Q965" s="210">
        <v>1</v>
      </c>
      <c r="R965" s="210">
        <v>0</v>
      </c>
      <c r="X965" s="20">
        <v>1</v>
      </c>
      <c r="Z965" s="20" t="s">
        <v>100</v>
      </c>
      <c r="AA965" s="20" t="s">
        <v>1861</v>
      </c>
      <c r="AB965" s="31">
        <f>VLOOKUP(AA965,Masters!$K$2:$L$183,2,FALSE)</f>
        <v>1003</v>
      </c>
      <c r="AC965" s="20" t="s">
        <v>2064</v>
      </c>
      <c r="AE965" s="20">
        <v>1</v>
      </c>
      <c r="AF965" s="20">
        <v>1</v>
      </c>
      <c r="AG965" s="20">
        <v>1900</v>
      </c>
      <c r="AH965" s="21">
        <v>1</v>
      </c>
    </row>
    <row r="966" spans="1:34" x14ac:dyDescent="0.25">
      <c r="A966" s="35">
        <v>1936</v>
      </c>
      <c r="B966" s="20" t="s">
        <v>1842</v>
      </c>
      <c r="C966" s="20" t="s">
        <v>1842</v>
      </c>
      <c r="E966" s="20" t="s">
        <v>2059</v>
      </c>
      <c r="F966" s="20" t="s">
        <v>1847</v>
      </c>
      <c r="G966" s="31" t="s">
        <v>35</v>
      </c>
      <c r="I966" s="208">
        <v>1</v>
      </c>
      <c r="J966" s="208">
        <v>1</v>
      </c>
      <c r="K966" s="208"/>
      <c r="L966" s="209"/>
      <c r="M966" s="208"/>
      <c r="N966" s="208"/>
      <c r="O966" s="210">
        <v>0</v>
      </c>
      <c r="P966" s="210">
        <v>0</v>
      </c>
      <c r="Q966" s="210">
        <v>1</v>
      </c>
      <c r="R966" s="210">
        <v>0</v>
      </c>
      <c r="X966" s="20">
        <v>1</v>
      </c>
      <c r="Z966" s="20" t="s">
        <v>78</v>
      </c>
      <c r="AA966" s="20" t="s">
        <v>1862</v>
      </c>
      <c r="AB966" s="31">
        <f>VLOOKUP(AA966,Masters!$K$2:$L$183,2,FALSE)</f>
        <v>1004</v>
      </c>
      <c r="AC966" s="20" t="s">
        <v>2064</v>
      </c>
      <c r="AE966" s="20">
        <v>1</v>
      </c>
      <c r="AF966" s="20">
        <v>1</v>
      </c>
      <c r="AG966" s="20">
        <v>1900</v>
      </c>
      <c r="AH966" s="21">
        <v>1</v>
      </c>
    </row>
    <row r="967" spans="1:34" x14ac:dyDescent="0.25">
      <c r="A967" s="35">
        <v>1937</v>
      </c>
      <c r="B967" s="20" t="s">
        <v>1842</v>
      </c>
      <c r="C967" s="20" t="s">
        <v>1842</v>
      </c>
      <c r="E967" s="20" t="s">
        <v>135</v>
      </c>
      <c r="F967" s="20" t="s">
        <v>1846</v>
      </c>
      <c r="G967" s="31" t="s">
        <v>35</v>
      </c>
      <c r="I967" s="208">
        <v>1</v>
      </c>
      <c r="J967" s="208">
        <v>1</v>
      </c>
      <c r="K967" s="208"/>
      <c r="L967" s="209"/>
      <c r="M967" s="208"/>
      <c r="N967" s="208"/>
      <c r="O967" s="210">
        <v>0</v>
      </c>
      <c r="P967" s="210">
        <v>0</v>
      </c>
      <c r="Q967" s="210">
        <v>1</v>
      </c>
      <c r="R967" s="210">
        <v>0</v>
      </c>
      <c r="X967" s="20">
        <v>1</v>
      </c>
      <c r="Z967" s="20" t="s">
        <v>1855</v>
      </c>
      <c r="AA967" s="20" t="s">
        <v>1862</v>
      </c>
      <c r="AB967" s="31">
        <f>VLOOKUP(AA967,Masters!$K$2:$L$183,2,FALSE)</f>
        <v>1004</v>
      </c>
      <c r="AC967" s="20" t="s">
        <v>2064</v>
      </c>
      <c r="AE967" s="20">
        <v>1</v>
      </c>
      <c r="AF967" s="20">
        <v>1</v>
      </c>
      <c r="AG967" s="20">
        <v>1900</v>
      </c>
      <c r="AH967" s="21">
        <v>1</v>
      </c>
    </row>
    <row r="968" spans="1:34" x14ac:dyDescent="0.25">
      <c r="A968" s="35">
        <v>1938</v>
      </c>
      <c r="B968" s="20" t="s">
        <v>1842</v>
      </c>
      <c r="C968" s="20" t="s">
        <v>1842</v>
      </c>
      <c r="E968" s="20" t="s">
        <v>135</v>
      </c>
      <c r="F968" s="20" t="s">
        <v>1846</v>
      </c>
      <c r="G968" s="31" t="s">
        <v>35</v>
      </c>
      <c r="I968" s="208">
        <v>1</v>
      </c>
      <c r="J968" s="208">
        <v>1</v>
      </c>
      <c r="K968" s="208"/>
      <c r="L968" s="209"/>
      <c r="M968" s="208"/>
      <c r="N968" s="208"/>
      <c r="O968" s="210">
        <v>0</v>
      </c>
      <c r="P968" s="210">
        <v>0</v>
      </c>
      <c r="Q968" s="210">
        <v>1</v>
      </c>
      <c r="R968" s="210">
        <v>0</v>
      </c>
      <c r="X968" s="20">
        <v>1</v>
      </c>
      <c r="Z968" s="20" t="s">
        <v>1858</v>
      </c>
      <c r="AA968" s="20" t="s">
        <v>1859</v>
      </c>
      <c r="AB968" s="31">
        <f>VLOOKUP(AA968,Masters!$K$2:$L$183,2,FALSE)</f>
        <v>1001</v>
      </c>
      <c r="AC968" s="20" t="s">
        <v>2063</v>
      </c>
      <c r="AE968" s="20">
        <v>1</v>
      </c>
      <c r="AF968" s="20">
        <v>1</v>
      </c>
      <c r="AG968" s="20">
        <v>1900</v>
      </c>
      <c r="AH968" s="21">
        <v>1</v>
      </c>
    </row>
    <row r="969" spans="1:34" x14ac:dyDescent="0.25">
      <c r="A969" s="35">
        <v>1939</v>
      </c>
      <c r="B969" s="20" t="s">
        <v>1842</v>
      </c>
      <c r="C969" s="20" t="s">
        <v>1842</v>
      </c>
      <c r="E969" s="20" t="s">
        <v>135</v>
      </c>
      <c r="F969" s="20" t="s">
        <v>1847</v>
      </c>
      <c r="G969" s="31" t="s">
        <v>35</v>
      </c>
      <c r="I969" s="208">
        <v>1</v>
      </c>
      <c r="J969" s="208">
        <v>1</v>
      </c>
      <c r="K969" s="208"/>
      <c r="L969" s="209"/>
      <c r="M969" s="208"/>
      <c r="N969" s="208"/>
      <c r="O969" s="210">
        <v>0</v>
      </c>
      <c r="P969" s="210">
        <v>0</v>
      </c>
      <c r="Q969" s="210">
        <v>1</v>
      </c>
      <c r="R969" s="210">
        <v>0</v>
      </c>
      <c r="S969" s="20" t="s">
        <v>180</v>
      </c>
      <c r="T969" s="20" t="s">
        <v>36</v>
      </c>
      <c r="V969" s="20" t="s">
        <v>181</v>
      </c>
      <c r="X969" s="20">
        <v>1</v>
      </c>
      <c r="Z969" s="20" t="s">
        <v>1848</v>
      </c>
      <c r="AA969" s="20" t="s">
        <v>1860</v>
      </c>
      <c r="AB969" s="31">
        <f>VLOOKUP(AA969,Masters!$K$2:$L$183,2,FALSE)</f>
        <v>1002</v>
      </c>
      <c r="AC969" s="20" t="s">
        <v>2063</v>
      </c>
      <c r="AE969" s="20">
        <v>1</v>
      </c>
      <c r="AF969" s="20">
        <v>1</v>
      </c>
      <c r="AG969" s="20">
        <v>1900</v>
      </c>
      <c r="AH969" s="21">
        <v>1</v>
      </c>
    </row>
    <row r="970" spans="1:34" x14ac:dyDescent="0.25">
      <c r="A970" s="35">
        <v>1941</v>
      </c>
      <c r="B970" s="20" t="s">
        <v>1842</v>
      </c>
      <c r="C970" s="20" t="s">
        <v>1842</v>
      </c>
      <c r="E970" s="20" t="s">
        <v>2054</v>
      </c>
      <c r="F970" s="20" t="s">
        <v>1846</v>
      </c>
      <c r="G970" s="31" t="s">
        <v>35</v>
      </c>
      <c r="I970" s="208">
        <v>1</v>
      </c>
      <c r="J970" s="208">
        <v>1</v>
      </c>
      <c r="K970" s="208"/>
      <c r="L970" s="209"/>
      <c r="M970" s="208"/>
      <c r="N970" s="208"/>
      <c r="O970" s="210">
        <v>0</v>
      </c>
      <c r="P970" s="210">
        <v>0</v>
      </c>
      <c r="Q970" s="210">
        <v>1</v>
      </c>
      <c r="R970" s="210">
        <v>0</v>
      </c>
      <c r="X970" s="20">
        <v>1</v>
      </c>
      <c r="Z970" s="20" t="s">
        <v>1852</v>
      </c>
      <c r="AA970" s="20" t="s">
        <v>1860</v>
      </c>
      <c r="AB970" s="31">
        <f>VLOOKUP(AA970,Masters!$K$2:$L$183,2,FALSE)</f>
        <v>1002</v>
      </c>
      <c r="AC970" s="20" t="s">
        <v>2063</v>
      </c>
      <c r="AE970" s="20">
        <v>1</v>
      </c>
      <c r="AF970" s="20">
        <v>1</v>
      </c>
      <c r="AG970" s="20">
        <v>1900</v>
      </c>
      <c r="AH970" s="21">
        <v>1</v>
      </c>
    </row>
    <row r="971" spans="1:34" x14ac:dyDescent="0.25">
      <c r="A971" s="35">
        <v>1970</v>
      </c>
      <c r="B971" s="20" t="s">
        <v>1842</v>
      </c>
      <c r="C971" s="20" t="s">
        <v>1842</v>
      </c>
      <c r="E971" s="20" t="s">
        <v>126</v>
      </c>
      <c r="F971" s="20" t="s">
        <v>1846</v>
      </c>
      <c r="G971" s="31" t="s">
        <v>35</v>
      </c>
      <c r="I971" s="208">
        <v>1</v>
      </c>
      <c r="J971" s="208">
        <v>1</v>
      </c>
      <c r="K971" s="208"/>
      <c r="L971" s="209"/>
      <c r="M971" s="208"/>
      <c r="N971" s="208"/>
      <c r="O971" s="210">
        <v>0</v>
      </c>
      <c r="P971" s="210">
        <v>0</v>
      </c>
      <c r="Q971" s="210">
        <v>1</v>
      </c>
      <c r="R971" s="210">
        <v>0</v>
      </c>
      <c r="X971" s="20">
        <v>1</v>
      </c>
      <c r="Z971" s="20" t="s">
        <v>1855</v>
      </c>
      <c r="AA971" s="20" t="s">
        <v>1863</v>
      </c>
      <c r="AB971" s="31">
        <f>VLOOKUP(AA971,Masters!$K$2:$L$183,2,FALSE)</f>
        <v>1005</v>
      </c>
      <c r="AC971" s="20" t="s">
        <v>2063</v>
      </c>
      <c r="AE971" s="20">
        <v>1</v>
      </c>
      <c r="AF971" s="20">
        <v>1</v>
      </c>
      <c r="AG971" s="20">
        <v>1900</v>
      </c>
      <c r="AH971" s="21">
        <v>1</v>
      </c>
    </row>
    <row r="972" spans="1:34" x14ac:dyDescent="0.25">
      <c r="A972" s="35">
        <v>1971</v>
      </c>
      <c r="B972" s="20" t="s">
        <v>1842</v>
      </c>
      <c r="C972" s="20" t="s">
        <v>1842</v>
      </c>
      <c r="E972" s="20" t="s">
        <v>2058</v>
      </c>
      <c r="F972" s="20" t="s">
        <v>1844</v>
      </c>
      <c r="G972" s="31" t="s">
        <v>35</v>
      </c>
      <c r="I972" s="208">
        <v>1</v>
      </c>
      <c r="J972" s="208">
        <v>1</v>
      </c>
      <c r="K972" s="208"/>
      <c r="L972" s="209"/>
      <c r="M972" s="208"/>
      <c r="N972" s="208"/>
      <c r="O972" s="210">
        <v>0</v>
      </c>
      <c r="P972" s="210">
        <v>0</v>
      </c>
      <c r="Q972" s="210">
        <v>1</v>
      </c>
      <c r="R972" s="210">
        <v>0</v>
      </c>
      <c r="X972" s="20">
        <v>1</v>
      </c>
      <c r="Z972" s="20" t="s">
        <v>1857</v>
      </c>
      <c r="AA972" s="20" t="s">
        <v>1862</v>
      </c>
      <c r="AB972" s="31">
        <f>VLOOKUP(AA972,Masters!$K$2:$L$183,2,FALSE)</f>
        <v>1004</v>
      </c>
      <c r="AC972" s="20" t="s">
        <v>2063</v>
      </c>
      <c r="AE972" s="20">
        <v>1</v>
      </c>
      <c r="AF972" s="20">
        <v>1</v>
      </c>
      <c r="AG972" s="20">
        <v>1900</v>
      </c>
      <c r="AH972" s="21">
        <v>1</v>
      </c>
    </row>
    <row r="973" spans="1:34" x14ac:dyDescent="0.25">
      <c r="A973" s="35">
        <v>1972</v>
      </c>
      <c r="B973" s="20" t="s">
        <v>1842</v>
      </c>
      <c r="C973" s="20" t="s">
        <v>1842</v>
      </c>
      <c r="E973" s="20" t="s">
        <v>2054</v>
      </c>
      <c r="F973" s="20" t="s">
        <v>1846</v>
      </c>
      <c r="G973" s="31" t="s">
        <v>35</v>
      </c>
      <c r="I973" s="208">
        <v>1</v>
      </c>
      <c r="J973" s="208">
        <v>1</v>
      </c>
      <c r="K973" s="208"/>
      <c r="L973" s="209"/>
      <c r="M973" s="208"/>
      <c r="N973" s="208"/>
      <c r="O973" s="210">
        <v>0</v>
      </c>
      <c r="P973" s="210">
        <v>0</v>
      </c>
      <c r="Q973" s="210">
        <v>1</v>
      </c>
      <c r="R973" s="210">
        <v>0</v>
      </c>
      <c r="X973" s="20">
        <v>1</v>
      </c>
      <c r="Z973" s="20" t="s">
        <v>34</v>
      </c>
      <c r="AA973" s="20" t="s">
        <v>1863</v>
      </c>
      <c r="AB973" s="31">
        <f>VLOOKUP(AA973,Masters!$K$2:$L$183,2,FALSE)</f>
        <v>1005</v>
      </c>
      <c r="AC973" s="20" t="s">
        <v>2063</v>
      </c>
      <c r="AE973" s="20">
        <v>1</v>
      </c>
      <c r="AF973" s="20">
        <v>1</v>
      </c>
      <c r="AG973" s="20">
        <v>1900</v>
      </c>
      <c r="AH973" s="21">
        <v>1</v>
      </c>
    </row>
    <row r="974" spans="1:34" x14ac:dyDescent="0.25">
      <c r="A974" s="35"/>
      <c r="I974" s="208"/>
      <c r="J974" s="208"/>
      <c r="K974" s="208"/>
      <c r="L974" s="209"/>
      <c r="M974" s="208"/>
      <c r="N974" s="208"/>
      <c r="O974" s="210"/>
      <c r="P974" s="210"/>
      <c r="Q974" s="210"/>
      <c r="R974" s="210"/>
    </row>
    <row r="975" spans="1:34" x14ac:dyDescent="0.25">
      <c r="A975" s="35"/>
      <c r="I975" s="208"/>
      <c r="J975" s="208"/>
      <c r="K975" s="208"/>
      <c r="L975" s="209"/>
      <c r="M975" s="208"/>
      <c r="N975" s="208"/>
      <c r="O975" s="210"/>
      <c r="P975" s="210"/>
      <c r="Q975" s="210"/>
      <c r="R975" s="210"/>
    </row>
    <row r="976" spans="1:34" x14ac:dyDescent="0.25">
      <c r="A976" s="35"/>
      <c r="I976" s="208"/>
      <c r="J976" s="208"/>
      <c r="K976" s="208"/>
      <c r="L976" s="209"/>
      <c r="M976" s="208"/>
      <c r="N976" s="208"/>
      <c r="O976" s="210"/>
      <c r="P976" s="210"/>
      <c r="Q976" s="210"/>
      <c r="R976" s="210"/>
    </row>
    <row r="977" spans="1:18" x14ac:dyDescent="0.25">
      <c r="A977" s="35"/>
      <c r="I977" s="208"/>
      <c r="J977" s="208"/>
      <c r="K977" s="208"/>
      <c r="L977" s="209"/>
      <c r="M977" s="208"/>
      <c r="N977" s="208"/>
      <c r="O977" s="210"/>
      <c r="P977" s="210"/>
      <c r="Q977" s="210"/>
      <c r="R977" s="210"/>
    </row>
    <row r="978" spans="1:18" x14ac:dyDescent="0.25">
      <c r="A978" s="35"/>
      <c r="I978" s="208"/>
      <c r="J978" s="208"/>
      <c r="K978" s="208"/>
      <c r="L978" s="209"/>
      <c r="M978" s="208"/>
      <c r="N978" s="208"/>
      <c r="O978" s="210"/>
      <c r="P978" s="210"/>
      <c r="Q978" s="210"/>
      <c r="R978" s="210"/>
    </row>
    <row r="979" spans="1:18" x14ac:dyDescent="0.25">
      <c r="A979" s="35"/>
      <c r="I979" s="208"/>
      <c r="J979" s="208"/>
      <c r="K979" s="208"/>
      <c r="L979" s="209"/>
      <c r="M979" s="208"/>
      <c r="N979" s="208"/>
      <c r="O979" s="210"/>
      <c r="P979" s="210"/>
      <c r="Q979" s="210"/>
      <c r="R979" s="210"/>
    </row>
    <row r="980" spans="1:18" x14ac:dyDescent="0.25">
      <c r="A980" s="35"/>
      <c r="I980" s="208"/>
      <c r="J980" s="208"/>
      <c r="K980" s="208"/>
      <c r="L980" s="209"/>
      <c r="M980" s="208"/>
      <c r="N980" s="208"/>
      <c r="O980" s="210"/>
      <c r="P980" s="210"/>
      <c r="Q980" s="210"/>
      <c r="R980" s="210"/>
    </row>
    <row r="981" spans="1:18" x14ac:dyDescent="0.25">
      <c r="A981" s="35"/>
      <c r="I981" s="208"/>
      <c r="J981" s="208"/>
      <c r="K981" s="208"/>
      <c r="L981" s="209"/>
      <c r="M981" s="208"/>
      <c r="N981" s="208"/>
      <c r="O981" s="210"/>
      <c r="P981" s="210"/>
      <c r="Q981" s="210"/>
      <c r="R981" s="210"/>
    </row>
    <row r="982" spans="1:18" x14ac:dyDescent="0.25">
      <c r="A982" s="35"/>
      <c r="I982" s="208"/>
      <c r="J982" s="208"/>
      <c r="K982" s="208"/>
      <c r="L982" s="209"/>
      <c r="M982" s="208"/>
      <c r="N982" s="208"/>
      <c r="O982" s="210"/>
      <c r="P982" s="210"/>
      <c r="Q982" s="210"/>
      <c r="R982" s="210"/>
    </row>
    <row r="983" spans="1:18" x14ac:dyDescent="0.25">
      <c r="A983" s="35"/>
      <c r="I983" s="208"/>
      <c r="J983" s="208"/>
      <c r="K983" s="208"/>
      <c r="L983" s="209"/>
      <c r="M983" s="208"/>
      <c r="N983" s="208"/>
      <c r="O983" s="210"/>
      <c r="P983" s="210"/>
      <c r="Q983" s="210"/>
      <c r="R983" s="210"/>
    </row>
    <row r="984" spans="1:18" x14ac:dyDescent="0.25">
      <c r="A984" s="35"/>
      <c r="I984" s="208"/>
      <c r="J984" s="208"/>
      <c r="K984" s="208"/>
      <c r="L984" s="209"/>
      <c r="M984" s="208"/>
      <c r="N984" s="208"/>
      <c r="O984" s="210"/>
      <c r="P984" s="210"/>
      <c r="Q984" s="210"/>
      <c r="R984" s="210"/>
    </row>
    <row r="985" spans="1:18" x14ac:dyDescent="0.25">
      <c r="A985" s="35"/>
      <c r="I985" s="208"/>
      <c r="J985" s="208"/>
      <c r="K985" s="208"/>
      <c r="L985" s="209"/>
      <c r="M985" s="208"/>
      <c r="N985" s="208"/>
      <c r="O985" s="210"/>
      <c r="P985" s="210"/>
      <c r="Q985" s="210"/>
      <c r="R985" s="210"/>
    </row>
    <row r="986" spans="1:18" x14ac:dyDescent="0.25">
      <c r="A986" s="35"/>
      <c r="I986" s="208"/>
      <c r="J986" s="208"/>
      <c r="K986" s="208"/>
      <c r="L986" s="209"/>
      <c r="M986" s="208"/>
      <c r="N986" s="208"/>
      <c r="O986" s="210"/>
      <c r="P986" s="210"/>
      <c r="Q986" s="210"/>
      <c r="R986" s="210"/>
    </row>
    <row r="987" spans="1:18" x14ac:dyDescent="0.25">
      <c r="A987" s="35"/>
      <c r="I987" s="208"/>
      <c r="J987" s="208"/>
      <c r="K987" s="208"/>
      <c r="L987" s="209"/>
      <c r="M987" s="208"/>
      <c r="N987" s="208"/>
      <c r="O987" s="210"/>
      <c r="P987" s="210"/>
      <c r="Q987" s="210"/>
      <c r="R987" s="210"/>
    </row>
    <row r="988" spans="1:18" x14ac:dyDescent="0.25">
      <c r="A988" s="35"/>
      <c r="I988" s="208"/>
      <c r="J988" s="208"/>
      <c r="K988" s="208"/>
      <c r="L988" s="209"/>
      <c r="M988" s="208"/>
      <c r="N988" s="208"/>
      <c r="O988" s="210"/>
      <c r="P988" s="210"/>
      <c r="Q988" s="210"/>
      <c r="R988" s="210"/>
    </row>
    <row r="989" spans="1:18" x14ac:dyDescent="0.25">
      <c r="A989" s="35"/>
      <c r="I989" s="208"/>
      <c r="J989" s="208"/>
      <c r="K989" s="208"/>
      <c r="L989" s="209"/>
      <c r="M989" s="208"/>
      <c r="N989" s="208"/>
      <c r="O989" s="210"/>
      <c r="P989" s="210"/>
      <c r="Q989" s="210"/>
      <c r="R989" s="210"/>
    </row>
    <row r="990" spans="1:18" x14ac:dyDescent="0.25">
      <c r="A990" s="35"/>
      <c r="I990" s="208"/>
      <c r="J990" s="208"/>
      <c r="K990" s="208"/>
      <c r="L990" s="209"/>
      <c r="M990" s="208"/>
      <c r="N990" s="208"/>
      <c r="O990" s="210"/>
      <c r="P990" s="210"/>
      <c r="Q990" s="210"/>
      <c r="R990" s="210"/>
    </row>
    <row r="991" spans="1:18" x14ac:dyDescent="0.25">
      <c r="A991" s="35"/>
      <c r="I991" s="208"/>
      <c r="J991" s="208"/>
      <c r="K991" s="208"/>
      <c r="L991" s="209"/>
      <c r="M991" s="208"/>
      <c r="N991" s="208"/>
      <c r="O991" s="210"/>
      <c r="P991" s="210"/>
      <c r="Q991" s="210"/>
      <c r="R991" s="210"/>
    </row>
    <row r="992" spans="1:18" x14ac:dyDescent="0.25">
      <c r="A992" s="35"/>
      <c r="I992" s="208"/>
      <c r="J992" s="208"/>
      <c r="K992" s="208"/>
      <c r="L992" s="209"/>
      <c r="M992" s="208"/>
      <c r="N992" s="208"/>
      <c r="O992" s="210"/>
      <c r="P992" s="210"/>
      <c r="Q992" s="210"/>
      <c r="R992" s="210"/>
    </row>
    <row r="993" spans="1:28" x14ac:dyDescent="0.25">
      <c r="A993" s="35"/>
      <c r="I993" s="208"/>
      <c r="J993" s="208"/>
      <c r="K993" s="208"/>
      <c r="L993" s="209"/>
      <c r="M993" s="208"/>
      <c r="N993" s="208"/>
      <c r="O993" s="210"/>
      <c r="P993" s="210"/>
      <c r="Q993" s="210"/>
      <c r="R993" s="210"/>
    </row>
    <row r="994" spans="1:28" x14ac:dyDescent="0.25">
      <c r="A994" s="35"/>
      <c r="I994" s="208"/>
      <c r="J994" s="208"/>
      <c r="K994" s="208"/>
      <c r="L994" s="209"/>
      <c r="M994" s="208"/>
      <c r="N994" s="208"/>
      <c r="O994" s="210"/>
      <c r="P994" s="210"/>
      <c r="Q994" s="210"/>
      <c r="R994" s="210"/>
    </row>
    <row r="995" spans="1:28" x14ac:dyDescent="0.25">
      <c r="A995" s="35"/>
      <c r="I995" s="208"/>
      <c r="J995" s="208"/>
      <c r="K995" s="208"/>
      <c r="L995" s="209"/>
      <c r="M995" s="208"/>
      <c r="N995" s="208"/>
      <c r="O995" s="210"/>
      <c r="P995" s="210"/>
      <c r="Q995" s="210"/>
      <c r="R995" s="210"/>
    </row>
    <row r="996" spans="1:28" x14ac:dyDescent="0.25">
      <c r="A996" s="35"/>
      <c r="I996" s="208"/>
      <c r="J996" s="208"/>
      <c r="K996" s="208"/>
      <c r="L996" s="209"/>
      <c r="M996" s="208"/>
      <c r="N996" s="208"/>
      <c r="O996" s="210"/>
      <c r="P996" s="210"/>
      <c r="Q996" s="210"/>
      <c r="R996" s="210"/>
    </row>
    <row r="997" spans="1:28" x14ac:dyDescent="0.25">
      <c r="Z997" s="24"/>
      <c r="AA997" s="24"/>
      <c r="AB997" s="24"/>
    </row>
    <row r="998" spans="1:28" x14ac:dyDescent="0.25">
      <c r="Z998" s="24"/>
      <c r="AA998" s="24"/>
      <c r="AB998" s="24"/>
    </row>
    <row r="999" spans="1:28" x14ac:dyDescent="0.25">
      <c r="AA999" s="22"/>
      <c r="AB999" s="24"/>
    </row>
    <row r="1000" spans="1:28" x14ac:dyDescent="0.25">
      <c r="AB1000" s="22"/>
    </row>
  </sheetData>
  <sortState ref="A2:AH996">
    <sortCondition ref="B2:B996"/>
  </sortState>
  <phoneticPr fontId="1" type="noConversion"/>
  <pageMargins left="0.7" right="0.7" top="0.75" bottom="0.75" header="0.3" footer="0.3"/>
  <pageSetup paperSize="9" scale="92" fitToWidth="6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3</xdr:col>
                <xdr:colOff>2409825</xdr:colOff>
                <xdr:row>0</xdr:row>
                <xdr:rowOff>38100</xdr:rowOff>
              </from>
              <to>
                <xdr:col>3</xdr:col>
                <xdr:colOff>3171825</xdr:colOff>
                <xdr:row>0</xdr:row>
                <xdr:rowOff>276225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50"/>
  </sheetPr>
  <dimension ref="A1:AM4"/>
  <sheetViews>
    <sheetView zoomScaleNormal="100" workbookViewId="0">
      <pane xSplit="4" ySplit="1" topLeftCell="AC2" activePane="bottomRight" state="frozen"/>
      <selection pane="topRight" activeCell="E1" sqref="E1"/>
      <selection pane="bottomLeft" activeCell="A2" sqref="A2"/>
      <selection pane="bottomRight" activeCell="B34" sqref="B34"/>
    </sheetView>
  </sheetViews>
  <sheetFormatPr defaultRowHeight="15.75" x14ac:dyDescent="0.25"/>
  <cols>
    <col min="1" max="1" width="6.5703125" bestFit="1" customWidth="1"/>
    <col min="2" max="2" width="23.5703125" customWidth="1"/>
    <col min="3" max="3" width="28.140625" customWidth="1"/>
    <col min="4" max="4" width="30.140625" customWidth="1"/>
    <col min="5" max="5" width="22.42578125" customWidth="1"/>
    <col min="6" max="6" width="22.5703125" customWidth="1"/>
    <col min="7" max="7" width="13.42578125" bestFit="1" customWidth="1"/>
    <col min="8" max="8" width="21.7109375" bestFit="1" customWidth="1"/>
    <col min="9" max="9" width="22.140625" bestFit="1" customWidth="1"/>
    <col min="10" max="10" width="20.5703125" bestFit="1" customWidth="1"/>
    <col min="11" max="11" width="11.140625" bestFit="1" customWidth="1"/>
    <col min="12" max="12" width="11.5703125" bestFit="1" customWidth="1"/>
    <col min="13" max="14" width="17.7109375" bestFit="1" customWidth="1"/>
    <col min="15" max="15" width="16.140625" bestFit="1" customWidth="1"/>
    <col min="16" max="16" width="10.140625" style="1" bestFit="1" customWidth="1"/>
    <col min="17" max="17" width="10.5703125" style="1" bestFit="1" customWidth="1"/>
    <col min="18" max="18" width="10.140625" style="1" bestFit="1" customWidth="1"/>
    <col min="19" max="19" width="11.85546875" style="1" bestFit="1" customWidth="1"/>
    <col min="20" max="20" width="15.140625" style="1" bestFit="1" customWidth="1"/>
    <col min="21" max="21" width="12.7109375" style="1" customWidth="1"/>
    <col min="22" max="22" width="20.7109375" style="1" customWidth="1"/>
    <col min="23" max="23" width="18.28515625" style="1" bestFit="1" customWidth="1"/>
    <col min="24" max="24" width="12.28515625" style="1" bestFit="1" customWidth="1"/>
    <col min="25" max="25" width="17.5703125" style="1" customWidth="1"/>
    <col min="26" max="26" width="39.42578125" style="1" customWidth="1"/>
    <col min="27" max="27" width="48.7109375" style="1" customWidth="1"/>
    <col min="28" max="28" width="10.42578125" style="1" customWidth="1"/>
    <col min="29" max="29" width="6" style="1" bestFit="1" customWidth="1"/>
    <col min="30" max="30" width="9.5703125" style="1" bestFit="1" customWidth="1"/>
    <col min="31" max="31" width="8.7109375" style="1" bestFit="1" customWidth="1"/>
    <col min="32" max="32" width="11.140625" style="1" bestFit="1" customWidth="1"/>
    <col min="33" max="33" width="9.42578125" style="1" bestFit="1" customWidth="1"/>
    <col min="34" max="34" width="14.7109375" style="1" customWidth="1"/>
    <col min="35" max="35" width="25.7109375" style="9" customWidth="1"/>
    <col min="36" max="36" width="24" style="9" customWidth="1"/>
    <col min="37" max="37" width="29.42578125" style="9" customWidth="1"/>
    <col min="38" max="38" width="16.7109375" style="9" customWidth="1"/>
    <col min="39" max="39" width="18.140625" style="1" customWidth="1"/>
    <col min="40" max="16384" width="9.140625" style="1"/>
  </cols>
  <sheetData>
    <row r="1" spans="1:39" s="3" customFormat="1" ht="22.5" customHeight="1" x14ac:dyDescent="0.25">
      <c r="A1" s="5" t="s">
        <v>0</v>
      </c>
      <c r="B1" s="6" t="s">
        <v>4</v>
      </c>
      <c r="C1" s="6" t="s">
        <v>3</v>
      </c>
      <c r="D1" s="6" t="s">
        <v>1</v>
      </c>
      <c r="E1" s="6" t="s">
        <v>46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7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  <c r="X1" s="6" t="s">
        <v>23</v>
      </c>
      <c r="Y1" s="6" t="s">
        <v>24</v>
      </c>
      <c r="Z1" s="6" t="s">
        <v>25</v>
      </c>
      <c r="AA1" s="6" t="s">
        <v>26</v>
      </c>
      <c r="AB1" s="6" t="s">
        <v>27</v>
      </c>
      <c r="AC1" s="6" t="s">
        <v>28</v>
      </c>
      <c r="AD1" s="6" t="s">
        <v>29</v>
      </c>
      <c r="AE1" s="6" t="s">
        <v>30</v>
      </c>
      <c r="AF1" s="6" t="s">
        <v>31</v>
      </c>
      <c r="AG1" s="6" t="s">
        <v>32</v>
      </c>
      <c r="AH1" s="6" t="s">
        <v>33</v>
      </c>
      <c r="AI1" s="8" t="s">
        <v>68</v>
      </c>
      <c r="AJ1" s="8" t="s">
        <v>69</v>
      </c>
      <c r="AK1" s="8" t="s">
        <v>1</v>
      </c>
      <c r="AL1" s="8" t="s">
        <v>70</v>
      </c>
      <c r="AM1" s="8" t="s">
        <v>71</v>
      </c>
    </row>
    <row r="2" spans="1:39" ht="16.5" thickBot="1" x14ac:dyDescent="0.3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215"/>
      <c r="Q2" s="215"/>
      <c r="R2" s="215"/>
      <c r="S2" s="215"/>
      <c r="T2" s="215"/>
      <c r="U2" s="215"/>
      <c r="V2" s="215"/>
      <c r="W2" s="215"/>
      <c r="X2" s="215"/>
      <c r="Y2" s="215"/>
      <c r="Z2" s="215"/>
      <c r="AA2" s="215"/>
      <c r="AB2" s="215"/>
      <c r="AC2" s="215"/>
      <c r="AD2" s="215"/>
      <c r="AE2" s="215"/>
      <c r="AF2" s="215"/>
      <c r="AG2" s="215"/>
      <c r="AH2" s="217"/>
      <c r="AM2" s="213"/>
    </row>
    <row r="3" spans="1:39" ht="16.5" thickBot="1" x14ac:dyDescent="0.3">
      <c r="A3" s="220"/>
      <c r="B3" s="220"/>
      <c r="C3" s="220"/>
      <c r="D3" s="220"/>
      <c r="E3" s="220"/>
      <c r="F3" s="220"/>
      <c r="G3" s="220"/>
      <c r="H3" s="220"/>
      <c r="I3" s="220"/>
      <c r="J3" s="220"/>
      <c r="K3" s="220"/>
      <c r="L3" s="220"/>
      <c r="M3" s="220"/>
      <c r="N3" s="220"/>
      <c r="O3" s="220"/>
      <c r="P3" s="221"/>
      <c r="Q3" s="221"/>
      <c r="R3" s="221"/>
      <c r="S3" s="221"/>
      <c r="T3" s="221"/>
      <c r="U3" s="221"/>
      <c r="V3" s="221"/>
      <c r="W3" s="221"/>
      <c r="X3" s="221"/>
      <c r="Y3" s="221"/>
      <c r="Z3" s="221"/>
      <c r="AA3" s="221"/>
      <c r="AB3" s="221"/>
      <c r="AC3" s="221"/>
      <c r="AD3" s="221"/>
      <c r="AE3" s="221"/>
      <c r="AF3" s="221"/>
      <c r="AG3" s="221"/>
      <c r="AH3" s="222"/>
      <c r="AM3" s="213"/>
    </row>
    <row r="4" spans="1:39" ht="16.5" thickBot="1" x14ac:dyDescent="0.3">
      <c r="A4" s="214"/>
      <c r="B4" s="214"/>
      <c r="C4" s="214"/>
      <c r="D4" s="214"/>
      <c r="E4" s="214"/>
      <c r="F4" s="214"/>
      <c r="G4" s="214"/>
      <c r="H4" s="214"/>
      <c r="I4" s="214"/>
      <c r="J4" s="214"/>
      <c r="K4" s="214"/>
      <c r="L4" s="214"/>
      <c r="M4" s="214"/>
      <c r="N4" s="214"/>
      <c r="O4" s="214"/>
      <c r="P4" s="216"/>
      <c r="Q4" s="216"/>
      <c r="R4" s="216"/>
      <c r="S4" s="216"/>
      <c r="T4" s="216"/>
      <c r="U4" s="216"/>
      <c r="V4" s="216"/>
      <c r="W4" s="216"/>
      <c r="X4" s="216"/>
      <c r="Y4" s="216"/>
      <c r="Z4" s="216"/>
      <c r="AA4" s="216"/>
      <c r="AB4" s="216"/>
      <c r="AC4" s="216"/>
      <c r="AD4" s="216"/>
      <c r="AE4" s="216"/>
      <c r="AF4" s="216"/>
      <c r="AG4" s="216"/>
      <c r="AH4" s="218"/>
      <c r="AI4" s="219"/>
    </row>
  </sheetData>
  <phoneticPr fontId="1" type="noConversion"/>
  <conditionalFormatting sqref="AI2:AM1048576">
    <cfRule type="cellIs" dxfId="2" priority="3" operator="equal">
      <formula>""</formula>
    </cfRule>
    <cfRule type="cellIs" dxfId="1" priority="4" operator="notEqual">
      <formula>""</formula>
    </cfRule>
  </conditionalFormatting>
  <pageMargins left="0.7" right="0.7" top="0.75" bottom="0.75" header="0.3" footer="0.3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>
    <tabColor indexed="21"/>
  </sheetPr>
  <dimension ref="A1:AH3"/>
  <sheetViews>
    <sheetView workbookViewId="0">
      <selection activeCell="A2" sqref="A2:XFD2"/>
    </sheetView>
  </sheetViews>
  <sheetFormatPr defaultRowHeight="15" x14ac:dyDescent="0.25"/>
  <cols>
    <col min="1" max="1" width="5.5703125" bestFit="1" customWidth="1"/>
    <col min="2" max="3" width="31.42578125" bestFit="1" customWidth="1"/>
    <col min="4" max="4" width="25.28515625" bestFit="1" customWidth="1"/>
    <col min="5" max="5" width="41.7109375" bestFit="1" customWidth="1"/>
    <col min="6" max="6" width="11.28515625" bestFit="1" customWidth="1"/>
    <col min="7" max="7" width="6.85546875" bestFit="1" customWidth="1"/>
    <col min="8" max="18" width="2.140625" bestFit="1" customWidth="1"/>
    <col min="19" max="19" width="11.28515625" bestFit="1" customWidth="1"/>
    <col min="20" max="20" width="13.28515625" bestFit="1" customWidth="1"/>
    <col min="21" max="21" width="8.42578125" bestFit="1" customWidth="1"/>
    <col min="22" max="22" width="16.5703125" bestFit="1" customWidth="1"/>
    <col min="23" max="23" width="6.7109375" bestFit="1" customWidth="1"/>
    <col min="24" max="24" width="2.140625" bestFit="1" customWidth="1"/>
    <col min="25" max="25" width="20" bestFit="1" customWidth="1"/>
    <col min="26" max="26" width="33.5703125" bestFit="1" customWidth="1"/>
    <col min="27" max="27" width="38.42578125" bestFit="1" customWidth="1"/>
    <col min="28" max="28" width="5.5703125" bestFit="1" customWidth="1"/>
    <col min="29" max="30" width="3.5703125" bestFit="1" customWidth="1"/>
    <col min="31" max="31" width="3.28515625" bestFit="1" customWidth="1"/>
    <col min="32" max="32" width="2.140625" bestFit="1" customWidth="1"/>
    <col min="33" max="33" width="5.5703125" bestFit="1" customWidth="1"/>
    <col min="34" max="34" width="11.5703125" bestFit="1" customWidth="1"/>
  </cols>
  <sheetData>
    <row r="1" spans="1:34" ht="22.5" customHeight="1" x14ac:dyDescent="0.25"/>
    <row r="2" spans="1:34" ht="15.75" x14ac:dyDescent="0.25">
      <c r="A2" s="31">
        <v>3467</v>
      </c>
      <c r="B2" s="20" t="s">
        <v>76</v>
      </c>
      <c r="C2" s="20" t="s">
        <v>76</v>
      </c>
      <c r="D2" s="20" t="s">
        <v>117</v>
      </c>
      <c r="E2" s="20" t="s">
        <v>118</v>
      </c>
      <c r="F2" s="20"/>
      <c r="G2" s="20" t="s">
        <v>40</v>
      </c>
      <c r="H2" s="32">
        <v>1</v>
      </c>
      <c r="I2" s="32"/>
      <c r="J2" s="32">
        <v>1</v>
      </c>
      <c r="K2" s="33"/>
      <c r="L2" s="34"/>
      <c r="M2" s="32"/>
      <c r="N2" s="32"/>
      <c r="O2" s="20">
        <v>0</v>
      </c>
      <c r="P2" s="20">
        <v>1</v>
      </c>
      <c r="Q2" s="20">
        <v>0</v>
      </c>
      <c r="R2" s="20">
        <v>0</v>
      </c>
      <c r="S2" s="20"/>
      <c r="T2" s="20"/>
      <c r="U2" s="20"/>
      <c r="V2" s="20"/>
      <c r="W2" s="21"/>
      <c r="X2" s="20">
        <v>1</v>
      </c>
      <c r="Y2" s="20"/>
      <c r="Z2" s="20" t="s">
        <v>63</v>
      </c>
      <c r="AA2" s="20" t="s">
        <v>197</v>
      </c>
      <c r="AB2" s="31">
        <v>2301</v>
      </c>
      <c r="AC2" s="20" t="s">
        <v>37</v>
      </c>
      <c r="AD2" s="20" t="s">
        <v>45</v>
      </c>
      <c r="AE2" s="20">
        <v>13</v>
      </c>
      <c r="AF2" s="20">
        <v>1</v>
      </c>
      <c r="AG2" s="20">
        <v>2013</v>
      </c>
      <c r="AH2" s="21">
        <v>41287</v>
      </c>
    </row>
    <row r="3" spans="1:34" ht="15.75" x14ac:dyDescent="0.25">
      <c r="A3" s="31">
        <v>3777</v>
      </c>
      <c r="B3" s="20" t="s">
        <v>77</v>
      </c>
      <c r="C3" s="20" t="s">
        <v>77</v>
      </c>
      <c r="D3" s="20" t="s">
        <v>121</v>
      </c>
      <c r="E3" s="20" t="s">
        <v>122</v>
      </c>
      <c r="F3" s="20"/>
      <c r="G3" s="20" t="s">
        <v>40</v>
      </c>
      <c r="H3" s="32">
        <v>1</v>
      </c>
      <c r="I3" s="32"/>
      <c r="J3" s="32">
        <v>1</v>
      </c>
      <c r="K3" s="33"/>
      <c r="L3" s="34"/>
      <c r="M3" s="32"/>
      <c r="N3" s="32"/>
      <c r="O3" s="20">
        <v>0</v>
      </c>
      <c r="P3" s="20">
        <v>1</v>
      </c>
      <c r="Q3" s="20">
        <v>0</v>
      </c>
      <c r="R3" s="20">
        <v>0</v>
      </c>
      <c r="S3" s="20"/>
      <c r="T3" s="20"/>
      <c r="U3" s="20"/>
      <c r="V3" s="20"/>
      <c r="W3" s="21"/>
      <c r="X3" s="20">
        <v>1</v>
      </c>
      <c r="Y3" s="20"/>
      <c r="Z3" s="20" t="s">
        <v>58</v>
      </c>
      <c r="AA3" s="20" t="s">
        <v>203</v>
      </c>
      <c r="AB3" s="31">
        <v>2901</v>
      </c>
      <c r="AC3" s="20" t="s">
        <v>37</v>
      </c>
      <c r="AD3" s="20" t="s">
        <v>45</v>
      </c>
      <c r="AE3" s="20">
        <v>15</v>
      </c>
      <c r="AF3" s="20">
        <v>2</v>
      </c>
      <c r="AG3" s="20">
        <v>2015</v>
      </c>
      <c r="AH3" s="21">
        <v>42050</v>
      </c>
    </row>
  </sheetData>
  <phoneticPr fontId="1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F0"/>
  </sheetPr>
  <dimension ref="B3:P138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24" sqref="B24"/>
    </sheetView>
  </sheetViews>
  <sheetFormatPr defaultRowHeight="15" x14ac:dyDescent="0.25"/>
  <cols>
    <col min="2" max="2" width="15.42578125" customWidth="1"/>
    <col min="3" max="3" width="18.28515625" customWidth="1"/>
  </cols>
  <sheetData>
    <row r="3" spans="2:3" ht="15.75" thickBot="1" x14ac:dyDescent="0.3">
      <c r="B3" s="97">
        <v>38687</v>
      </c>
    </row>
    <row r="4" spans="2:3" x14ac:dyDescent="0.25">
      <c r="B4" s="46" t="s">
        <v>279</v>
      </c>
      <c r="C4" s="16" t="s">
        <v>280</v>
      </c>
    </row>
    <row r="5" spans="2:3" x14ac:dyDescent="0.25">
      <c r="B5" s="95" t="s">
        <v>2084</v>
      </c>
      <c r="C5" s="17">
        <v>1</v>
      </c>
    </row>
    <row r="6" spans="2:3" x14ac:dyDescent="0.25">
      <c r="B6" s="95" t="s">
        <v>2085</v>
      </c>
      <c r="C6" s="17">
        <v>2</v>
      </c>
    </row>
    <row r="7" spans="2:3" x14ac:dyDescent="0.25">
      <c r="B7" s="95" t="s">
        <v>2086</v>
      </c>
      <c r="C7" s="17">
        <v>3</v>
      </c>
    </row>
    <row r="8" spans="2:3" x14ac:dyDescent="0.25">
      <c r="B8" s="95" t="s">
        <v>2087</v>
      </c>
      <c r="C8" s="17">
        <v>4</v>
      </c>
    </row>
    <row r="9" spans="2:3" x14ac:dyDescent="0.25">
      <c r="B9" s="95" t="s">
        <v>2088</v>
      </c>
      <c r="C9" s="17">
        <v>5</v>
      </c>
    </row>
    <row r="10" spans="2:3" x14ac:dyDescent="0.25">
      <c r="B10" s="95" t="s">
        <v>2089</v>
      </c>
      <c r="C10" s="17">
        <v>6</v>
      </c>
    </row>
    <row r="11" spans="2:3" x14ac:dyDescent="0.25">
      <c r="B11" s="95" t="s">
        <v>2090</v>
      </c>
      <c r="C11" s="17">
        <v>7</v>
      </c>
    </row>
    <row r="12" spans="2:3" x14ac:dyDescent="0.25">
      <c r="B12" s="95" t="s">
        <v>2091</v>
      </c>
      <c r="C12" s="17">
        <v>8</v>
      </c>
    </row>
    <row r="13" spans="2:3" x14ac:dyDescent="0.25">
      <c r="B13" s="95" t="s">
        <v>2092</v>
      </c>
      <c r="C13" s="17">
        <v>9</v>
      </c>
    </row>
    <row r="14" spans="2:3" x14ac:dyDescent="0.25">
      <c r="B14" s="95" t="s">
        <v>2093</v>
      </c>
      <c r="C14" s="17">
        <v>10</v>
      </c>
    </row>
    <row r="15" spans="2:3" x14ac:dyDescent="0.25">
      <c r="B15" s="95" t="s">
        <v>2094</v>
      </c>
      <c r="C15" s="17">
        <v>11</v>
      </c>
    </row>
    <row r="16" spans="2:3" ht="15.75" thickBot="1" x14ac:dyDescent="0.3">
      <c r="B16" s="96" t="s">
        <v>2095</v>
      </c>
      <c r="C16" s="18">
        <v>12</v>
      </c>
    </row>
    <row r="28" spans="2:6" ht="15.75" thickBot="1" x14ac:dyDescent="0.3">
      <c r="B28" s="224" t="s">
        <v>267</v>
      </c>
      <c r="C28" s="224"/>
      <c r="D28" s="224"/>
      <c r="E28" s="224"/>
      <c r="F28" s="224"/>
    </row>
    <row r="29" spans="2:6" ht="15.75" thickBot="1" x14ac:dyDescent="0.3">
      <c r="B29" s="99"/>
      <c r="C29" s="98" t="s">
        <v>266</v>
      </c>
      <c r="D29" s="19">
        <f>SUM(D30:D34)</f>
        <v>972</v>
      </c>
      <c r="E29" s="14"/>
      <c r="F29" s="14"/>
    </row>
    <row r="30" spans="2:6" x14ac:dyDescent="0.25">
      <c r="B30" s="100" t="str">
        <f>IF(Masters!C2&lt;&gt;"",Masters!C2,"")</f>
        <v>Agency</v>
      </c>
      <c r="C30" s="102" t="str">
        <f>CONCATENATE(B30," ",F30)</f>
        <v>Agency 21%</v>
      </c>
      <c r="D30" s="105">
        <f>COUNTIF(Data!F:F,B30)</f>
        <v>208</v>
      </c>
      <c r="E30" s="111">
        <f>D30/$D$29</f>
        <v>0.2139917695473251</v>
      </c>
      <c r="F30" s="108" t="str">
        <f>TEXT(E30, "0%")</f>
        <v>21%</v>
      </c>
    </row>
    <row r="31" spans="2:6" x14ac:dyDescent="0.25">
      <c r="B31" s="100" t="str">
        <f>IF(Masters!C3&lt;&gt;"",Masters!C3,"")</f>
        <v>Walk-in</v>
      </c>
      <c r="C31" s="103" t="str">
        <f t="shared" ref="C31:C34" si="0">CONCATENATE(B31," ",F31)</f>
        <v>Walk-in 19%</v>
      </c>
      <c r="D31" s="106">
        <f>COUNTIF(Data!F:F,B31)</f>
        <v>186</v>
      </c>
      <c r="E31" s="112">
        <f t="shared" ref="E31:E34" si="1">D31/$D$29</f>
        <v>0.19135802469135801</v>
      </c>
      <c r="F31" s="109" t="str">
        <f>TEXT(E31, "0%")</f>
        <v>19%</v>
      </c>
    </row>
    <row r="32" spans="2:6" x14ac:dyDescent="0.25">
      <c r="B32" s="100" t="str">
        <f>IF(Masters!C4&lt;&gt;"",Masters!C4,"")</f>
        <v>Transfer</v>
      </c>
      <c r="C32" s="103" t="str">
        <f t="shared" si="0"/>
        <v>Transfer 21%</v>
      </c>
      <c r="D32" s="106">
        <f>COUNTIF(Data!F:F,B32)</f>
        <v>202</v>
      </c>
      <c r="E32" s="112">
        <f t="shared" si="1"/>
        <v>0.20781893004115226</v>
      </c>
      <c r="F32" s="109" t="str">
        <f>TEXT(E32, "0%")</f>
        <v>21%</v>
      </c>
    </row>
    <row r="33" spans="2:7" x14ac:dyDescent="0.25">
      <c r="B33" s="100" t="str">
        <f>IF(Masters!C5&lt;&gt;"",Masters!C5,"")</f>
        <v>Job Portal</v>
      </c>
      <c r="C33" s="103" t="str">
        <f t="shared" si="0"/>
        <v>Job Portal 21%</v>
      </c>
      <c r="D33" s="106">
        <f>COUNTIF(Data!F:F,B33)</f>
        <v>203</v>
      </c>
      <c r="E33" s="112">
        <f t="shared" si="1"/>
        <v>0.2088477366255144</v>
      </c>
      <c r="F33" s="109" t="str">
        <f>TEXT(E33, "0%")</f>
        <v>21%</v>
      </c>
    </row>
    <row r="34" spans="2:7" ht="15.75" thickBot="1" x14ac:dyDescent="0.3">
      <c r="B34" s="101" t="str">
        <f>IF(Masters!C6&lt;&gt;"",Masters!C6,"")</f>
        <v>University</v>
      </c>
      <c r="C34" s="104" t="str">
        <f t="shared" si="0"/>
        <v>University 18%</v>
      </c>
      <c r="D34" s="107">
        <f>COUNTIF(Data!F:F,B34)</f>
        <v>173</v>
      </c>
      <c r="E34" s="113">
        <f t="shared" si="1"/>
        <v>0.1779835390946502</v>
      </c>
      <c r="F34" s="110" t="str">
        <f>TEXT(E34, "0%")</f>
        <v>18%</v>
      </c>
    </row>
    <row r="36" spans="2:7" x14ac:dyDescent="0.25">
      <c r="B36" t="s">
        <v>426</v>
      </c>
      <c r="C36" t="s">
        <v>427</v>
      </c>
      <c r="D36" s="143" t="str">
        <f>B12</f>
        <v>August 2005</v>
      </c>
      <c r="E36" t="s">
        <v>428</v>
      </c>
      <c r="F36" s="144">
        <f>D29</f>
        <v>972</v>
      </c>
      <c r="G36" t="s">
        <v>430</v>
      </c>
    </row>
    <row r="37" spans="2:7" x14ac:dyDescent="0.25">
      <c r="C37" s="147" t="s">
        <v>429</v>
      </c>
      <c r="D37" s="206">
        <f>D31/SUM(D33:D34,D30:D31)</f>
        <v>0.24155844155844156</v>
      </c>
      <c r="E37" s="147" t="s">
        <v>924</v>
      </c>
    </row>
    <row r="38" spans="2:7" x14ac:dyDescent="0.25">
      <c r="C38" s="147" t="s">
        <v>925</v>
      </c>
      <c r="D38" s="147">
        <v>2005</v>
      </c>
      <c r="E38" s="147"/>
    </row>
    <row r="39" spans="2:7" x14ac:dyDescent="0.25">
      <c r="C39" t="str">
        <f>CONCATENATE(C36,D36,E36,F36,G36,C37,TEXT(D37,"0%"),E37,C38)</f>
        <v>Total Active positions by Source till end August 2005are972.
Major source has been direct hires,  constituting 24%* of the total recruitment.
* Internal transfers not considered.</v>
      </c>
    </row>
    <row r="44" spans="2:7" ht="15.75" thickBot="1" x14ac:dyDescent="0.3"/>
    <row r="45" spans="2:7" x14ac:dyDescent="0.25">
      <c r="B45" s="225" t="s">
        <v>270</v>
      </c>
      <c r="C45" s="49" t="s">
        <v>269</v>
      </c>
      <c r="D45" s="227" t="s">
        <v>268</v>
      </c>
    </row>
    <row r="46" spans="2:7" ht="15.75" thickBot="1" x14ac:dyDescent="0.3">
      <c r="B46" s="226"/>
      <c r="C46" s="50">
        <v>2017</v>
      </c>
      <c r="D46" s="228"/>
    </row>
    <row r="47" spans="2:7" x14ac:dyDescent="0.25">
      <c r="B47" s="51" t="str">
        <f>TEXT(DATE($C$46,D47,1),"MMM 'YY")</f>
        <v>Jan '17</v>
      </c>
      <c r="C47" s="46">
        <f>COUNTIFS(Data!$AG$3:$AG$996,$C$46,Data!$AF$3:$AF$996,D47)+COUNTIFS(Emp_Reg!J2:J102,$C$46,Emp_Reg!I2:I102,D47)</f>
        <v>1</v>
      </c>
      <c r="D47" s="16">
        <v>1</v>
      </c>
      <c r="F47" t="s">
        <v>434</v>
      </c>
    </row>
    <row r="48" spans="2:7" x14ac:dyDescent="0.25">
      <c r="B48" s="44" t="str">
        <f>TEXT(DATE($C$46,D48,1),"MMM 'YY")</f>
        <v>Feb '17</v>
      </c>
      <c r="C48" s="47">
        <f>COUNTIFS(Data!$AG$3:$AG$996,$C$46,Data!$AF$3:$AF$996,D48)+COUNTIFS(Emp_Reg!J3:J103,$C$46,Emp_Reg!I3:I103,D48)</f>
        <v>2</v>
      </c>
      <c r="D48" s="17">
        <v>2</v>
      </c>
    </row>
    <row r="49" spans="2:14" x14ac:dyDescent="0.25">
      <c r="B49" s="44" t="str">
        <f t="shared" ref="B49:B57" si="2">TEXT(DATE($C$46,D49,1),"MMM 'YY")</f>
        <v>Mar '17</v>
      </c>
      <c r="C49" s="47">
        <f>COUNTIFS(Data!$AG$3:$AG$996,$C$46,Data!$AF$3:$AF$996,D49)+COUNTIFS(Emp_Reg!J4:J104,$C$46,Emp_Reg!I4:I104,D49)</f>
        <v>2</v>
      </c>
      <c r="D49" s="17">
        <v>3</v>
      </c>
    </row>
    <row r="50" spans="2:14" x14ac:dyDescent="0.25">
      <c r="B50" s="44" t="str">
        <f t="shared" si="2"/>
        <v>Apr '17</v>
      </c>
      <c r="C50" s="47">
        <f>COUNTIFS(Data!$AG$3:$AG$996,$C$46,Data!$AF$3:$AF$996,D50)+COUNTIFS(Emp_Reg!J5:J105,$C$46,Emp_Reg!I5:I105,D50)</f>
        <v>1</v>
      </c>
      <c r="D50" s="17">
        <v>4</v>
      </c>
    </row>
    <row r="51" spans="2:14" x14ac:dyDescent="0.25">
      <c r="B51" s="44" t="str">
        <f t="shared" si="2"/>
        <v>May '17</v>
      </c>
      <c r="C51" s="47">
        <f>COUNTIFS(Data!$AG$3:$AG$996,$C$46,Data!$AF$3:$AF$996,D51)+COUNTIFS(Emp_Reg!J6:J106,$C$46,Emp_Reg!I6:I106,D51)</f>
        <v>2</v>
      </c>
      <c r="D51" s="17">
        <v>5</v>
      </c>
    </row>
    <row r="52" spans="2:14" x14ac:dyDescent="0.25">
      <c r="B52" s="44" t="str">
        <f t="shared" si="2"/>
        <v>Jun '17</v>
      </c>
      <c r="C52" s="132">
        <f>COUNTIFS(Data!$AG$3:$AG$996,$C$46,Data!$AF$3:$AF$996,D52)+COUNTIFS(Emp_Reg!J7:J107,$C$46,Emp_Reg!I7:I107,D52)</f>
        <v>1</v>
      </c>
      <c r="D52" s="17">
        <v>6</v>
      </c>
    </row>
    <row r="53" spans="2:14" x14ac:dyDescent="0.25">
      <c r="B53" s="44" t="str">
        <f t="shared" si="2"/>
        <v>Jul '17</v>
      </c>
      <c r="C53" s="47">
        <f>COUNTIFS(Data!$AG$3:$AG$996,$C$46,Data!$AF$3:$AF$996,D53)+COUNTIFS(Emp_Reg!J8:J108,$C$46,Emp_Reg!I8:I108,D53)</f>
        <v>0</v>
      </c>
      <c r="D53" s="17">
        <v>7</v>
      </c>
    </row>
    <row r="54" spans="2:14" x14ac:dyDescent="0.25">
      <c r="B54" s="44" t="str">
        <f t="shared" si="2"/>
        <v>Aug '17</v>
      </c>
      <c r="C54" s="132">
        <f>COUNTIFS(Data!$AG$3:$AG$996,$C$46,Data!$AF$3:$AF$996,D54)+COUNTIFS(Emp_Reg!J9:J109,$C$46,Emp_Reg!I9:I109,D54)</f>
        <v>1</v>
      </c>
      <c r="D54" s="17">
        <v>8</v>
      </c>
    </row>
    <row r="55" spans="2:14" x14ac:dyDescent="0.25">
      <c r="B55" s="44" t="str">
        <f t="shared" si="2"/>
        <v>Sep '17</v>
      </c>
      <c r="C55" s="47"/>
      <c r="D55" s="17">
        <v>9</v>
      </c>
    </row>
    <row r="56" spans="2:14" x14ac:dyDescent="0.25">
      <c r="B56" s="44" t="str">
        <f t="shared" si="2"/>
        <v>Oct '17</v>
      </c>
      <c r="C56" s="47"/>
      <c r="D56" s="17">
        <v>10</v>
      </c>
    </row>
    <row r="57" spans="2:14" x14ac:dyDescent="0.25">
      <c r="B57" s="44" t="str">
        <f t="shared" si="2"/>
        <v>Nov '17</v>
      </c>
      <c r="C57" s="47"/>
      <c r="D57" s="17">
        <v>11</v>
      </c>
    </row>
    <row r="58" spans="2:14" ht="15.75" thickBot="1" x14ac:dyDescent="0.3">
      <c r="B58" s="45" t="str">
        <f t="shared" ref="B58" si="3">TEXT(DATE($D$38,D58,1),"MMM 'YY")</f>
        <v>Dec '05</v>
      </c>
      <c r="C58" s="48"/>
      <c r="D58" s="18">
        <v>12</v>
      </c>
    </row>
    <row r="62" spans="2:14" ht="15.75" thickBot="1" x14ac:dyDescent="0.3">
      <c r="B62" s="234" t="s">
        <v>422</v>
      </c>
      <c r="C62" s="234"/>
      <c r="D62" s="234"/>
      <c r="E62" s="234"/>
      <c r="F62" s="234"/>
    </row>
    <row r="63" spans="2:14" x14ac:dyDescent="0.25">
      <c r="B63" s="133">
        <v>2017</v>
      </c>
      <c r="C63" s="137">
        <v>1</v>
      </c>
      <c r="D63" s="135">
        <v>2</v>
      </c>
      <c r="E63" s="135">
        <v>3</v>
      </c>
      <c r="F63" s="135">
        <v>4</v>
      </c>
      <c r="G63" s="135">
        <v>5</v>
      </c>
      <c r="H63" s="135">
        <v>6</v>
      </c>
      <c r="I63" s="135">
        <v>7</v>
      </c>
      <c r="J63" s="135">
        <v>8</v>
      </c>
      <c r="K63" s="135">
        <v>9</v>
      </c>
      <c r="L63" s="135">
        <v>10</v>
      </c>
      <c r="M63" s="135">
        <v>11</v>
      </c>
      <c r="N63" s="136">
        <v>12</v>
      </c>
    </row>
    <row r="64" spans="2:14" ht="15.75" thickBot="1" x14ac:dyDescent="0.3">
      <c r="B64" s="134"/>
      <c r="C64" s="138" t="s">
        <v>2072</v>
      </c>
      <c r="D64" s="139" t="s">
        <v>2073</v>
      </c>
      <c r="E64" s="139" t="s">
        <v>2074</v>
      </c>
      <c r="F64" s="139" t="s">
        <v>2075</v>
      </c>
      <c r="G64" s="139" t="s">
        <v>2076</v>
      </c>
      <c r="H64" s="139" t="s">
        <v>2077</v>
      </c>
      <c r="I64" s="139" t="s">
        <v>2078</v>
      </c>
      <c r="J64" s="139" t="s">
        <v>2079</v>
      </c>
      <c r="K64" s="139" t="s">
        <v>2080</v>
      </c>
      <c r="L64" s="139" t="s">
        <v>2081</v>
      </c>
      <c r="M64" s="139" t="s">
        <v>2082</v>
      </c>
      <c r="N64" s="140" t="s">
        <v>2083</v>
      </c>
    </row>
    <row r="65" spans="2:16" x14ac:dyDescent="0.25">
      <c r="B65" s="51" t="s">
        <v>421</v>
      </c>
      <c r="C65" s="46">
        <f>SUM(C66:C67)</f>
        <v>8</v>
      </c>
      <c r="D65" s="205">
        <f t="shared" ref="D65:J65" si="4">SUM(D66:D67)</f>
        <v>15</v>
      </c>
      <c r="E65" s="205">
        <f t="shared" si="4"/>
        <v>10</v>
      </c>
      <c r="F65" s="205">
        <f t="shared" si="4"/>
        <v>19</v>
      </c>
      <c r="G65" s="205">
        <f t="shared" si="4"/>
        <v>16</v>
      </c>
      <c r="H65" s="205">
        <f t="shared" si="4"/>
        <v>9</v>
      </c>
      <c r="I65" s="205">
        <f t="shared" si="4"/>
        <v>11</v>
      </c>
      <c r="J65" s="205">
        <f t="shared" si="4"/>
        <v>19</v>
      </c>
      <c r="K65" s="205"/>
      <c r="L65" s="67"/>
      <c r="M65" s="67"/>
      <c r="N65" s="88"/>
      <c r="O65">
        <f>SUM(C65:N65)</f>
        <v>107</v>
      </c>
      <c r="P65" s="141"/>
    </row>
    <row r="66" spans="2:16" x14ac:dyDescent="0.25">
      <c r="B66" s="44" t="s">
        <v>414</v>
      </c>
      <c r="C66" s="47">
        <f>COUNTIFS(Reg_NotReg!$U$2:$U$400,$B$63,Reg_NotReg!$S$2:$S$400,C$63,Reg_NotReg!$Q$2:$Q$400,$B$66)</f>
        <v>2</v>
      </c>
      <c r="D66" s="43">
        <f>COUNTIFS(Reg_NotReg!$U$2:$U$400,$B$63,Reg_NotReg!$S$2:$S$400,D$63,Reg_NotReg!$Q$2:$Q$400,$B$66)</f>
        <v>3</v>
      </c>
      <c r="E66" s="43">
        <f>COUNTIFS(Reg_NotReg!$U$2:$U$400,$B$63,Reg_NotReg!$S$2:$S$400,E$63,Reg_NotReg!$Q$2:$Q$400,$B$66)</f>
        <v>3</v>
      </c>
      <c r="F66" s="43">
        <f>COUNTIFS(Reg_NotReg!$U$2:$U$400,$B$63,Reg_NotReg!$S$2:$S$400,F$63,Reg_NotReg!$Q$2:$Q$400,$B$66)</f>
        <v>5</v>
      </c>
      <c r="G66" s="43">
        <f>COUNTIFS(Reg_NotReg!$U$2:$U$400,$B$63,Reg_NotReg!$S$2:$S$400,G$63,Reg_NotReg!$Q$2:$Q$400,$B$66)</f>
        <v>4</v>
      </c>
      <c r="H66" s="43">
        <f>COUNTIFS(Reg_NotReg!$U$2:$U$400,$B$63,Reg_NotReg!$S$2:$S$400,H$63,Reg_NotReg!$Q$2:$Q$400,$B$66)</f>
        <v>3</v>
      </c>
      <c r="I66" s="43">
        <f>COUNTIFS(Reg_NotReg!$U$2:$U$400,$B$63,Reg_NotReg!$S$2:$S$400,I$63,Reg_NotReg!$Q$2:$Q$400,$B$66)</f>
        <v>3</v>
      </c>
      <c r="J66" s="43">
        <f>COUNTIFS(Reg_NotReg!$U$2:$U$400,$B$63,Reg_NotReg!$S$2:$S$400,J$63,Reg_NotReg!$Q$2:$Q$400,$B$66)</f>
        <v>3</v>
      </c>
      <c r="K66" s="43"/>
      <c r="L66" s="15"/>
      <c r="M66" s="15"/>
      <c r="N66" s="17"/>
      <c r="O66">
        <f>SUM(C66:N66)</f>
        <v>26</v>
      </c>
      <c r="P66" s="141">
        <f t="shared" ref="P66:P67" si="5">O66/$O$65</f>
        <v>0.24299065420560748</v>
      </c>
    </row>
    <row r="67" spans="2:16" ht="15.75" thickBot="1" x14ac:dyDescent="0.3">
      <c r="B67" s="45" t="s">
        <v>416</v>
      </c>
      <c r="C67" s="48">
        <f>COUNTIFS(Reg_NotReg!$U$2:$U$400,$B$63,Reg_NotReg!$S$2:$S$400,C$63,Reg_NotReg!$Q$2:$Q$400,$B$67)</f>
        <v>6</v>
      </c>
      <c r="D67" s="58">
        <f>COUNTIFS(Reg_NotReg!$U$2:$U$400,$B$63,Reg_NotReg!$S$2:$S$400,D$63,Reg_NotReg!$Q$2:$Q$400,$B$67)</f>
        <v>12</v>
      </c>
      <c r="E67" s="58">
        <f>COUNTIFS(Reg_NotReg!$U$2:$U$400,$B$63,Reg_NotReg!$S$2:$S$400,E$63,Reg_NotReg!$Q$2:$Q$400,$B$67)</f>
        <v>7</v>
      </c>
      <c r="F67" s="58">
        <f>COUNTIFS(Reg_NotReg!$U$2:$U$400,$B$63,Reg_NotReg!$S$2:$S$400,F$63,Reg_NotReg!$Q$2:$Q$400,$B$67)</f>
        <v>14</v>
      </c>
      <c r="G67" s="58">
        <f>COUNTIFS(Reg_NotReg!$U$2:$U$400,$B$63,Reg_NotReg!$S$2:$S$400,G$63,Reg_NotReg!$Q$2:$Q$400,$B$67)</f>
        <v>12</v>
      </c>
      <c r="H67" s="58">
        <f>COUNTIFS(Reg_NotReg!$U$2:$U$400,$B$63,Reg_NotReg!$S$2:$S$400,H$63,Reg_NotReg!$Q$2:$Q$400,$B$67)</f>
        <v>6</v>
      </c>
      <c r="I67" s="58">
        <f>COUNTIFS(Reg_NotReg!$U$2:$U$400,$B$63,Reg_NotReg!$S$2:$S$400,I$63,Reg_NotReg!$Q$2:$Q$400,$B$67)</f>
        <v>8</v>
      </c>
      <c r="J67" s="58">
        <f>COUNTIFS(Reg_NotReg!$U$2:$U$400,$B$63,Reg_NotReg!$S$2:$S$400,J$63,Reg_NotReg!$Q$2:$Q$400,$B$67)</f>
        <v>16</v>
      </c>
      <c r="K67" s="58"/>
      <c r="L67" s="56"/>
      <c r="M67" s="56"/>
      <c r="N67" s="18"/>
      <c r="O67">
        <f>SUM(C67:N67)</f>
        <v>81</v>
      </c>
      <c r="P67" s="141">
        <f t="shared" si="5"/>
        <v>0.7570093457943925</v>
      </c>
    </row>
    <row r="69" spans="2:16" x14ac:dyDescent="0.25">
      <c r="B69" t="s">
        <v>423</v>
      </c>
      <c r="C69" t="s">
        <v>424</v>
      </c>
      <c r="D69" s="142">
        <f>P66</f>
        <v>0.24299065420560748</v>
      </c>
      <c r="E69" t="s">
        <v>425</v>
      </c>
    </row>
    <row r="70" spans="2:16" x14ac:dyDescent="0.25">
      <c r="C70" t="str">
        <f>CONCATENATE(C69,TEXT(D69," 0% "),E69)</f>
        <v>Overall regretted resignations are  24% of the total.</v>
      </c>
    </row>
    <row r="72" spans="2:16" x14ac:dyDescent="0.25">
      <c r="F72" s="211" t="s">
        <v>926</v>
      </c>
      <c r="G72" s="212" t="s">
        <v>927</v>
      </c>
    </row>
    <row r="79" spans="2:16" ht="15.75" thickBot="1" x14ac:dyDescent="0.3">
      <c r="D79" s="233">
        <f>SUM(D81:E81)</f>
        <v>265</v>
      </c>
      <c r="E79" s="233"/>
      <c r="F79" s="233">
        <f>SUM(F81:G81)</f>
        <v>218</v>
      </c>
      <c r="G79" s="233"/>
    </row>
    <row r="80" spans="2:16" ht="15.75" thickBot="1" x14ac:dyDescent="0.3">
      <c r="B80" s="14"/>
      <c r="C80" s="14"/>
      <c r="D80" s="229" t="s">
        <v>2067</v>
      </c>
      <c r="E80" s="230"/>
      <c r="F80" s="231" t="s">
        <v>2063</v>
      </c>
      <c r="G80" s="232"/>
    </row>
    <row r="81" spans="2:8" ht="15.75" thickBot="1" x14ac:dyDescent="0.3">
      <c r="B81" s="14"/>
      <c r="C81" s="76" t="s">
        <v>266</v>
      </c>
      <c r="D81" s="52">
        <f>SUM(D83:D95)</f>
        <v>134</v>
      </c>
      <c r="E81" s="53">
        <f>SUM(E83:E95)</f>
        <v>131</v>
      </c>
      <c r="F81" s="54">
        <f>SUM(F83:F95)</f>
        <v>134</v>
      </c>
      <c r="G81" s="53">
        <f>SUM(G83:G95)</f>
        <v>84</v>
      </c>
    </row>
    <row r="82" spans="2:8" ht="15.75" thickBot="1" x14ac:dyDescent="0.3">
      <c r="B82" s="14"/>
      <c r="C82" s="93"/>
      <c r="D82" s="74" t="s">
        <v>2060</v>
      </c>
      <c r="E82" s="75" t="s">
        <v>2061</v>
      </c>
      <c r="F82" s="74" t="s">
        <v>2060</v>
      </c>
      <c r="G82" s="75" t="s">
        <v>2061</v>
      </c>
    </row>
    <row r="83" spans="2:8" x14ac:dyDescent="0.25">
      <c r="B83" s="14" t="str">
        <f>IF(Masters!A2&lt;&gt;"",Masters!A2,"")</f>
        <v>Corporate Management Group</v>
      </c>
      <c r="C83" s="77" t="str">
        <f>IF(Masters!A2&lt;&gt;"",Masters!A2,"")</f>
        <v>Corporate Management Group</v>
      </c>
      <c r="D83" s="57">
        <f>COUNTIFS(Data!$C$3:$C$996,$C83,Data!$AD$3:$AD$996,$D$82)</f>
        <v>61</v>
      </c>
      <c r="E83" s="55">
        <f>COUNTIFS(Data!$C$3:$C$996,$C83,Data!$AD$3:$AD$996,$E$82)</f>
        <v>38</v>
      </c>
      <c r="F83" s="55">
        <f>COUNTIFS(Data!$C$3:$C$996,$C83,Data!$AC$3:$AC$996,$F$80,Data!$AD$3:$AD$996,$F$82)</f>
        <v>61</v>
      </c>
      <c r="G83" s="16">
        <f>COUNTIFS(Data!$C$3:$C$996,$C83,Data!$AC$3:$AC$996,$F$80,Data!$AD$3:$AD$996,$G$82)</f>
        <v>25</v>
      </c>
    </row>
    <row r="84" spans="2:8" x14ac:dyDescent="0.25">
      <c r="B84" s="14" t="str">
        <f>IF(Masters!A3&lt;&gt;"",Masters!A3,"")</f>
        <v>Strategy Office</v>
      </c>
      <c r="C84" s="78" t="str">
        <f>IF(Masters!A3&lt;&gt;"",Masters!A3,"")</f>
        <v>Strategy Office</v>
      </c>
      <c r="D84" s="43">
        <f>COUNTIFS(Data!$C$3:$C$996,$C84,Data!$AD$3:$AD$996,$D$82)</f>
        <v>7</v>
      </c>
      <c r="E84" s="15">
        <f>COUNTIFS(Data!$C$3:$C$996,$C84,Data!$AD$3:$AD$996,$E$82)</f>
        <v>5</v>
      </c>
      <c r="F84" s="15">
        <f>COUNTIFS(Data!$C$3:$C$996,$C84,Data!$AC$3:$AC$996,$F$80,Data!$AD$3:$AD$996,$F$82)</f>
        <v>7</v>
      </c>
      <c r="G84" s="17">
        <f>COUNTIFS(Data!$C$3:$C$996,$C84,Data!$AC$3:$AC$996,$F$80,Data!$AD$3:$AD$996,$G$82)</f>
        <v>4</v>
      </c>
    </row>
    <row r="85" spans="2:8" x14ac:dyDescent="0.25">
      <c r="B85" s="14" t="str">
        <f>IF(Masters!A4&lt;&gt;"",Masters!A4,"")</f>
        <v>Marketing Office</v>
      </c>
      <c r="C85" s="78" t="str">
        <f>IF(Masters!A4&lt;&gt;"",Masters!A4,"")</f>
        <v>Marketing Office</v>
      </c>
      <c r="D85" s="43">
        <f>COUNTIFS(Data!$C$3:$C$996,$C85,Data!$AD$3:$AD$996,$D$82)</f>
        <v>5</v>
      </c>
      <c r="E85" s="15">
        <f>COUNTIFS(Data!$C$3:$C$996,$C85,Data!$AD$3:$AD$996,$E$82)</f>
        <v>5</v>
      </c>
      <c r="F85" s="15">
        <f>COUNTIFS(Data!$C$3:$C$996,$C85,Data!$AC$3:$AC$996,$F$80,Data!$AD$3:$AD$996,$F$82)</f>
        <v>5</v>
      </c>
      <c r="G85" s="17">
        <f>COUNTIFS(Data!$C$3:$C$996,$C85,Data!$AC$3:$AC$996,$F$80,Data!$AD$3:$AD$996,$G$82)</f>
        <v>1</v>
      </c>
    </row>
    <row r="86" spans="2:8" x14ac:dyDescent="0.25">
      <c r="B86" s="14" t="str">
        <f>IF(Masters!A5&lt;&gt;"",Masters!A5,"")</f>
        <v>Company Law Office</v>
      </c>
      <c r="C86" s="78" t="str">
        <f>IF(Masters!A5&lt;&gt;"",Masters!A5,"")</f>
        <v>Company Law Office</v>
      </c>
      <c r="D86" s="43">
        <f>COUNTIFS(Data!$C$3:$C$996,$C86,Data!$AD$3:$AD$996,$D$82)</f>
        <v>1</v>
      </c>
      <c r="E86" s="15">
        <f>COUNTIFS(Data!$C$3:$C$996,$C86,Data!$AD$3:$AD$996,$E$82)</f>
        <v>5</v>
      </c>
      <c r="F86" s="15">
        <f>COUNTIFS(Data!$C$3:$C$996,$C86,Data!$AC$3:$AC$996,$F$80,Data!$AD$3:$AD$996,$F$82)</f>
        <v>1</v>
      </c>
      <c r="G86" s="17">
        <f>COUNTIFS(Data!$C$3:$C$996,$C86,Data!$AC$3:$AC$996,$F$80,Data!$AD$3:$AD$996,$G$82)</f>
        <v>2</v>
      </c>
    </row>
    <row r="87" spans="2:8" x14ac:dyDescent="0.25">
      <c r="B87" s="14" t="str">
        <f>IF(Masters!A6&lt;&gt;"",Masters!A6,"")</f>
        <v>Tele Communication Office</v>
      </c>
      <c r="C87" s="78" t="str">
        <f>IF(Masters!A6&lt;&gt;"",Masters!A6,"")</f>
        <v>Tele Communication Office</v>
      </c>
      <c r="D87" s="43">
        <f>COUNTIFS(Data!$C$3:$C$996,$C87,Data!$AD$3:$AD$996,$D$82)</f>
        <v>4</v>
      </c>
      <c r="E87" s="15">
        <f>COUNTIFS(Data!$C$3:$C$996,$C87,Data!$AD$3:$AD$996,$E$82)</f>
        <v>3</v>
      </c>
      <c r="F87" s="15">
        <f>COUNTIFS(Data!$C$3:$C$996,$C87,Data!$AC$3:$AC$996,$F$80,Data!$AD$3:$AD$996,$F$82)</f>
        <v>4</v>
      </c>
      <c r="G87" s="17">
        <f>COUNTIFS(Data!$C$3:$C$996,$C87,Data!$AC$3:$AC$996,$F$80,Data!$AD$3:$AD$996,$G$82)</f>
        <v>2</v>
      </c>
    </row>
    <row r="88" spans="2:8" x14ac:dyDescent="0.25">
      <c r="B88" s="14" t="str">
        <f>IF(Masters!A7&lt;&gt;"",Masters!A7,"")</f>
        <v>Training Department</v>
      </c>
      <c r="C88" s="78" t="str">
        <f>IF(Masters!A7&lt;&gt;"",Masters!A7,"")</f>
        <v>Training Department</v>
      </c>
      <c r="D88" s="43">
        <f>COUNTIFS(Data!$C$3:$C$996,$C88,Data!$AD$3:$AD$996,$D$82)</f>
        <v>11</v>
      </c>
      <c r="E88" s="15">
        <f>COUNTIFS(Data!$C$3:$C$996,$C88,Data!$AD$3:$AD$996,$E$82)</f>
        <v>9</v>
      </c>
      <c r="F88" s="15">
        <f>COUNTIFS(Data!$C$3:$C$996,$C88,Data!$AC$3:$AC$996,$F$80,Data!$AD$3:$AD$996,$F$82)</f>
        <v>11</v>
      </c>
      <c r="G88" s="17">
        <f>COUNTIFS(Data!$C$3:$C$996,$C88,Data!$AC$3:$AC$996,$F$80,Data!$AD$3:$AD$996,$G$82)</f>
        <v>7</v>
      </c>
    </row>
    <row r="89" spans="2:8" x14ac:dyDescent="0.25">
      <c r="B89" s="14" t="str">
        <f>IF(Masters!A8&lt;&gt;"",Masters!A8,"")</f>
        <v>Human Capital Development Office</v>
      </c>
      <c r="C89" s="78" t="str">
        <f>IF(Masters!A8&lt;&gt;"",Masters!A8,"")</f>
        <v>Human Capital Development Office</v>
      </c>
      <c r="D89" s="43">
        <f>COUNTIFS(Data!$C$3:$C$996,$C89,Data!$AD$3:$AD$996,$D$82)</f>
        <v>3</v>
      </c>
      <c r="E89" s="15">
        <f>COUNTIFS(Data!$C$3:$C$996,$C89,Data!$AD$3:$AD$996,$E$82)</f>
        <v>2</v>
      </c>
      <c r="F89" s="15">
        <f>COUNTIFS(Data!$C$3:$C$996,$C89,Data!$AC$3:$AC$996,$F$80,Data!$AD$3:$AD$996,$F$82)</f>
        <v>3</v>
      </c>
      <c r="G89" s="17">
        <f>COUNTIFS(Data!$C$3:$C$996,$C89,Data!$AC$3:$AC$996,$F$80,Data!$AD$3:$AD$996,$G$82)</f>
        <v>2</v>
      </c>
    </row>
    <row r="90" spans="2:8" x14ac:dyDescent="0.25">
      <c r="B90" s="14" t="str">
        <f>IF(Masters!A9&lt;&gt;"",Masters!A9,"")</f>
        <v>Sales Department</v>
      </c>
      <c r="C90" s="78" t="str">
        <f>IF(Masters!A9&lt;&gt;"",Masters!A9,"")</f>
        <v>Sales Department</v>
      </c>
      <c r="D90" s="43">
        <f>COUNTIFS(Data!$C$3:$C$996,$C90,Data!$AD$3:$AD$996,$D$82)</f>
        <v>8</v>
      </c>
      <c r="E90" s="15">
        <f>COUNTIFS(Data!$C$3:$C$996,$C90,Data!$AD$3:$AD$996,$E$82)</f>
        <v>8</v>
      </c>
      <c r="F90" s="15">
        <f>COUNTIFS(Data!$C$3:$C$996,$C90,Data!$AC$3:$AC$996,$F$80,Data!$AD$3:$AD$996,$F$82)</f>
        <v>8</v>
      </c>
      <c r="G90" s="17">
        <f>COUNTIFS(Data!$C$3:$C$996,$C90,Data!$AC$3:$AC$996,$F$80,Data!$AD$3:$AD$996,$G$82)</f>
        <v>4</v>
      </c>
    </row>
    <row r="91" spans="2:8" x14ac:dyDescent="0.25">
      <c r="B91" s="14" t="str">
        <f>IF(Masters!A10&lt;&gt;"",Masters!A10,"")</f>
        <v>Operational Risk Department</v>
      </c>
      <c r="C91" s="78" t="str">
        <f>IF(Masters!A10&lt;&gt;"",Masters!A10,"")</f>
        <v>Operational Risk Department</v>
      </c>
      <c r="D91" s="43">
        <f>COUNTIFS(Data!$C$3:$C$996,$C91,Data!$AD$3:$AD$996,$D$82)</f>
        <v>0</v>
      </c>
      <c r="E91" s="15">
        <f>COUNTIFS(Data!$C$3:$C$996,$C91,Data!$AD$3:$AD$996,$E$82)</f>
        <v>5</v>
      </c>
      <c r="F91" s="15">
        <f>COUNTIFS(Data!$C$3:$C$996,$C91,Data!$AC$3:$AC$996,$F$80,Data!$AD$3:$AD$996,$F$82)</f>
        <v>0</v>
      </c>
      <c r="G91" s="17">
        <f>COUNTIFS(Data!$C$3:$C$996,$C91,Data!$AC$3:$AC$996,$F$80,Data!$AD$3:$AD$996,$G$82)</f>
        <v>3</v>
      </c>
    </row>
    <row r="92" spans="2:8" x14ac:dyDescent="0.25">
      <c r="B92" s="14" t="str">
        <f>IF(Masters!A11&lt;&gt;"",Masters!A11,"")</f>
        <v>Finance Department</v>
      </c>
      <c r="C92" s="78" t="str">
        <f>IF(Masters!A11&lt;&gt;"",Masters!A11,"")</f>
        <v>Finance Department</v>
      </c>
      <c r="D92" s="43">
        <f>COUNTIFS(Data!$C$3:$C$996,$C92,Data!$AD$3:$AD$996,$D$82)</f>
        <v>15</v>
      </c>
      <c r="E92" s="15">
        <f>COUNTIFS(Data!$C$3:$C$996,$C92,Data!$AD$3:$AD$996,$E$82)</f>
        <v>12</v>
      </c>
      <c r="F92" s="15">
        <f>COUNTIFS(Data!$C$3:$C$996,$C92,Data!$AC$3:$AC$996,$F$80,Data!$AD$3:$AD$996,$F$82)</f>
        <v>15</v>
      </c>
      <c r="G92" s="17">
        <f>COUNTIFS(Data!$C$3:$C$996,$C92,Data!$AC$3:$AC$996,$F$80,Data!$AD$3:$AD$996,$G$82)</f>
        <v>9</v>
      </c>
    </row>
    <row r="93" spans="2:8" x14ac:dyDescent="0.25">
      <c r="B93" s="14" t="str">
        <f>IF(Masters!A12&lt;&gt;"",Masters!A12,"")</f>
        <v>Operations Department</v>
      </c>
      <c r="C93" s="78" t="str">
        <f>IF(Masters!A12&lt;&gt;"",Masters!A12,"")</f>
        <v>Operations Department</v>
      </c>
      <c r="D93" s="43">
        <f>COUNTIFS(Data!$C$3:$C$996,$C93,Data!$AD$3:$AD$996,$D$82)</f>
        <v>7</v>
      </c>
      <c r="E93" s="15">
        <f>COUNTIFS(Data!$C$3:$C$996,$C93,Data!$AD$3:$AD$996,$E$82)</f>
        <v>11</v>
      </c>
      <c r="F93" s="15">
        <f>COUNTIFS(Data!$C$3:$C$996,$C93,Data!$AC$3:$AC$996,$F$80,Data!$AD$3:$AD$996,$F$82)</f>
        <v>7</v>
      </c>
      <c r="G93" s="17">
        <f>COUNTIFS(Data!$C$3:$C$996,$C93,Data!$AC$3:$AC$996,$F$80,Data!$AD$3:$AD$996,$G$82)</f>
        <v>7</v>
      </c>
    </row>
    <row r="94" spans="2:8" x14ac:dyDescent="0.25">
      <c r="B94" s="14" t="str">
        <f>IF(Masters!A13&lt;&gt;"",Masters!A13,"")</f>
        <v>Risk Management</v>
      </c>
      <c r="C94" s="78" t="str">
        <f>IF(Masters!A13&lt;&gt;"",Masters!A13,"")</f>
        <v>Risk Management</v>
      </c>
      <c r="D94" s="43">
        <f>COUNTIFS(Data!$C$3:$C$996,$C94,Data!$AD$3:$AD$996,$D$82)</f>
        <v>8</v>
      </c>
      <c r="E94" s="15">
        <f>COUNTIFS(Data!$C$3:$C$996,$C94,Data!$AD$3:$AD$996,$E$82)</f>
        <v>22</v>
      </c>
      <c r="F94" s="15">
        <f>COUNTIFS(Data!$C$3:$C$996,$C94,Data!$AC$3:$AC$996,$F$80,Data!$AD$3:$AD$996,$F$82)</f>
        <v>8</v>
      </c>
      <c r="G94" s="17">
        <f>COUNTIFS(Data!$C$3:$C$996,$C94,Data!$AC$3:$AC$996,$F$80,Data!$AD$3:$AD$996,$G$82)</f>
        <v>14</v>
      </c>
    </row>
    <row r="95" spans="2:8" ht="15.75" thickBot="1" x14ac:dyDescent="0.3">
      <c r="B95" s="14" t="str">
        <f>IF(Masters!A14&lt;&gt;"",Masters!A14,"")</f>
        <v>Financial Planning Department</v>
      </c>
      <c r="C95" s="79" t="str">
        <f>IF(Masters!A14&lt;&gt;"",Masters!A14,"")</f>
        <v>Financial Planning Department</v>
      </c>
      <c r="D95" s="58">
        <f>COUNTIFS(Data!$C$3:$C$996,$C95,Data!$AD$3:$AD$996,$D$82)</f>
        <v>4</v>
      </c>
      <c r="E95" s="56">
        <f>COUNTIFS(Data!$C$3:$C$996,$C95,Data!$AD$3:$AD$996,$E$82)</f>
        <v>6</v>
      </c>
      <c r="F95" s="56">
        <f>COUNTIFS(Data!$C$3:$C$996,$C95,Data!$AC$3:$AC$996,$F$80,Data!$AD$3:$AD$996,$F$82)</f>
        <v>4</v>
      </c>
      <c r="G95" s="18">
        <f>COUNTIFS(Data!$C$3:$C$996,$C95,Data!$AC$3:$AC$996,$F$80,Data!$AD$3:$AD$996,$G$82)</f>
        <v>4</v>
      </c>
    </row>
    <row r="96" spans="2:8" x14ac:dyDescent="0.25">
      <c r="H96" t="str">
        <f>CONCATENATE(H97,TEXT(I97,"0%"),J97,K97)</f>
        <v>Year to Date Indian Nationals till August 2005 has been 61%, which is above the required 64%.
While inclusive of out-sourced, Kuwaitization is 58%, rationale being the concentration of outsourced staff in compliance, legal, IT Risk and Operations.</v>
      </c>
    </row>
    <row r="97" spans="3:12" ht="15.75" thickBot="1" x14ac:dyDescent="0.3">
      <c r="C97" t="s">
        <v>2071</v>
      </c>
      <c r="H97" s="146" t="s">
        <v>2070</v>
      </c>
      <c r="I97" s="145">
        <f>E100</f>
        <v>0.61467889908256879</v>
      </c>
      <c r="J97" t="s">
        <v>431</v>
      </c>
      <c r="K97" s="147" t="s">
        <v>432</v>
      </c>
    </row>
    <row r="98" spans="3:12" ht="15.75" thickBot="1" x14ac:dyDescent="0.3">
      <c r="C98" s="72" t="s">
        <v>272</v>
      </c>
      <c r="D98" s="73">
        <v>0.64</v>
      </c>
      <c r="E98" t="s">
        <v>2068</v>
      </c>
      <c r="K98" t="s">
        <v>2069</v>
      </c>
    </row>
    <row r="99" spans="3:12" ht="15.75" thickBot="1" x14ac:dyDescent="0.3">
      <c r="D99" s="69" t="s">
        <v>277</v>
      </c>
      <c r="E99" s="70" t="s">
        <v>171</v>
      </c>
      <c r="F99" s="70" t="s">
        <v>271</v>
      </c>
      <c r="G99" s="70" t="s">
        <v>272</v>
      </c>
      <c r="H99" s="70" t="s">
        <v>273</v>
      </c>
      <c r="I99" s="70" t="s">
        <v>274</v>
      </c>
      <c r="J99" s="70" t="s">
        <v>275</v>
      </c>
      <c r="K99" s="70" t="s">
        <v>45</v>
      </c>
      <c r="L99" s="71" t="s">
        <v>276</v>
      </c>
    </row>
    <row r="100" spans="3:12" x14ac:dyDescent="0.25">
      <c r="C100" s="51" t="s">
        <v>2065</v>
      </c>
      <c r="D100" s="65">
        <f>1-E100</f>
        <v>0.38532110091743121</v>
      </c>
      <c r="E100" s="66">
        <f>F81/F79</f>
        <v>0.61467889908256879</v>
      </c>
      <c r="F100" s="67">
        <v>0.36</v>
      </c>
      <c r="G100" s="66">
        <v>3.0000000000000001E-3</v>
      </c>
      <c r="H100" s="66">
        <f>$D$98*99.531%</f>
        <v>0.63699840000000008</v>
      </c>
      <c r="I100" s="67">
        <v>1.65</v>
      </c>
      <c r="J100" s="67">
        <v>0.65</v>
      </c>
      <c r="K100" s="66">
        <f t="shared" ref="K100:K114" si="6">1-E100</f>
        <v>0.38532110091743121</v>
      </c>
      <c r="L100" s="68">
        <f>1-K100</f>
        <v>0.61467889908256879</v>
      </c>
    </row>
    <row r="101" spans="3:12" x14ac:dyDescent="0.25">
      <c r="C101" s="44" t="s">
        <v>2066</v>
      </c>
      <c r="D101" s="63">
        <f>1-E101</f>
        <v>0.49433962264150944</v>
      </c>
      <c r="E101" s="59">
        <f>D81/D79</f>
        <v>0.50566037735849056</v>
      </c>
      <c r="F101" s="15">
        <v>0.36</v>
      </c>
      <c r="G101" s="59">
        <v>3.0000000000000001E-3</v>
      </c>
      <c r="H101" s="59">
        <f>$D$98*99.531%</f>
        <v>0.63699840000000008</v>
      </c>
      <c r="I101" s="15">
        <v>1.65</v>
      </c>
      <c r="J101" s="15">
        <v>0.65</v>
      </c>
      <c r="K101" s="59">
        <f t="shared" si="6"/>
        <v>0.49433962264150944</v>
      </c>
      <c r="L101" s="60">
        <f t="shared" ref="L101:L114" si="7">1-K101</f>
        <v>0.50566037735849056</v>
      </c>
    </row>
    <row r="102" spans="3:12" x14ac:dyDescent="0.25">
      <c r="C102" s="44" t="str">
        <f t="shared" ref="C102:C113" si="8">C83</f>
        <v>Corporate Management Group</v>
      </c>
      <c r="D102" s="63">
        <f t="shared" ref="D102:D114" si="9">1-E102</f>
        <v>0.38383838383838387</v>
      </c>
      <c r="E102" s="59">
        <f t="shared" ref="E102:E114" si="10">D83/SUM(D83:E83)</f>
        <v>0.61616161616161613</v>
      </c>
      <c r="F102" s="15">
        <v>0.36</v>
      </c>
      <c r="G102" s="59">
        <v>3.0000000000000001E-3</v>
      </c>
      <c r="H102" s="59">
        <f>$D$98*99.531%</f>
        <v>0.63699840000000008</v>
      </c>
      <c r="I102" s="15">
        <v>1.65</v>
      </c>
      <c r="J102" s="15">
        <v>0.65</v>
      </c>
      <c r="K102" s="59">
        <f t="shared" si="6"/>
        <v>0.38383838383838387</v>
      </c>
      <c r="L102" s="60">
        <f t="shared" si="7"/>
        <v>0.61616161616161613</v>
      </c>
    </row>
    <row r="103" spans="3:12" x14ac:dyDescent="0.25">
      <c r="C103" s="44" t="str">
        <f t="shared" si="8"/>
        <v>Strategy Office</v>
      </c>
      <c r="D103" s="63">
        <f t="shared" si="9"/>
        <v>0.41666666666666663</v>
      </c>
      <c r="E103" s="59">
        <f t="shared" si="10"/>
        <v>0.58333333333333337</v>
      </c>
      <c r="F103" s="15">
        <v>0.36</v>
      </c>
      <c r="G103" s="59">
        <v>3.0000000000000001E-3</v>
      </c>
      <c r="H103" s="59">
        <f t="shared" ref="H103:H113" si="11">$D$98*99.531%</f>
        <v>0.63699840000000008</v>
      </c>
      <c r="I103" s="15">
        <v>1.65</v>
      </c>
      <c r="J103" s="15">
        <v>0.65</v>
      </c>
      <c r="K103" s="59">
        <f t="shared" si="6"/>
        <v>0.41666666666666663</v>
      </c>
      <c r="L103" s="60">
        <f t="shared" si="7"/>
        <v>0.58333333333333337</v>
      </c>
    </row>
    <row r="104" spans="3:12" x14ac:dyDescent="0.25">
      <c r="C104" s="44" t="str">
        <f t="shared" si="8"/>
        <v>Marketing Office</v>
      </c>
      <c r="D104" s="63">
        <f t="shared" si="9"/>
        <v>0.5</v>
      </c>
      <c r="E104" s="59">
        <f t="shared" si="10"/>
        <v>0.5</v>
      </c>
      <c r="F104" s="15">
        <v>0.36</v>
      </c>
      <c r="G104" s="59">
        <v>3.0000000000000001E-3</v>
      </c>
      <c r="H104" s="59">
        <f t="shared" si="11"/>
        <v>0.63699840000000008</v>
      </c>
      <c r="I104" s="15">
        <v>1.65</v>
      </c>
      <c r="J104" s="15">
        <v>0.65</v>
      </c>
      <c r="K104" s="59">
        <f t="shared" si="6"/>
        <v>0.5</v>
      </c>
      <c r="L104" s="60">
        <f t="shared" si="7"/>
        <v>0.5</v>
      </c>
    </row>
    <row r="105" spans="3:12" x14ac:dyDescent="0.25">
      <c r="C105" s="44" t="str">
        <f t="shared" si="8"/>
        <v>Company Law Office</v>
      </c>
      <c r="D105" s="63">
        <f t="shared" si="9"/>
        <v>0.83333333333333337</v>
      </c>
      <c r="E105" s="59">
        <f t="shared" si="10"/>
        <v>0.16666666666666666</v>
      </c>
      <c r="F105" s="15">
        <v>0.36</v>
      </c>
      <c r="G105" s="59">
        <v>3.0000000000000001E-3</v>
      </c>
      <c r="H105" s="59">
        <f t="shared" si="11"/>
        <v>0.63699840000000008</v>
      </c>
      <c r="I105" s="15">
        <v>1.65</v>
      </c>
      <c r="J105" s="15">
        <v>0.65</v>
      </c>
      <c r="K105" s="59">
        <f t="shared" si="6"/>
        <v>0.83333333333333337</v>
      </c>
      <c r="L105" s="60">
        <f t="shared" si="7"/>
        <v>0.16666666666666663</v>
      </c>
    </row>
    <row r="106" spans="3:12" x14ac:dyDescent="0.25">
      <c r="C106" s="44" t="str">
        <f t="shared" si="8"/>
        <v>Tele Communication Office</v>
      </c>
      <c r="D106" s="63">
        <f t="shared" si="9"/>
        <v>0.4285714285714286</v>
      </c>
      <c r="E106" s="59">
        <f t="shared" si="10"/>
        <v>0.5714285714285714</v>
      </c>
      <c r="F106" s="15">
        <v>0.36</v>
      </c>
      <c r="G106" s="59">
        <v>3.0000000000000001E-3</v>
      </c>
      <c r="H106" s="59">
        <f t="shared" si="11"/>
        <v>0.63699840000000008</v>
      </c>
      <c r="I106" s="15">
        <v>1.65</v>
      </c>
      <c r="J106" s="15">
        <v>0.65</v>
      </c>
      <c r="K106" s="59">
        <f t="shared" si="6"/>
        <v>0.4285714285714286</v>
      </c>
      <c r="L106" s="60">
        <f t="shared" si="7"/>
        <v>0.5714285714285714</v>
      </c>
    </row>
    <row r="107" spans="3:12" x14ac:dyDescent="0.25">
      <c r="C107" s="44" t="str">
        <f t="shared" si="8"/>
        <v>Training Department</v>
      </c>
      <c r="D107" s="63">
        <f t="shared" si="9"/>
        <v>0.44999999999999996</v>
      </c>
      <c r="E107" s="59">
        <f t="shared" si="10"/>
        <v>0.55000000000000004</v>
      </c>
      <c r="F107" s="15">
        <v>0.36</v>
      </c>
      <c r="G107" s="59">
        <v>3.0000000000000001E-3</v>
      </c>
      <c r="H107" s="59">
        <f t="shared" si="11"/>
        <v>0.63699840000000008</v>
      </c>
      <c r="I107" s="15">
        <v>1.65</v>
      </c>
      <c r="J107" s="15">
        <v>0.65</v>
      </c>
      <c r="K107" s="59">
        <f t="shared" si="6"/>
        <v>0.44999999999999996</v>
      </c>
      <c r="L107" s="60">
        <f t="shared" si="7"/>
        <v>0.55000000000000004</v>
      </c>
    </row>
    <row r="108" spans="3:12" x14ac:dyDescent="0.25">
      <c r="C108" s="44" t="str">
        <f t="shared" si="8"/>
        <v>Human Capital Development Office</v>
      </c>
      <c r="D108" s="63">
        <f t="shared" si="9"/>
        <v>0.4</v>
      </c>
      <c r="E108" s="59">
        <f t="shared" si="10"/>
        <v>0.6</v>
      </c>
      <c r="F108" s="15">
        <v>0.36</v>
      </c>
      <c r="G108" s="59">
        <v>3.0000000000000001E-3</v>
      </c>
      <c r="H108" s="59">
        <f t="shared" si="11"/>
        <v>0.63699840000000008</v>
      </c>
      <c r="I108" s="15">
        <v>1.65</v>
      </c>
      <c r="J108" s="15">
        <v>0.65</v>
      </c>
      <c r="K108" s="59">
        <f t="shared" si="6"/>
        <v>0.4</v>
      </c>
      <c r="L108" s="60">
        <f t="shared" si="7"/>
        <v>0.6</v>
      </c>
    </row>
    <row r="109" spans="3:12" x14ac:dyDescent="0.25">
      <c r="C109" s="44" t="str">
        <f t="shared" si="8"/>
        <v>Sales Department</v>
      </c>
      <c r="D109" s="63">
        <f t="shared" si="9"/>
        <v>0.5</v>
      </c>
      <c r="E109" s="59">
        <f t="shared" si="10"/>
        <v>0.5</v>
      </c>
      <c r="F109" s="15">
        <v>0.36</v>
      </c>
      <c r="G109" s="59">
        <v>3.0000000000000001E-3</v>
      </c>
      <c r="H109" s="59">
        <f t="shared" si="11"/>
        <v>0.63699840000000008</v>
      </c>
      <c r="I109" s="15">
        <v>1.65</v>
      </c>
      <c r="J109" s="15">
        <v>0.65</v>
      </c>
      <c r="K109" s="59">
        <f t="shared" si="6"/>
        <v>0.5</v>
      </c>
      <c r="L109" s="60">
        <f t="shared" si="7"/>
        <v>0.5</v>
      </c>
    </row>
    <row r="110" spans="3:12" x14ac:dyDescent="0.25">
      <c r="C110" s="44" t="str">
        <f t="shared" si="8"/>
        <v>Operational Risk Department</v>
      </c>
      <c r="D110" s="63">
        <f t="shared" si="9"/>
        <v>1</v>
      </c>
      <c r="E110" s="59">
        <f t="shared" si="10"/>
        <v>0</v>
      </c>
      <c r="F110" s="15">
        <v>0.36</v>
      </c>
      <c r="G110" s="59">
        <v>3.0000000000000001E-3</v>
      </c>
      <c r="H110" s="59">
        <f t="shared" si="11"/>
        <v>0.63699840000000008</v>
      </c>
      <c r="I110" s="15">
        <v>1.65</v>
      </c>
      <c r="J110" s="15">
        <v>0.65</v>
      </c>
      <c r="K110" s="59">
        <f t="shared" si="6"/>
        <v>1</v>
      </c>
      <c r="L110" s="60">
        <f t="shared" si="7"/>
        <v>0</v>
      </c>
    </row>
    <row r="111" spans="3:12" x14ac:dyDescent="0.25">
      <c r="C111" s="44" t="str">
        <f t="shared" si="8"/>
        <v>Finance Department</v>
      </c>
      <c r="D111" s="63">
        <f t="shared" si="9"/>
        <v>0.44444444444444442</v>
      </c>
      <c r="E111" s="59">
        <f t="shared" si="10"/>
        <v>0.55555555555555558</v>
      </c>
      <c r="F111" s="15">
        <v>0.36</v>
      </c>
      <c r="G111" s="59">
        <v>3.0000000000000001E-3</v>
      </c>
      <c r="H111" s="59">
        <f t="shared" si="11"/>
        <v>0.63699840000000008</v>
      </c>
      <c r="I111" s="15">
        <v>1.65</v>
      </c>
      <c r="J111" s="15">
        <v>0.65</v>
      </c>
      <c r="K111" s="59">
        <f t="shared" si="6"/>
        <v>0.44444444444444442</v>
      </c>
      <c r="L111" s="60">
        <f t="shared" si="7"/>
        <v>0.55555555555555558</v>
      </c>
    </row>
    <row r="112" spans="3:12" x14ac:dyDescent="0.25">
      <c r="C112" s="44" t="str">
        <f t="shared" si="8"/>
        <v>Operations Department</v>
      </c>
      <c r="D112" s="63">
        <f t="shared" si="9"/>
        <v>0.61111111111111116</v>
      </c>
      <c r="E112" s="59">
        <f t="shared" si="10"/>
        <v>0.3888888888888889</v>
      </c>
      <c r="F112" s="15">
        <v>0.36</v>
      </c>
      <c r="G112" s="59">
        <v>3.0000000000000001E-3</v>
      </c>
      <c r="H112" s="59">
        <f t="shared" si="11"/>
        <v>0.63699840000000008</v>
      </c>
      <c r="I112" s="15">
        <v>1.65</v>
      </c>
      <c r="J112" s="15">
        <v>0.65</v>
      </c>
      <c r="K112" s="59">
        <f t="shared" si="6"/>
        <v>0.61111111111111116</v>
      </c>
      <c r="L112" s="60">
        <f t="shared" si="7"/>
        <v>0.38888888888888884</v>
      </c>
    </row>
    <row r="113" spans="3:12" x14ac:dyDescent="0.25">
      <c r="C113" s="44" t="str">
        <f t="shared" si="8"/>
        <v>Risk Management</v>
      </c>
      <c r="D113" s="63">
        <f t="shared" si="9"/>
        <v>0.73333333333333339</v>
      </c>
      <c r="E113" s="59">
        <f t="shared" si="10"/>
        <v>0.26666666666666666</v>
      </c>
      <c r="F113" s="15">
        <v>0.36</v>
      </c>
      <c r="G113" s="59">
        <v>3.0000000000000001E-3</v>
      </c>
      <c r="H113" s="59">
        <f t="shared" si="11"/>
        <v>0.63699840000000008</v>
      </c>
      <c r="I113" s="15">
        <v>1.65</v>
      </c>
      <c r="J113" s="15">
        <v>0.65</v>
      </c>
      <c r="K113" s="59">
        <f t="shared" si="6"/>
        <v>0.73333333333333339</v>
      </c>
      <c r="L113" s="60">
        <f t="shared" si="7"/>
        <v>0.26666666666666661</v>
      </c>
    </row>
    <row r="114" spans="3:12" ht="15.75" thickBot="1" x14ac:dyDescent="0.3">
      <c r="C114" s="45" t="str">
        <f>C95</f>
        <v>Financial Planning Department</v>
      </c>
      <c r="D114" s="64">
        <f t="shared" si="9"/>
        <v>0.6</v>
      </c>
      <c r="E114" s="61">
        <f t="shared" si="10"/>
        <v>0.4</v>
      </c>
      <c r="F114" s="56">
        <v>0.36</v>
      </c>
      <c r="G114" s="61">
        <v>3.0000000000000001E-3</v>
      </c>
      <c r="H114" s="61">
        <f>$D$98*99.531%</f>
        <v>0.63699840000000008</v>
      </c>
      <c r="I114" s="56">
        <v>1.65</v>
      </c>
      <c r="J114" s="56">
        <v>0.65</v>
      </c>
      <c r="K114" s="61">
        <f t="shared" si="6"/>
        <v>0.6</v>
      </c>
      <c r="L114" s="62">
        <f t="shared" si="7"/>
        <v>0.4</v>
      </c>
    </row>
    <row r="116" spans="3:12" ht="15.75" thickBot="1" x14ac:dyDescent="0.3">
      <c r="C116" t="s">
        <v>433</v>
      </c>
    </row>
    <row r="117" spans="3:12" ht="15.75" thickBot="1" x14ac:dyDescent="0.3">
      <c r="C117" s="92"/>
      <c r="D117" s="89" t="s">
        <v>40</v>
      </c>
      <c r="E117" s="84" t="s">
        <v>35</v>
      </c>
      <c r="F117" s="85" t="s">
        <v>278</v>
      </c>
    </row>
    <row r="118" spans="3:12" ht="15.75" thickBot="1" x14ac:dyDescent="0.3">
      <c r="C118" s="86" t="s">
        <v>266</v>
      </c>
      <c r="D118" s="83">
        <f>SUM(D119:D136)</f>
        <v>503</v>
      </c>
      <c r="E118" s="84">
        <f t="shared" ref="E118:F118" si="12">SUM(E119:E136)</f>
        <v>58</v>
      </c>
      <c r="F118" s="85">
        <f t="shared" si="12"/>
        <v>561</v>
      </c>
    </row>
    <row r="119" spans="3:12" x14ac:dyDescent="0.25">
      <c r="C119" s="80" t="str">
        <f>IF(Masters!B2&lt;&gt;"",Masters!B2,"")</f>
        <v>Corporate Management Group</v>
      </c>
      <c r="D119" s="87">
        <f>F119-E119</f>
        <v>100</v>
      </c>
      <c r="E119" s="67">
        <f>COUNTIFS(Data!$B$3:$B$996,$C119,Data!$G$3:$G$996,$E$117)</f>
        <v>7</v>
      </c>
      <c r="F119" s="88">
        <f>COUNTIF(Data!B:B,C119)</f>
        <v>107</v>
      </c>
    </row>
    <row r="120" spans="3:12" x14ac:dyDescent="0.25">
      <c r="C120" s="81" t="str">
        <f>IF(Masters!B3&lt;&gt;"",Masters!B3,"")</f>
        <v>Strategy Office</v>
      </c>
      <c r="D120" s="47">
        <f>F120-E120</f>
        <v>12</v>
      </c>
      <c r="E120" s="15">
        <f>COUNTIFS(Data!$B$3:$B$996,$C120,Data!$G$3:$G$996,$E$117)</f>
        <v>3</v>
      </c>
      <c r="F120" s="17">
        <f>COUNTIF(Data!B:B,C120)</f>
        <v>15</v>
      </c>
    </row>
    <row r="121" spans="3:12" x14ac:dyDescent="0.25">
      <c r="C121" s="81" t="str">
        <f>IF(Masters!B4&lt;&gt;"",Masters!B4,"")</f>
        <v>Marketing Office</v>
      </c>
      <c r="D121" s="47">
        <f t="shared" ref="D121:D136" si="13">F121-E121</f>
        <v>10</v>
      </c>
      <c r="E121" s="15">
        <f>COUNTIFS(Data!$B$3:$B$996,$C121,Data!$G$3:$G$996,$E$117)</f>
        <v>2</v>
      </c>
      <c r="F121" s="17">
        <f>COUNTIF(Data!B:B,C121)</f>
        <v>12</v>
      </c>
    </row>
    <row r="122" spans="3:12" x14ac:dyDescent="0.25">
      <c r="C122" s="81" t="str">
        <f>IF(Masters!B5&lt;&gt;"",Masters!B5,"")</f>
        <v>Company Law Office</v>
      </c>
      <c r="D122" s="47">
        <f t="shared" si="13"/>
        <v>6</v>
      </c>
      <c r="E122" s="15">
        <f>COUNTIFS(Data!$B$3:$B$996,$C122,Data!$G$3:$G$996,$E$117)</f>
        <v>1</v>
      </c>
      <c r="F122" s="17">
        <f>COUNTIF(Data!B:B,C122)</f>
        <v>7</v>
      </c>
    </row>
    <row r="123" spans="3:12" x14ac:dyDescent="0.25">
      <c r="C123" s="81" t="str">
        <f>IF(Masters!B6&lt;&gt;"",Masters!B6,"")</f>
        <v>Tele Communication Office</v>
      </c>
      <c r="D123" s="47">
        <f t="shared" si="13"/>
        <v>7</v>
      </c>
      <c r="E123" s="15">
        <f>COUNTIFS(Data!$B$3:$B$996,$C123,Data!$G$3:$G$996,$E$117)</f>
        <v>0</v>
      </c>
      <c r="F123" s="17">
        <f>COUNTIF(Data!B:B,C123)</f>
        <v>7</v>
      </c>
    </row>
    <row r="124" spans="3:12" x14ac:dyDescent="0.25">
      <c r="C124" s="81" t="str">
        <f>IF(Masters!B7&lt;&gt;"",Masters!B7,"")</f>
        <v>Training Department</v>
      </c>
      <c r="D124" s="47">
        <f t="shared" si="13"/>
        <v>20</v>
      </c>
      <c r="E124" s="15">
        <f>COUNTIFS(Data!$B$3:$B$996,$C124,Data!$G$3:$G$996,$E$117)</f>
        <v>0</v>
      </c>
      <c r="F124" s="17">
        <f>COUNTIF(Data!B:B,C124)</f>
        <v>20</v>
      </c>
    </row>
    <row r="125" spans="3:12" x14ac:dyDescent="0.25">
      <c r="C125" s="81" t="str">
        <f>IF(Masters!B8&lt;&gt;"",Masters!B8,"")</f>
        <v>Human Capital Development Office</v>
      </c>
      <c r="D125" s="47">
        <f t="shared" si="13"/>
        <v>5</v>
      </c>
      <c r="E125" s="15">
        <f>COUNTIFS(Data!$B$3:$B$996,$C125,Data!$G$3:$G$996,$E$117)</f>
        <v>8</v>
      </c>
      <c r="F125" s="17">
        <f>COUNTIF(Data!B:B,C125)</f>
        <v>13</v>
      </c>
    </row>
    <row r="126" spans="3:12" x14ac:dyDescent="0.25">
      <c r="C126" s="81" t="str">
        <f>IF(Masters!B9&lt;&gt;"",Masters!B9,"")</f>
        <v>Sales Department</v>
      </c>
      <c r="D126" s="47">
        <f t="shared" si="13"/>
        <v>16</v>
      </c>
      <c r="E126" s="15">
        <f>COUNTIFS(Data!$B$3:$B$996,$C126,Data!$G$3:$G$996,$E$117)</f>
        <v>3</v>
      </c>
      <c r="F126" s="17">
        <f>COUNTIF(Data!B:B,C126)</f>
        <v>19</v>
      </c>
    </row>
    <row r="127" spans="3:12" x14ac:dyDescent="0.25">
      <c r="C127" s="81" t="str">
        <f>IF(Masters!B10&lt;&gt;"",Masters!B10,"")</f>
        <v>Operational Risk Department</v>
      </c>
      <c r="D127" s="47">
        <f t="shared" si="13"/>
        <v>5</v>
      </c>
      <c r="E127" s="15">
        <f>COUNTIFS(Data!$B$3:$B$996,$C127,Data!$G$3:$G$996,$E$117)</f>
        <v>3</v>
      </c>
      <c r="F127" s="17">
        <f>COUNTIF(Data!B:B,C127)</f>
        <v>8</v>
      </c>
    </row>
    <row r="128" spans="3:12" x14ac:dyDescent="0.25">
      <c r="C128" s="81" t="str">
        <f>IF(Masters!B11&lt;&gt;"",Masters!B11,"")</f>
        <v>Finance Department</v>
      </c>
      <c r="D128" s="47">
        <f t="shared" si="13"/>
        <v>27</v>
      </c>
      <c r="E128" s="15">
        <f>COUNTIFS(Data!$B$3:$B$996,$C128,Data!$G$3:$G$996,$E$117)</f>
        <v>4</v>
      </c>
      <c r="F128" s="17">
        <f>COUNTIF(Data!B:B,C128)</f>
        <v>31</v>
      </c>
    </row>
    <row r="129" spans="3:6" x14ac:dyDescent="0.25">
      <c r="C129" s="81" t="str">
        <f>IF(Masters!B12&lt;&gt;"",Masters!B12,"")</f>
        <v>Operations Department</v>
      </c>
      <c r="D129" s="47">
        <f t="shared" si="13"/>
        <v>18</v>
      </c>
      <c r="E129" s="15">
        <f>COUNTIFS(Data!$B$3:$B$996,$C129,Data!$G$3:$G$996,$E$117)</f>
        <v>2</v>
      </c>
      <c r="F129" s="17">
        <f>COUNTIF(Data!B:B,C129)</f>
        <v>20</v>
      </c>
    </row>
    <row r="130" spans="3:6" x14ac:dyDescent="0.25">
      <c r="C130" s="81" t="str">
        <f>IF(Masters!B13&lt;&gt;"",Masters!B13,"")</f>
        <v>Risk Management</v>
      </c>
      <c r="D130" s="47">
        <f t="shared" si="13"/>
        <v>30</v>
      </c>
      <c r="E130" s="15">
        <f>COUNTIFS(Data!$B$3:$B$996,$C130,Data!$G$3:$G$996,$E$117)</f>
        <v>0</v>
      </c>
      <c r="F130" s="17">
        <f>COUNTIF(Data!B:B,C130)</f>
        <v>30</v>
      </c>
    </row>
    <row r="131" spans="3:6" x14ac:dyDescent="0.25">
      <c r="C131" s="81" t="str">
        <f>IF(Masters!B14&lt;&gt;"",Masters!B14,"")</f>
        <v>Financial Planning Department</v>
      </c>
      <c r="D131" s="47">
        <f t="shared" si="13"/>
        <v>10</v>
      </c>
      <c r="E131" s="15">
        <f>COUNTIFS(Data!$B$3:$B$996,$C131,Data!$G$3:$G$996,$E$117)</f>
        <v>4</v>
      </c>
      <c r="F131" s="17">
        <f>COUNTIF(Data!B:B,C131)</f>
        <v>14</v>
      </c>
    </row>
    <row r="132" spans="3:6" x14ac:dyDescent="0.25">
      <c r="C132" s="81" t="str">
        <f>IF(Masters!B15&lt;&gt;"",Masters!B15,"")</f>
        <v>Sales Strategy Department</v>
      </c>
      <c r="D132" s="47">
        <f t="shared" si="13"/>
        <v>26</v>
      </c>
      <c r="E132" s="15">
        <f>COUNTIFS(Data!$B$3:$B$996,$C132,Data!$G$3:$G$996,$E$117)</f>
        <v>0</v>
      </c>
      <c r="F132" s="17">
        <f>COUNTIF(Data!B:B,C132)</f>
        <v>26</v>
      </c>
    </row>
    <row r="133" spans="3:6" x14ac:dyDescent="0.25">
      <c r="C133" s="81" t="str">
        <f>IF(Masters!B16&lt;&gt;"",Masters!B16,"")</f>
        <v>Marketing Strategy Department</v>
      </c>
      <c r="D133" s="47">
        <f t="shared" si="13"/>
        <v>11</v>
      </c>
      <c r="E133" s="15">
        <f>COUNTIFS(Data!$B$3:$B$996,$C133,Data!$G$3:$G$996,$E$117)</f>
        <v>9</v>
      </c>
      <c r="F133" s="17">
        <f>COUNTIF(Data!B:B,C133)</f>
        <v>20</v>
      </c>
    </row>
    <row r="134" spans="3:6" x14ac:dyDescent="0.25">
      <c r="C134" s="81" t="str">
        <f>IF(Masters!B17&lt;&gt;"",Masters!B17,"")</f>
        <v>Technology Department</v>
      </c>
      <c r="D134" s="47">
        <f t="shared" si="13"/>
        <v>45</v>
      </c>
      <c r="E134" s="15">
        <f>COUNTIFS(Data!$B$3:$B$996,$C134,Data!$G$3:$G$996,$E$117)</f>
        <v>0</v>
      </c>
      <c r="F134" s="17">
        <f>COUNTIF(Data!B:B,C134)</f>
        <v>45</v>
      </c>
    </row>
    <row r="135" spans="3:6" x14ac:dyDescent="0.25">
      <c r="C135" s="81" t="str">
        <f>IF(Masters!B18&lt;&gt;"",Masters!B18,"")</f>
        <v>Legal Department</v>
      </c>
      <c r="D135" s="47">
        <f t="shared" si="13"/>
        <v>19</v>
      </c>
      <c r="E135" s="15">
        <f>COUNTIFS(Data!$B$3:$B$996,$C135,Data!$G$3:$G$996,$E$117)</f>
        <v>2</v>
      </c>
      <c r="F135" s="17">
        <f>COUNTIF(Data!B:B,C135)</f>
        <v>21</v>
      </c>
    </row>
    <row r="136" spans="3:6" ht="15.75" thickBot="1" x14ac:dyDescent="0.3">
      <c r="C136" s="82" t="str">
        <f>IF(Masters!B19&lt;&gt;"",Masters!B19,"")</f>
        <v>Sales Execution Department</v>
      </c>
      <c r="D136" s="48">
        <f t="shared" si="13"/>
        <v>136</v>
      </c>
      <c r="E136" s="56">
        <f>COUNTIFS(Data!$B$3:$B$996,$C136,Data!$G$3:$G$996,$E$117)</f>
        <v>10</v>
      </c>
      <c r="F136" s="18">
        <f>COUNTIF(Data!B:B,C136)</f>
        <v>146</v>
      </c>
    </row>
    <row r="138" spans="3:6" x14ac:dyDescent="0.25">
      <c r="D138" s="147"/>
    </row>
  </sheetData>
  <mergeCells count="8">
    <mergeCell ref="B28:F28"/>
    <mergeCell ref="B45:B46"/>
    <mergeCell ref="D45:D46"/>
    <mergeCell ref="D80:E80"/>
    <mergeCell ref="F80:G80"/>
    <mergeCell ref="D79:E79"/>
    <mergeCell ref="F79:G79"/>
    <mergeCell ref="B62:F62"/>
  </mergeCells>
  <dataValidations count="1">
    <dataValidation type="list" allowBlank="1" showInputMessage="1" showErrorMessage="1" sqref="C46">
      <formula1>$T$2:$T$29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3" tint="0.39997558519241921"/>
  </sheetPr>
  <dimension ref="A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B28" sqref="B28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102"/>
  <sheetViews>
    <sheetView topLeftCell="A25" workbookViewId="0">
      <selection activeCell="B63" sqref="B63"/>
    </sheetView>
  </sheetViews>
  <sheetFormatPr defaultRowHeight="15" x14ac:dyDescent="0.25"/>
  <cols>
    <col min="1" max="1" width="16.85546875" customWidth="1"/>
    <col min="2" max="2" width="44.85546875" bestFit="1" customWidth="1"/>
    <col min="3" max="3" width="70" bestFit="1" customWidth="1"/>
    <col min="4" max="4" width="34.85546875" bestFit="1" customWidth="1"/>
    <col min="5" max="5" width="20.140625" style="130" customWidth="1"/>
    <col min="6" max="6" width="19.28515625" style="130" customWidth="1"/>
    <col min="15" max="15" width="9.140625" customWidth="1"/>
  </cols>
  <sheetData>
    <row r="1" spans="1:10" s="4" customFormat="1" x14ac:dyDescent="0.25">
      <c r="A1" s="4" t="s">
        <v>281</v>
      </c>
      <c r="B1" s="4" t="s">
        <v>282</v>
      </c>
      <c r="C1" s="4" t="s">
        <v>3</v>
      </c>
      <c r="D1" s="4" t="s">
        <v>25</v>
      </c>
      <c r="E1" s="131" t="s">
        <v>283</v>
      </c>
      <c r="F1" s="131" t="s">
        <v>284</v>
      </c>
      <c r="G1" s="4" t="s">
        <v>412</v>
      </c>
      <c r="H1" s="4" t="s">
        <v>413</v>
      </c>
      <c r="I1" s="4" t="s">
        <v>410</v>
      </c>
      <c r="J1" s="4" t="s">
        <v>411</v>
      </c>
    </row>
    <row r="2" spans="1:10" x14ac:dyDescent="0.25">
      <c r="A2" s="114">
        <v>3861</v>
      </c>
      <c r="B2" s="118" t="s">
        <v>285</v>
      </c>
      <c r="C2" s="118" t="s">
        <v>67</v>
      </c>
      <c r="D2" s="118" t="s">
        <v>286</v>
      </c>
      <c r="E2" s="122">
        <v>42281</v>
      </c>
      <c r="F2" s="123">
        <v>42736</v>
      </c>
      <c r="G2">
        <f>MONTH(F2)</f>
        <v>1</v>
      </c>
      <c r="H2">
        <f>YEAR(F2)</f>
        <v>2017</v>
      </c>
      <c r="I2">
        <f>MONTH(E2)</f>
        <v>10</v>
      </c>
      <c r="J2">
        <f>YEAR(E2)</f>
        <v>2015</v>
      </c>
    </row>
    <row r="3" spans="1:10" x14ac:dyDescent="0.25">
      <c r="A3" s="115">
        <v>2779</v>
      </c>
      <c r="B3" s="119" t="s">
        <v>287</v>
      </c>
      <c r="C3" s="119" t="s">
        <v>39</v>
      </c>
      <c r="D3" s="119" t="s">
        <v>288</v>
      </c>
      <c r="E3" s="124"/>
      <c r="F3" s="125">
        <v>42737</v>
      </c>
      <c r="G3">
        <f t="shared" ref="G3:G66" si="0">MONTH(F3)</f>
        <v>1</v>
      </c>
      <c r="H3">
        <f t="shared" ref="H3:H66" si="1">YEAR(F3)</f>
        <v>2017</v>
      </c>
      <c r="I3">
        <f t="shared" ref="I3:I66" si="2">MONTH(E3)</f>
        <v>1</v>
      </c>
      <c r="J3">
        <f t="shared" ref="J3:J66" si="3">YEAR(E3)</f>
        <v>1900</v>
      </c>
    </row>
    <row r="4" spans="1:10" x14ac:dyDescent="0.25">
      <c r="A4" s="114">
        <v>4047</v>
      </c>
      <c r="B4" s="118" t="s">
        <v>289</v>
      </c>
      <c r="C4" s="118" t="s">
        <v>39</v>
      </c>
      <c r="D4" s="118" t="s">
        <v>230</v>
      </c>
      <c r="E4" s="122">
        <v>42631</v>
      </c>
      <c r="F4" s="123">
        <v>42738</v>
      </c>
      <c r="G4">
        <f t="shared" si="0"/>
        <v>1</v>
      </c>
      <c r="H4">
        <f t="shared" si="1"/>
        <v>2017</v>
      </c>
      <c r="I4">
        <f t="shared" si="2"/>
        <v>9</v>
      </c>
      <c r="J4">
        <f t="shared" si="3"/>
        <v>2016</v>
      </c>
    </row>
    <row r="5" spans="1:10" x14ac:dyDescent="0.25">
      <c r="A5" s="115">
        <v>4087</v>
      </c>
      <c r="B5" s="119" t="s">
        <v>290</v>
      </c>
      <c r="C5" s="119" t="s">
        <v>39</v>
      </c>
      <c r="D5" s="119" t="s">
        <v>230</v>
      </c>
      <c r="E5" s="124">
        <v>42716</v>
      </c>
      <c r="F5" s="125">
        <v>42745</v>
      </c>
      <c r="G5">
        <f t="shared" si="0"/>
        <v>1</v>
      </c>
      <c r="H5">
        <f t="shared" si="1"/>
        <v>2017</v>
      </c>
      <c r="I5">
        <f t="shared" si="2"/>
        <v>12</v>
      </c>
      <c r="J5">
        <f t="shared" si="3"/>
        <v>2016</v>
      </c>
    </row>
    <row r="6" spans="1:10" x14ac:dyDescent="0.25">
      <c r="A6" s="114">
        <v>4070</v>
      </c>
      <c r="B6" s="118" t="s">
        <v>291</v>
      </c>
      <c r="C6" s="118" t="s">
        <v>39</v>
      </c>
      <c r="D6" s="118" t="s">
        <v>43</v>
      </c>
      <c r="E6" s="122">
        <v>42705</v>
      </c>
      <c r="F6" s="123">
        <v>42754</v>
      </c>
      <c r="G6">
        <f t="shared" si="0"/>
        <v>1</v>
      </c>
      <c r="H6">
        <f t="shared" si="1"/>
        <v>2017</v>
      </c>
      <c r="I6">
        <f t="shared" si="2"/>
        <v>12</v>
      </c>
      <c r="J6">
        <f t="shared" si="3"/>
        <v>2016</v>
      </c>
    </row>
    <row r="7" spans="1:10" x14ac:dyDescent="0.25">
      <c r="A7" s="115">
        <v>4028</v>
      </c>
      <c r="B7" s="119" t="s">
        <v>292</v>
      </c>
      <c r="C7" s="119" t="s">
        <v>39</v>
      </c>
      <c r="D7" s="119" t="s">
        <v>224</v>
      </c>
      <c r="E7" s="124">
        <v>42619</v>
      </c>
      <c r="F7" s="125">
        <v>42759</v>
      </c>
      <c r="G7">
        <f t="shared" si="0"/>
        <v>1</v>
      </c>
      <c r="H7">
        <f t="shared" si="1"/>
        <v>2017</v>
      </c>
      <c r="I7">
        <f t="shared" si="2"/>
        <v>9</v>
      </c>
      <c r="J7">
        <f t="shared" si="3"/>
        <v>2016</v>
      </c>
    </row>
    <row r="8" spans="1:10" x14ac:dyDescent="0.25">
      <c r="A8" s="114">
        <v>3782</v>
      </c>
      <c r="B8" s="118" t="s">
        <v>293</v>
      </c>
      <c r="C8" s="118" t="s">
        <v>77</v>
      </c>
      <c r="D8" s="118" t="s">
        <v>58</v>
      </c>
      <c r="E8" s="122">
        <v>42064</v>
      </c>
      <c r="F8" s="123">
        <v>42761</v>
      </c>
      <c r="G8">
        <f t="shared" si="0"/>
        <v>1</v>
      </c>
      <c r="H8">
        <f t="shared" si="1"/>
        <v>2017</v>
      </c>
      <c r="I8">
        <f t="shared" si="2"/>
        <v>3</v>
      </c>
      <c r="J8">
        <f t="shared" si="3"/>
        <v>2015</v>
      </c>
    </row>
    <row r="9" spans="1:10" x14ac:dyDescent="0.25">
      <c r="A9" s="115">
        <v>3453</v>
      </c>
      <c r="B9" s="119" t="s">
        <v>294</v>
      </c>
      <c r="C9" s="119" t="s">
        <v>39</v>
      </c>
      <c r="D9" s="119" t="s">
        <v>41</v>
      </c>
      <c r="E9" s="124">
        <v>41261</v>
      </c>
      <c r="F9" s="125">
        <v>42765</v>
      </c>
      <c r="G9">
        <f t="shared" si="0"/>
        <v>1</v>
      </c>
      <c r="H9">
        <f t="shared" si="1"/>
        <v>2017</v>
      </c>
      <c r="I9">
        <f t="shared" si="2"/>
        <v>12</v>
      </c>
      <c r="J9">
        <f t="shared" si="3"/>
        <v>2012</v>
      </c>
    </row>
    <row r="10" spans="1:10" x14ac:dyDescent="0.25">
      <c r="A10" s="114">
        <v>3747</v>
      </c>
      <c r="B10" s="118" t="s">
        <v>295</v>
      </c>
      <c r="C10" s="118" t="s">
        <v>38</v>
      </c>
      <c r="D10" s="118" t="s">
        <v>296</v>
      </c>
      <c r="E10" s="122">
        <v>41974</v>
      </c>
      <c r="F10" s="123">
        <v>42766</v>
      </c>
      <c r="G10">
        <f t="shared" si="0"/>
        <v>1</v>
      </c>
      <c r="H10">
        <f t="shared" si="1"/>
        <v>2017</v>
      </c>
      <c r="I10">
        <f t="shared" si="2"/>
        <v>12</v>
      </c>
      <c r="J10">
        <f t="shared" si="3"/>
        <v>2014</v>
      </c>
    </row>
    <row r="11" spans="1:10" x14ac:dyDescent="0.25">
      <c r="A11" s="115">
        <v>3168</v>
      </c>
      <c r="B11" s="119" t="s">
        <v>297</v>
      </c>
      <c r="C11" s="119" t="s">
        <v>298</v>
      </c>
      <c r="D11" s="119" t="s">
        <v>60</v>
      </c>
      <c r="E11" s="124">
        <v>40580</v>
      </c>
      <c r="F11" s="125">
        <v>42766</v>
      </c>
      <c r="G11">
        <f t="shared" si="0"/>
        <v>1</v>
      </c>
      <c r="H11">
        <f t="shared" si="1"/>
        <v>2017</v>
      </c>
      <c r="I11">
        <f t="shared" si="2"/>
        <v>2</v>
      </c>
      <c r="J11">
        <f t="shared" si="3"/>
        <v>2011</v>
      </c>
    </row>
    <row r="12" spans="1:10" x14ac:dyDescent="0.25">
      <c r="A12" s="114">
        <v>3474</v>
      </c>
      <c r="B12" s="118" t="s">
        <v>299</v>
      </c>
      <c r="C12" s="118" t="s">
        <v>75</v>
      </c>
      <c r="D12" s="118" t="s">
        <v>300</v>
      </c>
      <c r="E12" s="122">
        <v>41308</v>
      </c>
      <c r="F12" s="123">
        <v>42766</v>
      </c>
      <c r="G12">
        <f t="shared" si="0"/>
        <v>1</v>
      </c>
      <c r="H12">
        <f t="shared" si="1"/>
        <v>2017</v>
      </c>
      <c r="I12">
        <f t="shared" si="2"/>
        <v>2</v>
      </c>
      <c r="J12">
        <f t="shared" si="3"/>
        <v>2013</v>
      </c>
    </row>
    <row r="13" spans="1:10" x14ac:dyDescent="0.25">
      <c r="A13" s="115">
        <v>3846</v>
      </c>
      <c r="B13" s="119" t="s">
        <v>301</v>
      </c>
      <c r="C13" s="119" t="s">
        <v>34</v>
      </c>
      <c r="D13" s="119" t="s">
        <v>302</v>
      </c>
      <c r="E13" s="124">
        <v>42249</v>
      </c>
      <c r="F13" s="125">
        <v>42766</v>
      </c>
      <c r="G13">
        <f t="shared" si="0"/>
        <v>1</v>
      </c>
      <c r="H13">
        <f t="shared" si="1"/>
        <v>2017</v>
      </c>
      <c r="I13">
        <f t="shared" si="2"/>
        <v>9</v>
      </c>
      <c r="J13">
        <f t="shared" si="3"/>
        <v>2015</v>
      </c>
    </row>
    <row r="14" spans="1:10" x14ac:dyDescent="0.25">
      <c r="A14" s="114">
        <v>2782</v>
      </c>
      <c r="B14" s="118" t="s">
        <v>303</v>
      </c>
      <c r="C14" s="118" t="s">
        <v>34</v>
      </c>
      <c r="D14" s="118" t="s">
        <v>34</v>
      </c>
      <c r="E14" s="122">
        <v>39558</v>
      </c>
      <c r="F14" s="123">
        <v>42766</v>
      </c>
      <c r="G14">
        <f t="shared" si="0"/>
        <v>1</v>
      </c>
      <c r="H14">
        <f t="shared" si="1"/>
        <v>2017</v>
      </c>
      <c r="I14">
        <f t="shared" si="2"/>
        <v>4</v>
      </c>
      <c r="J14">
        <f t="shared" si="3"/>
        <v>2008</v>
      </c>
    </row>
    <row r="15" spans="1:10" x14ac:dyDescent="0.25">
      <c r="A15" s="115">
        <v>3431</v>
      </c>
      <c r="B15" s="119" t="s">
        <v>304</v>
      </c>
      <c r="C15" s="119" t="s">
        <v>39</v>
      </c>
      <c r="D15" s="119" t="s">
        <v>43</v>
      </c>
      <c r="E15" s="124">
        <v>41196</v>
      </c>
      <c r="F15" s="125">
        <v>42766</v>
      </c>
      <c r="G15">
        <f t="shared" si="0"/>
        <v>1</v>
      </c>
      <c r="H15">
        <f t="shared" si="1"/>
        <v>2017</v>
      </c>
      <c r="I15">
        <f t="shared" si="2"/>
        <v>10</v>
      </c>
      <c r="J15">
        <f t="shared" si="3"/>
        <v>2012</v>
      </c>
    </row>
    <row r="16" spans="1:10" x14ac:dyDescent="0.25">
      <c r="A16" s="114">
        <v>2904</v>
      </c>
      <c r="B16" s="118" t="s">
        <v>305</v>
      </c>
      <c r="C16" s="118" t="s">
        <v>39</v>
      </c>
      <c r="D16" s="118" t="s">
        <v>41</v>
      </c>
      <c r="E16" s="122">
        <v>39831</v>
      </c>
      <c r="F16" s="123">
        <v>42768</v>
      </c>
      <c r="G16">
        <f t="shared" si="0"/>
        <v>2</v>
      </c>
      <c r="H16">
        <f t="shared" si="1"/>
        <v>2017</v>
      </c>
      <c r="I16">
        <f t="shared" si="2"/>
        <v>1</v>
      </c>
      <c r="J16">
        <f t="shared" si="3"/>
        <v>2009</v>
      </c>
    </row>
    <row r="17" spans="1:10" x14ac:dyDescent="0.25">
      <c r="A17" s="115">
        <v>3791</v>
      </c>
      <c r="B17" s="119" t="s">
        <v>306</v>
      </c>
      <c r="C17" s="119" t="s">
        <v>67</v>
      </c>
      <c r="D17" s="119" t="s">
        <v>286</v>
      </c>
      <c r="E17" s="124">
        <v>42099</v>
      </c>
      <c r="F17" s="125">
        <v>42771</v>
      </c>
      <c r="G17">
        <f t="shared" si="0"/>
        <v>2</v>
      </c>
      <c r="H17">
        <f t="shared" si="1"/>
        <v>2017</v>
      </c>
      <c r="I17">
        <f t="shared" si="2"/>
        <v>4</v>
      </c>
      <c r="J17">
        <f t="shared" si="3"/>
        <v>2015</v>
      </c>
    </row>
    <row r="18" spans="1:10" x14ac:dyDescent="0.25">
      <c r="A18" s="114">
        <v>4050</v>
      </c>
      <c r="B18" s="118" t="s">
        <v>307</v>
      </c>
      <c r="C18" s="118" t="s">
        <v>39</v>
      </c>
      <c r="D18" s="118" t="s">
        <v>230</v>
      </c>
      <c r="E18" s="122">
        <v>42631</v>
      </c>
      <c r="F18" s="123">
        <v>42774</v>
      </c>
      <c r="G18">
        <f t="shared" si="0"/>
        <v>2</v>
      </c>
      <c r="H18">
        <f t="shared" si="1"/>
        <v>2017</v>
      </c>
      <c r="I18">
        <f t="shared" si="2"/>
        <v>9</v>
      </c>
      <c r="J18">
        <f t="shared" si="3"/>
        <v>2016</v>
      </c>
    </row>
    <row r="19" spans="1:10" x14ac:dyDescent="0.25">
      <c r="A19" s="115">
        <v>3870</v>
      </c>
      <c r="B19" s="119" t="s">
        <v>308</v>
      </c>
      <c r="C19" s="119" t="s">
        <v>39</v>
      </c>
      <c r="D19" s="119" t="s">
        <v>230</v>
      </c>
      <c r="E19" s="124">
        <v>42295</v>
      </c>
      <c r="F19" s="125">
        <v>42775</v>
      </c>
      <c r="G19">
        <f t="shared" si="0"/>
        <v>2</v>
      </c>
      <c r="H19">
        <f t="shared" si="1"/>
        <v>2017</v>
      </c>
      <c r="I19">
        <f t="shared" si="2"/>
        <v>10</v>
      </c>
      <c r="J19">
        <f t="shared" si="3"/>
        <v>2015</v>
      </c>
    </row>
    <row r="20" spans="1:10" x14ac:dyDescent="0.25">
      <c r="A20" s="114">
        <v>2944</v>
      </c>
      <c r="B20" s="118" t="s">
        <v>309</v>
      </c>
      <c r="C20" s="118" t="s">
        <v>67</v>
      </c>
      <c r="D20" s="118" t="s">
        <v>62</v>
      </c>
      <c r="E20" s="122">
        <v>39958</v>
      </c>
      <c r="F20" s="123">
        <v>42780</v>
      </c>
      <c r="G20">
        <f t="shared" si="0"/>
        <v>2</v>
      </c>
      <c r="H20">
        <f t="shared" si="1"/>
        <v>2017</v>
      </c>
      <c r="I20">
        <f t="shared" si="2"/>
        <v>5</v>
      </c>
      <c r="J20">
        <f t="shared" si="3"/>
        <v>2009</v>
      </c>
    </row>
    <row r="21" spans="1:10" x14ac:dyDescent="0.25">
      <c r="A21" s="115">
        <v>3709</v>
      </c>
      <c r="B21" s="119" t="s">
        <v>310</v>
      </c>
      <c r="C21" s="119" t="s">
        <v>67</v>
      </c>
      <c r="D21" s="119" t="s">
        <v>286</v>
      </c>
      <c r="E21" s="124">
        <v>41883</v>
      </c>
      <c r="F21" s="125">
        <v>42788</v>
      </c>
      <c r="G21">
        <f t="shared" si="0"/>
        <v>2</v>
      </c>
      <c r="H21">
        <f t="shared" si="1"/>
        <v>2017</v>
      </c>
      <c r="I21">
        <f t="shared" si="2"/>
        <v>9</v>
      </c>
      <c r="J21">
        <f t="shared" si="3"/>
        <v>2014</v>
      </c>
    </row>
    <row r="22" spans="1:10" x14ac:dyDescent="0.25">
      <c r="A22" s="114">
        <v>2797</v>
      </c>
      <c r="B22" s="118" t="s">
        <v>311</v>
      </c>
      <c r="C22" s="118" t="s">
        <v>39</v>
      </c>
      <c r="D22" s="118" t="s">
        <v>226</v>
      </c>
      <c r="E22" s="122">
        <v>39588</v>
      </c>
      <c r="F22" s="123">
        <v>42788</v>
      </c>
      <c r="G22">
        <f t="shared" si="0"/>
        <v>2</v>
      </c>
      <c r="H22">
        <f t="shared" si="1"/>
        <v>2017</v>
      </c>
      <c r="I22">
        <f t="shared" si="2"/>
        <v>5</v>
      </c>
      <c r="J22">
        <f t="shared" si="3"/>
        <v>2008</v>
      </c>
    </row>
    <row r="23" spans="1:10" x14ac:dyDescent="0.25">
      <c r="A23" s="115">
        <v>3706</v>
      </c>
      <c r="B23" s="119" t="s">
        <v>312</v>
      </c>
      <c r="C23" s="119" t="s">
        <v>39</v>
      </c>
      <c r="D23" s="119" t="s">
        <v>227</v>
      </c>
      <c r="E23" s="124">
        <v>41861</v>
      </c>
      <c r="F23" s="125">
        <v>42789</v>
      </c>
      <c r="G23">
        <f t="shared" si="0"/>
        <v>2</v>
      </c>
      <c r="H23">
        <f t="shared" si="1"/>
        <v>2017</v>
      </c>
      <c r="I23">
        <f t="shared" si="2"/>
        <v>8</v>
      </c>
      <c r="J23">
        <f t="shared" si="3"/>
        <v>2014</v>
      </c>
    </row>
    <row r="24" spans="1:10" x14ac:dyDescent="0.25">
      <c r="A24" s="114">
        <v>3715</v>
      </c>
      <c r="B24" s="118" t="s">
        <v>313</v>
      </c>
      <c r="C24" s="118" t="s">
        <v>39</v>
      </c>
      <c r="D24" s="118" t="s">
        <v>230</v>
      </c>
      <c r="E24" s="122">
        <v>41897</v>
      </c>
      <c r="F24" s="123">
        <v>42793</v>
      </c>
      <c r="G24">
        <f t="shared" si="0"/>
        <v>2</v>
      </c>
      <c r="H24">
        <f t="shared" si="1"/>
        <v>2017</v>
      </c>
      <c r="I24">
        <f t="shared" si="2"/>
        <v>9</v>
      </c>
      <c r="J24">
        <f t="shared" si="3"/>
        <v>2014</v>
      </c>
    </row>
    <row r="25" spans="1:10" x14ac:dyDescent="0.25">
      <c r="A25" s="115">
        <v>3563</v>
      </c>
      <c r="B25" s="119" t="s">
        <v>314</v>
      </c>
      <c r="C25" s="119" t="s">
        <v>38</v>
      </c>
      <c r="D25" s="119" t="s">
        <v>296</v>
      </c>
      <c r="E25" s="124">
        <v>41527</v>
      </c>
      <c r="F25" s="125">
        <v>42794</v>
      </c>
      <c r="G25">
        <f t="shared" si="0"/>
        <v>2</v>
      </c>
      <c r="H25">
        <f t="shared" si="1"/>
        <v>2017</v>
      </c>
      <c r="I25">
        <f t="shared" si="2"/>
        <v>9</v>
      </c>
      <c r="J25">
        <f t="shared" si="3"/>
        <v>2013</v>
      </c>
    </row>
    <row r="26" spans="1:10" x14ac:dyDescent="0.25">
      <c r="A26" s="114">
        <v>3781</v>
      </c>
      <c r="B26" s="118" t="s">
        <v>315</v>
      </c>
      <c r="C26" s="118" t="s">
        <v>38</v>
      </c>
      <c r="D26" s="118" t="s">
        <v>316</v>
      </c>
      <c r="E26" s="122">
        <v>42064</v>
      </c>
      <c r="F26" s="123">
        <v>42794</v>
      </c>
      <c r="G26">
        <f t="shared" si="0"/>
        <v>2</v>
      </c>
      <c r="H26">
        <f t="shared" si="1"/>
        <v>2017</v>
      </c>
      <c r="I26">
        <f t="shared" si="2"/>
        <v>3</v>
      </c>
      <c r="J26">
        <f t="shared" si="3"/>
        <v>2015</v>
      </c>
    </row>
    <row r="27" spans="1:10" x14ac:dyDescent="0.25">
      <c r="A27" s="115">
        <v>4004</v>
      </c>
      <c r="B27" s="119" t="s">
        <v>317</v>
      </c>
      <c r="C27" s="119" t="s">
        <v>39</v>
      </c>
      <c r="D27" s="119" t="s">
        <v>230</v>
      </c>
      <c r="E27" s="124">
        <v>42569</v>
      </c>
      <c r="F27" s="125">
        <v>42794</v>
      </c>
      <c r="G27">
        <f t="shared" si="0"/>
        <v>2</v>
      </c>
      <c r="H27">
        <f t="shared" si="1"/>
        <v>2017</v>
      </c>
      <c r="I27">
        <f t="shared" si="2"/>
        <v>7</v>
      </c>
      <c r="J27">
        <f t="shared" si="3"/>
        <v>2016</v>
      </c>
    </row>
    <row r="28" spans="1:10" x14ac:dyDescent="0.25">
      <c r="A28" s="114">
        <v>4040</v>
      </c>
      <c r="B28" s="118" t="s">
        <v>318</v>
      </c>
      <c r="C28" s="118" t="s">
        <v>39</v>
      </c>
      <c r="D28" s="118" t="s">
        <v>230</v>
      </c>
      <c r="E28" s="122">
        <v>42631</v>
      </c>
      <c r="F28" s="123">
        <v>42796</v>
      </c>
      <c r="G28">
        <f t="shared" si="0"/>
        <v>3</v>
      </c>
      <c r="H28">
        <f t="shared" si="1"/>
        <v>2017</v>
      </c>
      <c r="I28">
        <f t="shared" si="2"/>
        <v>9</v>
      </c>
      <c r="J28">
        <f t="shared" si="3"/>
        <v>2016</v>
      </c>
    </row>
    <row r="29" spans="1:10" x14ac:dyDescent="0.25">
      <c r="A29" s="115">
        <v>4090</v>
      </c>
      <c r="B29" s="119" t="s">
        <v>319</v>
      </c>
      <c r="C29" s="119" t="s">
        <v>73</v>
      </c>
      <c r="D29" s="119" t="s">
        <v>190</v>
      </c>
      <c r="E29" s="124">
        <v>42767</v>
      </c>
      <c r="F29" s="125">
        <v>42799</v>
      </c>
      <c r="G29">
        <f t="shared" si="0"/>
        <v>3</v>
      </c>
      <c r="H29">
        <f t="shared" si="1"/>
        <v>2017</v>
      </c>
      <c r="I29">
        <f t="shared" si="2"/>
        <v>2</v>
      </c>
      <c r="J29">
        <f t="shared" si="3"/>
        <v>2017</v>
      </c>
    </row>
    <row r="30" spans="1:10" x14ac:dyDescent="0.25">
      <c r="A30" s="114">
        <v>4076</v>
      </c>
      <c r="B30" s="118" t="s">
        <v>320</v>
      </c>
      <c r="C30" s="118" t="s">
        <v>38</v>
      </c>
      <c r="D30" s="118" t="s">
        <v>296</v>
      </c>
      <c r="E30" s="122">
        <v>42716</v>
      </c>
      <c r="F30" s="123">
        <v>42800</v>
      </c>
      <c r="G30">
        <f t="shared" si="0"/>
        <v>3</v>
      </c>
      <c r="H30">
        <f t="shared" si="1"/>
        <v>2017</v>
      </c>
      <c r="I30">
        <f t="shared" si="2"/>
        <v>12</v>
      </c>
      <c r="J30">
        <f t="shared" si="3"/>
        <v>2016</v>
      </c>
    </row>
    <row r="31" spans="1:10" x14ac:dyDescent="0.25">
      <c r="A31" s="115">
        <v>3408</v>
      </c>
      <c r="B31" s="119" t="s">
        <v>321</v>
      </c>
      <c r="C31" s="119" t="s">
        <v>39</v>
      </c>
      <c r="D31" s="119" t="s">
        <v>230</v>
      </c>
      <c r="E31" s="124">
        <v>41171</v>
      </c>
      <c r="F31" s="125">
        <v>42803</v>
      </c>
      <c r="G31">
        <f t="shared" si="0"/>
        <v>3</v>
      </c>
      <c r="H31">
        <f t="shared" si="1"/>
        <v>2017</v>
      </c>
      <c r="I31">
        <f t="shared" si="2"/>
        <v>9</v>
      </c>
      <c r="J31">
        <f t="shared" si="3"/>
        <v>2012</v>
      </c>
    </row>
    <row r="32" spans="1:10" x14ac:dyDescent="0.25">
      <c r="A32" s="114">
        <v>3484</v>
      </c>
      <c r="B32" s="118" t="s">
        <v>322</v>
      </c>
      <c r="C32" s="118" t="s">
        <v>67</v>
      </c>
      <c r="D32" s="118" t="s">
        <v>286</v>
      </c>
      <c r="E32" s="122">
        <v>41350</v>
      </c>
      <c r="F32" s="123">
        <v>42806</v>
      </c>
      <c r="G32">
        <f t="shared" si="0"/>
        <v>3</v>
      </c>
      <c r="H32">
        <f t="shared" si="1"/>
        <v>2017</v>
      </c>
      <c r="I32">
        <f t="shared" si="2"/>
        <v>3</v>
      </c>
      <c r="J32">
        <f t="shared" si="3"/>
        <v>2013</v>
      </c>
    </row>
    <row r="33" spans="1:10" x14ac:dyDescent="0.25">
      <c r="A33" s="115">
        <v>4078</v>
      </c>
      <c r="B33" s="119" t="s">
        <v>323</v>
      </c>
      <c r="C33" s="119" t="s">
        <v>39</v>
      </c>
      <c r="D33" s="119" t="s">
        <v>230</v>
      </c>
      <c r="E33" s="124">
        <v>42716</v>
      </c>
      <c r="F33" s="125">
        <v>42813</v>
      </c>
      <c r="G33">
        <f t="shared" si="0"/>
        <v>3</v>
      </c>
      <c r="H33">
        <f t="shared" si="1"/>
        <v>2017</v>
      </c>
      <c r="I33">
        <f t="shared" si="2"/>
        <v>12</v>
      </c>
      <c r="J33">
        <f t="shared" si="3"/>
        <v>2016</v>
      </c>
    </row>
    <row r="34" spans="1:10" x14ac:dyDescent="0.25">
      <c r="A34" s="114">
        <v>3980</v>
      </c>
      <c r="B34" s="118" t="s">
        <v>324</v>
      </c>
      <c r="C34" s="118" t="s">
        <v>39</v>
      </c>
      <c r="D34" s="118" t="s">
        <v>43</v>
      </c>
      <c r="E34" s="122">
        <v>42505</v>
      </c>
      <c r="F34" s="123">
        <v>42813</v>
      </c>
      <c r="G34">
        <f t="shared" si="0"/>
        <v>3</v>
      </c>
      <c r="H34">
        <f t="shared" si="1"/>
        <v>2017</v>
      </c>
      <c r="I34">
        <f t="shared" si="2"/>
        <v>5</v>
      </c>
      <c r="J34">
        <f t="shared" si="3"/>
        <v>2016</v>
      </c>
    </row>
    <row r="35" spans="1:10" x14ac:dyDescent="0.25">
      <c r="A35" s="115">
        <v>3565</v>
      </c>
      <c r="B35" s="119" t="s">
        <v>325</v>
      </c>
      <c r="C35" s="119" t="s">
        <v>39</v>
      </c>
      <c r="D35" s="119" t="s">
        <v>230</v>
      </c>
      <c r="E35" s="124">
        <v>41527</v>
      </c>
      <c r="F35" s="125">
        <v>42817</v>
      </c>
      <c r="G35">
        <f t="shared" si="0"/>
        <v>3</v>
      </c>
      <c r="H35">
        <f t="shared" si="1"/>
        <v>2017</v>
      </c>
      <c r="I35">
        <f t="shared" si="2"/>
        <v>9</v>
      </c>
      <c r="J35">
        <f t="shared" si="3"/>
        <v>2013</v>
      </c>
    </row>
    <row r="36" spans="1:10" x14ac:dyDescent="0.25">
      <c r="A36" s="114">
        <v>1936</v>
      </c>
      <c r="B36" s="118" t="s">
        <v>326</v>
      </c>
      <c r="C36" s="118" t="s">
        <v>39</v>
      </c>
      <c r="D36" s="118" t="s">
        <v>41</v>
      </c>
      <c r="E36" s="122">
        <v>37012</v>
      </c>
      <c r="F36" s="123">
        <v>42822</v>
      </c>
      <c r="G36">
        <f t="shared" si="0"/>
        <v>3</v>
      </c>
      <c r="H36">
        <f t="shared" si="1"/>
        <v>2017</v>
      </c>
      <c r="I36">
        <f t="shared" si="2"/>
        <v>5</v>
      </c>
      <c r="J36">
        <f t="shared" si="3"/>
        <v>2001</v>
      </c>
    </row>
    <row r="37" spans="1:10" x14ac:dyDescent="0.25">
      <c r="A37" s="115">
        <v>3376</v>
      </c>
      <c r="B37" s="119" t="s">
        <v>327</v>
      </c>
      <c r="C37" s="121" t="s">
        <v>79</v>
      </c>
      <c r="D37" s="119" t="s">
        <v>328</v>
      </c>
      <c r="E37" s="124">
        <v>41084</v>
      </c>
      <c r="F37" s="125">
        <v>42824</v>
      </c>
      <c r="G37">
        <f t="shared" si="0"/>
        <v>3</v>
      </c>
      <c r="H37">
        <f t="shared" si="1"/>
        <v>2017</v>
      </c>
      <c r="I37">
        <f t="shared" si="2"/>
        <v>6</v>
      </c>
      <c r="J37">
        <f t="shared" si="3"/>
        <v>2012</v>
      </c>
    </row>
    <row r="38" spans="1:10" x14ac:dyDescent="0.25">
      <c r="A38" s="114">
        <v>3774</v>
      </c>
      <c r="B38" s="118" t="s">
        <v>329</v>
      </c>
      <c r="C38" s="118" t="s">
        <v>39</v>
      </c>
      <c r="D38" s="118" t="s">
        <v>224</v>
      </c>
      <c r="E38" s="122">
        <v>42022</v>
      </c>
      <c r="F38" s="123">
        <v>42824</v>
      </c>
      <c r="G38">
        <f t="shared" si="0"/>
        <v>3</v>
      </c>
      <c r="H38">
        <f t="shared" si="1"/>
        <v>2017</v>
      </c>
      <c r="I38">
        <f t="shared" si="2"/>
        <v>1</v>
      </c>
      <c r="J38">
        <f t="shared" si="3"/>
        <v>2015</v>
      </c>
    </row>
    <row r="39" spans="1:10" x14ac:dyDescent="0.25">
      <c r="A39" s="115">
        <v>1727</v>
      </c>
      <c r="B39" s="119" t="s">
        <v>330</v>
      </c>
      <c r="C39" s="121" t="s">
        <v>79</v>
      </c>
      <c r="D39" s="119" t="s">
        <v>328</v>
      </c>
      <c r="E39" s="124">
        <v>38749</v>
      </c>
      <c r="F39" s="125">
        <v>42830</v>
      </c>
      <c r="G39">
        <f t="shared" si="0"/>
        <v>4</v>
      </c>
      <c r="H39">
        <f t="shared" si="1"/>
        <v>2017</v>
      </c>
      <c r="I39">
        <f t="shared" si="2"/>
        <v>2</v>
      </c>
      <c r="J39">
        <f t="shared" si="3"/>
        <v>2006</v>
      </c>
    </row>
    <row r="40" spans="1:10" x14ac:dyDescent="0.25">
      <c r="A40" s="116">
        <v>3308</v>
      </c>
      <c r="B40" s="120" t="s">
        <v>331</v>
      </c>
      <c r="C40" s="120" t="s">
        <v>79</v>
      </c>
      <c r="D40" s="118" t="s">
        <v>207</v>
      </c>
      <c r="E40" s="126">
        <v>40870</v>
      </c>
      <c r="F40" s="127">
        <v>42837</v>
      </c>
      <c r="G40">
        <f t="shared" si="0"/>
        <v>4</v>
      </c>
      <c r="H40">
        <f t="shared" si="1"/>
        <v>2017</v>
      </c>
      <c r="I40">
        <f t="shared" si="2"/>
        <v>11</v>
      </c>
      <c r="J40">
        <f t="shared" si="3"/>
        <v>2011</v>
      </c>
    </row>
    <row r="41" spans="1:10" x14ac:dyDescent="0.25">
      <c r="A41" s="115">
        <v>3897</v>
      </c>
      <c r="B41" s="119" t="s">
        <v>332</v>
      </c>
      <c r="C41" s="119" t="s">
        <v>39</v>
      </c>
      <c r="D41" s="119" t="s">
        <v>230</v>
      </c>
      <c r="E41" s="124">
        <v>42353</v>
      </c>
      <c r="F41" s="125">
        <v>42838</v>
      </c>
      <c r="G41">
        <f t="shared" si="0"/>
        <v>4</v>
      </c>
      <c r="H41">
        <f t="shared" si="1"/>
        <v>2017</v>
      </c>
      <c r="I41">
        <f t="shared" si="2"/>
        <v>12</v>
      </c>
      <c r="J41">
        <f t="shared" si="3"/>
        <v>2015</v>
      </c>
    </row>
    <row r="42" spans="1:10" x14ac:dyDescent="0.25">
      <c r="A42" s="114">
        <v>4083</v>
      </c>
      <c r="B42" s="118" t="s">
        <v>333</v>
      </c>
      <c r="C42" s="118" t="s">
        <v>39</v>
      </c>
      <c r="D42" s="118" t="s">
        <v>230</v>
      </c>
      <c r="E42" s="122">
        <v>42716</v>
      </c>
      <c r="F42" s="123">
        <v>42841</v>
      </c>
      <c r="G42">
        <f t="shared" si="0"/>
        <v>4</v>
      </c>
      <c r="H42">
        <f t="shared" si="1"/>
        <v>2017</v>
      </c>
      <c r="I42">
        <f t="shared" si="2"/>
        <v>12</v>
      </c>
      <c r="J42">
        <f t="shared" si="3"/>
        <v>2016</v>
      </c>
    </row>
    <row r="43" spans="1:10" x14ac:dyDescent="0.25">
      <c r="A43" s="115">
        <v>4026</v>
      </c>
      <c r="B43" s="119" t="s">
        <v>334</v>
      </c>
      <c r="C43" s="119" t="s">
        <v>73</v>
      </c>
      <c r="D43" s="119" t="s">
        <v>335</v>
      </c>
      <c r="E43" s="124">
        <v>42617</v>
      </c>
      <c r="F43" s="125">
        <v>42843</v>
      </c>
      <c r="G43">
        <f t="shared" si="0"/>
        <v>4</v>
      </c>
      <c r="H43">
        <f t="shared" si="1"/>
        <v>2017</v>
      </c>
      <c r="I43">
        <f t="shared" si="2"/>
        <v>9</v>
      </c>
      <c r="J43">
        <f t="shared" si="3"/>
        <v>2016</v>
      </c>
    </row>
    <row r="44" spans="1:10" x14ac:dyDescent="0.25">
      <c r="A44" s="114">
        <v>1693</v>
      </c>
      <c r="B44" s="118" t="s">
        <v>336</v>
      </c>
      <c r="C44" s="118" t="s">
        <v>337</v>
      </c>
      <c r="D44" s="118" t="s">
        <v>66</v>
      </c>
      <c r="E44" s="122">
        <v>38354</v>
      </c>
      <c r="F44" s="123">
        <v>42845</v>
      </c>
      <c r="G44">
        <f t="shared" si="0"/>
        <v>4</v>
      </c>
      <c r="H44">
        <f t="shared" si="1"/>
        <v>2017</v>
      </c>
      <c r="I44">
        <f t="shared" si="2"/>
        <v>1</v>
      </c>
      <c r="J44">
        <f t="shared" si="3"/>
        <v>2005</v>
      </c>
    </row>
    <row r="45" spans="1:10" x14ac:dyDescent="0.25">
      <c r="A45" s="115">
        <v>4094</v>
      </c>
      <c r="B45" s="119" t="s">
        <v>338</v>
      </c>
      <c r="C45" s="119" t="s">
        <v>75</v>
      </c>
      <c r="D45" s="119" t="s">
        <v>339</v>
      </c>
      <c r="E45" s="124">
        <v>42737</v>
      </c>
      <c r="F45" s="125">
        <v>42845</v>
      </c>
      <c r="G45">
        <f t="shared" si="0"/>
        <v>4</v>
      </c>
      <c r="H45">
        <f t="shared" si="1"/>
        <v>2017</v>
      </c>
      <c r="I45">
        <f t="shared" si="2"/>
        <v>1</v>
      </c>
      <c r="J45">
        <f t="shared" si="3"/>
        <v>2017</v>
      </c>
    </row>
    <row r="46" spans="1:10" x14ac:dyDescent="0.25">
      <c r="A46" s="114">
        <v>3908</v>
      </c>
      <c r="B46" s="118" t="s">
        <v>340</v>
      </c>
      <c r="C46" s="118" t="s">
        <v>39</v>
      </c>
      <c r="D46" s="118" t="s">
        <v>230</v>
      </c>
      <c r="E46" s="122">
        <v>42353</v>
      </c>
      <c r="F46" s="123">
        <v>42845</v>
      </c>
      <c r="G46">
        <f t="shared" si="0"/>
        <v>4</v>
      </c>
      <c r="H46">
        <f t="shared" si="1"/>
        <v>2017</v>
      </c>
      <c r="I46">
        <f t="shared" si="2"/>
        <v>12</v>
      </c>
      <c r="J46">
        <f t="shared" si="3"/>
        <v>2015</v>
      </c>
    </row>
    <row r="47" spans="1:10" x14ac:dyDescent="0.25">
      <c r="A47" s="115">
        <v>3956</v>
      </c>
      <c r="B47" s="119" t="s">
        <v>341</v>
      </c>
      <c r="C47" s="119" t="s">
        <v>39</v>
      </c>
      <c r="D47" s="119" t="s">
        <v>230</v>
      </c>
      <c r="E47" s="124">
        <v>42463</v>
      </c>
      <c r="F47" s="125">
        <v>42845</v>
      </c>
      <c r="G47">
        <f t="shared" si="0"/>
        <v>4</v>
      </c>
      <c r="H47">
        <f t="shared" si="1"/>
        <v>2017</v>
      </c>
      <c r="I47">
        <f t="shared" si="2"/>
        <v>4</v>
      </c>
      <c r="J47">
        <f t="shared" si="3"/>
        <v>2016</v>
      </c>
    </row>
    <row r="48" spans="1:10" x14ac:dyDescent="0.25">
      <c r="A48" s="114">
        <v>4067</v>
      </c>
      <c r="B48" s="118" t="s">
        <v>342</v>
      </c>
      <c r="C48" s="118" t="s">
        <v>39</v>
      </c>
      <c r="D48" s="118" t="s">
        <v>43</v>
      </c>
      <c r="E48" s="122">
        <v>42680</v>
      </c>
      <c r="F48" s="123">
        <v>42845</v>
      </c>
      <c r="G48">
        <f t="shared" si="0"/>
        <v>4</v>
      </c>
      <c r="H48">
        <f t="shared" si="1"/>
        <v>2017</v>
      </c>
      <c r="I48">
        <f t="shared" si="2"/>
        <v>11</v>
      </c>
      <c r="J48">
        <f t="shared" si="3"/>
        <v>2016</v>
      </c>
    </row>
    <row r="49" spans="1:10" x14ac:dyDescent="0.25">
      <c r="A49" s="117">
        <v>1951</v>
      </c>
      <c r="B49" s="121" t="s">
        <v>343</v>
      </c>
      <c r="C49" s="119" t="s">
        <v>38</v>
      </c>
      <c r="D49" s="119" t="s">
        <v>59</v>
      </c>
      <c r="E49" s="128">
        <v>39217</v>
      </c>
      <c r="F49" s="129">
        <v>42846</v>
      </c>
      <c r="G49">
        <f t="shared" si="0"/>
        <v>4</v>
      </c>
      <c r="H49">
        <f t="shared" si="1"/>
        <v>2017</v>
      </c>
      <c r="I49">
        <f t="shared" si="2"/>
        <v>5</v>
      </c>
      <c r="J49">
        <f t="shared" si="3"/>
        <v>2007</v>
      </c>
    </row>
    <row r="50" spans="1:10" x14ac:dyDescent="0.25">
      <c r="A50" s="114">
        <v>4111</v>
      </c>
      <c r="B50" s="118" t="s">
        <v>344</v>
      </c>
      <c r="C50" s="118" t="s">
        <v>39</v>
      </c>
      <c r="D50" s="118" t="s">
        <v>41</v>
      </c>
      <c r="E50" s="122">
        <v>42795</v>
      </c>
      <c r="F50" s="123">
        <v>42851</v>
      </c>
      <c r="G50">
        <f t="shared" si="0"/>
        <v>4</v>
      </c>
      <c r="H50">
        <f t="shared" si="1"/>
        <v>2017</v>
      </c>
      <c r="I50">
        <f t="shared" si="2"/>
        <v>3</v>
      </c>
      <c r="J50">
        <f t="shared" si="3"/>
        <v>2017</v>
      </c>
    </row>
    <row r="51" spans="1:10" x14ac:dyDescent="0.25">
      <c r="A51" s="115">
        <v>3395</v>
      </c>
      <c r="B51" s="119" t="s">
        <v>345</v>
      </c>
      <c r="C51" s="119" t="s">
        <v>39</v>
      </c>
      <c r="D51" s="119" t="s">
        <v>41</v>
      </c>
      <c r="E51" s="124">
        <v>41162</v>
      </c>
      <c r="F51" s="125">
        <v>42851</v>
      </c>
      <c r="G51">
        <f t="shared" si="0"/>
        <v>4</v>
      </c>
      <c r="H51">
        <f t="shared" si="1"/>
        <v>2017</v>
      </c>
      <c r="I51">
        <f t="shared" si="2"/>
        <v>9</v>
      </c>
      <c r="J51">
        <f t="shared" si="3"/>
        <v>2012</v>
      </c>
    </row>
    <row r="52" spans="1:10" x14ac:dyDescent="0.25">
      <c r="A52" s="116">
        <v>2875</v>
      </c>
      <c r="B52" s="120" t="s">
        <v>346</v>
      </c>
      <c r="C52" s="120" t="s">
        <v>79</v>
      </c>
      <c r="D52" s="118" t="s">
        <v>347</v>
      </c>
      <c r="E52" s="126">
        <v>39783</v>
      </c>
      <c r="F52" s="127">
        <v>42852</v>
      </c>
      <c r="G52">
        <f t="shared" si="0"/>
        <v>4</v>
      </c>
      <c r="H52">
        <f t="shared" si="1"/>
        <v>2017</v>
      </c>
      <c r="I52">
        <f t="shared" si="2"/>
        <v>12</v>
      </c>
      <c r="J52">
        <f t="shared" si="3"/>
        <v>2008</v>
      </c>
    </row>
    <row r="53" spans="1:10" x14ac:dyDescent="0.25">
      <c r="A53" s="115">
        <v>3627</v>
      </c>
      <c r="B53" s="119" t="s">
        <v>348</v>
      </c>
      <c r="C53" s="119" t="s">
        <v>38</v>
      </c>
      <c r="D53" s="119" t="s">
        <v>349</v>
      </c>
      <c r="E53" s="124">
        <v>41707</v>
      </c>
      <c r="F53" s="125">
        <v>42855</v>
      </c>
      <c r="G53">
        <f t="shared" si="0"/>
        <v>4</v>
      </c>
      <c r="H53">
        <f t="shared" si="1"/>
        <v>2017</v>
      </c>
      <c r="I53">
        <f t="shared" si="2"/>
        <v>3</v>
      </c>
      <c r="J53">
        <f t="shared" si="3"/>
        <v>2014</v>
      </c>
    </row>
    <row r="54" spans="1:10" x14ac:dyDescent="0.25">
      <c r="A54" s="114">
        <v>3755</v>
      </c>
      <c r="B54" s="118" t="s">
        <v>350</v>
      </c>
      <c r="C54" s="118" t="s">
        <v>39</v>
      </c>
      <c r="D54" s="118" t="s">
        <v>230</v>
      </c>
      <c r="E54" s="122">
        <v>41994</v>
      </c>
      <c r="F54" s="123">
        <v>42855</v>
      </c>
      <c r="G54">
        <f t="shared" si="0"/>
        <v>4</v>
      </c>
      <c r="H54">
        <f t="shared" si="1"/>
        <v>2017</v>
      </c>
      <c r="I54">
        <f t="shared" si="2"/>
        <v>12</v>
      </c>
      <c r="J54">
        <f t="shared" si="3"/>
        <v>2014</v>
      </c>
    </row>
    <row r="55" spans="1:10" x14ac:dyDescent="0.25">
      <c r="A55" s="115">
        <v>3901</v>
      </c>
      <c r="B55" s="119" t="s">
        <v>351</v>
      </c>
      <c r="C55" s="119" t="s">
        <v>39</v>
      </c>
      <c r="D55" s="119" t="s">
        <v>230</v>
      </c>
      <c r="E55" s="124">
        <v>42353</v>
      </c>
      <c r="F55" s="125">
        <v>42855</v>
      </c>
      <c r="G55">
        <f t="shared" si="0"/>
        <v>4</v>
      </c>
      <c r="H55">
        <f t="shared" si="1"/>
        <v>2017</v>
      </c>
      <c r="I55">
        <f t="shared" si="2"/>
        <v>12</v>
      </c>
      <c r="J55">
        <f t="shared" si="3"/>
        <v>2015</v>
      </c>
    </row>
    <row r="56" spans="1:10" x14ac:dyDescent="0.25">
      <c r="A56" s="114">
        <v>3637</v>
      </c>
      <c r="B56" s="118" t="s">
        <v>352</v>
      </c>
      <c r="C56" s="118" t="s">
        <v>39</v>
      </c>
      <c r="D56" s="118" t="s">
        <v>41</v>
      </c>
      <c r="E56" s="122">
        <v>41730</v>
      </c>
      <c r="F56" s="123">
        <v>42855</v>
      </c>
      <c r="G56">
        <f t="shared" si="0"/>
        <v>4</v>
      </c>
      <c r="H56">
        <f t="shared" si="1"/>
        <v>2017</v>
      </c>
      <c r="I56">
        <f t="shared" si="2"/>
        <v>4</v>
      </c>
      <c r="J56">
        <f t="shared" si="3"/>
        <v>2014</v>
      </c>
    </row>
    <row r="57" spans="1:10" x14ac:dyDescent="0.25">
      <c r="A57" s="117">
        <v>3844</v>
      </c>
      <c r="B57" s="121" t="s">
        <v>353</v>
      </c>
      <c r="C57" s="119" t="s">
        <v>39</v>
      </c>
      <c r="D57" s="119" t="s">
        <v>41</v>
      </c>
      <c r="E57" s="128">
        <v>42218</v>
      </c>
      <c r="F57" s="129">
        <v>42855</v>
      </c>
      <c r="G57">
        <f t="shared" si="0"/>
        <v>4</v>
      </c>
      <c r="H57">
        <f t="shared" si="1"/>
        <v>2017</v>
      </c>
      <c r="I57">
        <f t="shared" si="2"/>
        <v>8</v>
      </c>
      <c r="J57">
        <f t="shared" si="3"/>
        <v>2015</v>
      </c>
    </row>
    <row r="58" spans="1:10" x14ac:dyDescent="0.25">
      <c r="A58" s="114">
        <v>3264</v>
      </c>
      <c r="B58" s="118" t="s">
        <v>354</v>
      </c>
      <c r="C58" s="118" t="s">
        <v>337</v>
      </c>
      <c r="D58" s="118" t="s">
        <v>355</v>
      </c>
      <c r="E58" s="122">
        <v>40790</v>
      </c>
      <c r="F58" s="123">
        <v>42856</v>
      </c>
      <c r="G58">
        <f t="shared" si="0"/>
        <v>5</v>
      </c>
      <c r="H58">
        <f t="shared" si="1"/>
        <v>2017</v>
      </c>
      <c r="I58">
        <f t="shared" si="2"/>
        <v>9</v>
      </c>
      <c r="J58">
        <f t="shared" si="3"/>
        <v>2011</v>
      </c>
    </row>
    <row r="59" spans="1:10" x14ac:dyDescent="0.25">
      <c r="A59" s="115">
        <v>3435</v>
      </c>
      <c r="B59" s="119" t="s">
        <v>356</v>
      </c>
      <c r="C59" s="119" t="s">
        <v>39</v>
      </c>
      <c r="D59" s="119" t="s">
        <v>41</v>
      </c>
      <c r="E59" s="124">
        <v>41218</v>
      </c>
      <c r="F59" s="125">
        <v>42859</v>
      </c>
      <c r="G59">
        <f t="shared" si="0"/>
        <v>5</v>
      </c>
      <c r="H59">
        <f t="shared" si="1"/>
        <v>2017</v>
      </c>
      <c r="I59">
        <f t="shared" si="2"/>
        <v>11</v>
      </c>
      <c r="J59">
        <f t="shared" si="3"/>
        <v>2012</v>
      </c>
    </row>
    <row r="60" spans="1:10" x14ac:dyDescent="0.25">
      <c r="A60" s="114">
        <v>3857</v>
      </c>
      <c r="B60" s="118" t="s">
        <v>357</v>
      </c>
      <c r="C60" s="118" t="s">
        <v>39</v>
      </c>
      <c r="D60" s="118" t="s">
        <v>43</v>
      </c>
      <c r="E60" s="122">
        <v>42278</v>
      </c>
      <c r="F60" s="123">
        <v>42862</v>
      </c>
      <c r="G60">
        <f t="shared" si="0"/>
        <v>5</v>
      </c>
      <c r="H60">
        <f t="shared" si="1"/>
        <v>2017</v>
      </c>
      <c r="I60">
        <f t="shared" si="2"/>
        <v>10</v>
      </c>
      <c r="J60">
        <f t="shared" si="3"/>
        <v>2015</v>
      </c>
    </row>
    <row r="61" spans="1:10" x14ac:dyDescent="0.25">
      <c r="A61" s="115">
        <v>4054</v>
      </c>
      <c r="B61" s="119" t="s">
        <v>358</v>
      </c>
      <c r="C61" s="119" t="s">
        <v>74</v>
      </c>
      <c r="D61" s="119" t="s">
        <v>56</v>
      </c>
      <c r="E61" s="124">
        <v>42646</v>
      </c>
      <c r="F61" s="125">
        <v>42863</v>
      </c>
      <c r="G61">
        <f t="shared" si="0"/>
        <v>5</v>
      </c>
      <c r="H61">
        <f t="shared" si="1"/>
        <v>2017</v>
      </c>
      <c r="I61">
        <f t="shared" si="2"/>
        <v>10</v>
      </c>
      <c r="J61">
        <f t="shared" si="3"/>
        <v>2016</v>
      </c>
    </row>
    <row r="62" spans="1:10" x14ac:dyDescent="0.25">
      <c r="A62" s="114">
        <v>4063</v>
      </c>
      <c r="B62" s="118" t="s">
        <v>359</v>
      </c>
      <c r="C62" s="118" t="s">
        <v>39</v>
      </c>
      <c r="D62" s="118" t="s">
        <v>230</v>
      </c>
      <c r="E62" s="122">
        <v>42659</v>
      </c>
      <c r="F62" s="123">
        <v>42864</v>
      </c>
      <c r="G62">
        <f t="shared" si="0"/>
        <v>5</v>
      </c>
      <c r="H62">
        <f t="shared" si="1"/>
        <v>2017</v>
      </c>
      <c r="I62">
        <f t="shared" si="2"/>
        <v>10</v>
      </c>
      <c r="J62">
        <f t="shared" si="3"/>
        <v>2016</v>
      </c>
    </row>
    <row r="63" spans="1:10" x14ac:dyDescent="0.25">
      <c r="A63" s="115">
        <v>1136</v>
      </c>
      <c r="B63" s="119" t="s">
        <v>360</v>
      </c>
      <c r="C63" s="119" t="s">
        <v>39</v>
      </c>
      <c r="D63" s="119" t="s">
        <v>230</v>
      </c>
      <c r="E63" s="124">
        <v>33441</v>
      </c>
      <c r="F63" s="125">
        <v>42866</v>
      </c>
      <c r="G63">
        <f t="shared" si="0"/>
        <v>5</v>
      </c>
      <c r="H63">
        <f t="shared" si="1"/>
        <v>2017</v>
      </c>
      <c r="I63">
        <f t="shared" si="2"/>
        <v>7</v>
      </c>
      <c r="J63">
        <f t="shared" si="3"/>
        <v>1991</v>
      </c>
    </row>
    <row r="64" spans="1:10" x14ac:dyDescent="0.25">
      <c r="A64" s="114">
        <v>4119</v>
      </c>
      <c r="B64" s="118" t="s">
        <v>361</v>
      </c>
      <c r="C64" s="118" t="s">
        <v>362</v>
      </c>
      <c r="D64" s="118" t="s">
        <v>57</v>
      </c>
      <c r="E64" s="122">
        <v>42799</v>
      </c>
      <c r="F64" s="123">
        <v>42869</v>
      </c>
      <c r="G64">
        <f t="shared" si="0"/>
        <v>5</v>
      </c>
      <c r="H64">
        <f t="shared" si="1"/>
        <v>2017</v>
      </c>
      <c r="I64">
        <f t="shared" si="2"/>
        <v>3</v>
      </c>
      <c r="J64">
        <f t="shared" si="3"/>
        <v>2017</v>
      </c>
    </row>
    <row r="65" spans="1:10" x14ac:dyDescent="0.25">
      <c r="A65" s="115">
        <v>3677</v>
      </c>
      <c r="B65" s="119" t="s">
        <v>363</v>
      </c>
      <c r="C65" s="119" t="s">
        <v>39</v>
      </c>
      <c r="D65" s="119" t="s">
        <v>41</v>
      </c>
      <c r="E65" s="124">
        <v>41777</v>
      </c>
      <c r="F65" s="125">
        <v>42873</v>
      </c>
      <c r="G65">
        <f t="shared" si="0"/>
        <v>5</v>
      </c>
      <c r="H65">
        <f t="shared" si="1"/>
        <v>2017</v>
      </c>
      <c r="I65">
        <f t="shared" si="2"/>
        <v>5</v>
      </c>
      <c r="J65">
        <f t="shared" si="3"/>
        <v>2014</v>
      </c>
    </row>
    <row r="66" spans="1:10" x14ac:dyDescent="0.25">
      <c r="A66" s="114">
        <v>4102</v>
      </c>
      <c r="B66" s="118" t="s">
        <v>364</v>
      </c>
      <c r="C66" s="118" t="s">
        <v>67</v>
      </c>
      <c r="D66" s="118" t="s">
        <v>286</v>
      </c>
      <c r="E66" s="122">
        <v>42767</v>
      </c>
      <c r="F66" s="123">
        <v>42878</v>
      </c>
      <c r="G66">
        <f t="shared" si="0"/>
        <v>5</v>
      </c>
      <c r="H66">
        <f t="shared" si="1"/>
        <v>2017</v>
      </c>
      <c r="I66">
        <f t="shared" si="2"/>
        <v>2</v>
      </c>
      <c r="J66">
        <f t="shared" si="3"/>
        <v>2017</v>
      </c>
    </row>
    <row r="67" spans="1:10" x14ac:dyDescent="0.25">
      <c r="A67" s="115">
        <v>3674</v>
      </c>
      <c r="B67" s="119" t="s">
        <v>365</v>
      </c>
      <c r="C67" s="119" t="s">
        <v>38</v>
      </c>
      <c r="D67" s="119" t="s">
        <v>316</v>
      </c>
      <c r="E67" s="124">
        <v>41763</v>
      </c>
      <c r="F67" s="125">
        <v>42880</v>
      </c>
      <c r="G67">
        <f t="shared" ref="G67:G102" si="4">MONTH(F67)</f>
        <v>5</v>
      </c>
      <c r="H67">
        <f t="shared" ref="H67:H102" si="5">YEAR(F67)</f>
        <v>2017</v>
      </c>
      <c r="I67">
        <f t="shared" ref="I67:I102" si="6">MONTH(E67)</f>
        <v>5</v>
      </c>
      <c r="J67">
        <f t="shared" ref="J67:J102" si="7">YEAR(E67)</f>
        <v>2014</v>
      </c>
    </row>
    <row r="68" spans="1:10" x14ac:dyDescent="0.25">
      <c r="A68" s="114">
        <v>135</v>
      </c>
      <c r="B68" s="118" t="s">
        <v>366</v>
      </c>
      <c r="C68" s="118" t="s">
        <v>34</v>
      </c>
      <c r="D68" s="118" t="s">
        <v>34</v>
      </c>
      <c r="E68" s="122">
        <v>28560</v>
      </c>
      <c r="F68" s="123">
        <v>42886</v>
      </c>
      <c r="G68">
        <f t="shared" si="4"/>
        <v>5</v>
      </c>
      <c r="H68">
        <f t="shared" si="5"/>
        <v>2017</v>
      </c>
      <c r="I68">
        <f t="shared" si="6"/>
        <v>3</v>
      </c>
      <c r="J68">
        <f t="shared" si="7"/>
        <v>1978</v>
      </c>
    </row>
    <row r="69" spans="1:10" x14ac:dyDescent="0.25">
      <c r="A69" s="115">
        <v>3442</v>
      </c>
      <c r="B69" s="119" t="s">
        <v>367</v>
      </c>
      <c r="C69" s="119" t="s">
        <v>67</v>
      </c>
      <c r="D69" s="119" t="s">
        <v>368</v>
      </c>
      <c r="E69" s="124">
        <v>41248</v>
      </c>
      <c r="F69" s="125">
        <v>42886</v>
      </c>
      <c r="G69">
        <f t="shared" si="4"/>
        <v>5</v>
      </c>
      <c r="H69">
        <f t="shared" si="5"/>
        <v>2017</v>
      </c>
      <c r="I69">
        <f t="shared" si="6"/>
        <v>12</v>
      </c>
      <c r="J69">
        <f t="shared" si="7"/>
        <v>2012</v>
      </c>
    </row>
    <row r="70" spans="1:10" x14ac:dyDescent="0.25">
      <c r="A70" s="114">
        <v>3599</v>
      </c>
      <c r="B70" s="118" t="s">
        <v>369</v>
      </c>
      <c r="C70" s="118" t="s">
        <v>75</v>
      </c>
      <c r="D70" s="118" t="s">
        <v>339</v>
      </c>
      <c r="E70" s="122">
        <v>41588</v>
      </c>
      <c r="F70" s="123">
        <v>42890</v>
      </c>
      <c r="G70">
        <f t="shared" si="4"/>
        <v>6</v>
      </c>
      <c r="H70">
        <f t="shared" si="5"/>
        <v>2017</v>
      </c>
      <c r="I70">
        <f t="shared" si="6"/>
        <v>11</v>
      </c>
      <c r="J70">
        <f t="shared" si="7"/>
        <v>2013</v>
      </c>
    </row>
    <row r="71" spans="1:10" x14ac:dyDescent="0.25">
      <c r="A71" s="115">
        <v>4161</v>
      </c>
      <c r="B71" s="119" t="s">
        <v>370</v>
      </c>
      <c r="C71" s="119" t="s">
        <v>39</v>
      </c>
      <c r="D71" s="119" t="s">
        <v>371</v>
      </c>
      <c r="E71" s="124">
        <v>42960</v>
      </c>
      <c r="F71" s="125">
        <v>42890</v>
      </c>
      <c r="G71">
        <f t="shared" si="4"/>
        <v>6</v>
      </c>
      <c r="H71">
        <f t="shared" si="5"/>
        <v>2017</v>
      </c>
      <c r="I71">
        <f t="shared" si="6"/>
        <v>8</v>
      </c>
      <c r="J71">
        <f t="shared" si="7"/>
        <v>2017</v>
      </c>
    </row>
    <row r="72" spans="1:10" x14ac:dyDescent="0.25">
      <c r="A72" s="114">
        <v>3716</v>
      </c>
      <c r="B72" s="118" t="s">
        <v>372</v>
      </c>
      <c r="C72" s="118" t="s">
        <v>39</v>
      </c>
      <c r="D72" s="118" t="s">
        <v>230</v>
      </c>
      <c r="E72" s="122">
        <v>41898</v>
      </c>
      <c r="F72" s="123">
        <v>42901</v>
      </c>
      <c r="G72">
        <f t="shared" si="4"/>
        <v>6</v>
      </c>
      <c r="H72">
        <f t="shared" si="5"/>
        <v>2017</v>
      </c>
      <c r="I72">
        <f t="shared" si="6"/>
        <v>9</v>
      </c>
      <c r="J72">
        <f t="shared" si="7"/>
        <v>2014</v>
      </c>
    </row>
    <row r="73" spans="1:10" x14ac:dyDescent="0.25">
      <c r="A73" s="115">
        <v>2620</v>
      </c>
      <c r="B73" s="119" t="s">
        <v>373</v>
      </c>
      <c r="C73" s="119" t="s">
        <v>39</v>
      </c>
      <c r="D73" s="119" t="s">
        <v>41</v>
      </c>
      <c r="E73" s="124">
        <v>39078</v>
      </c>
      <c r="F73" s="125">
        <v>42901</v>
      </c>
      <c r="G73">
        <f t="shared" si="4"/>
        <v>6</v>
      </c>
      <c r="H73">
        <f t="shared" si="5"/>
        <v>2017</v>
      </c>
      <c r="I73">
        <f t="shared" si="6"/>
        <v>12</v>
      </c>
      <c r="J73">
        <f t="shared" si="7"/>
        <v>2006</v>
      </c>
    </row>
    <row r="74" spans="1:10" x14ac:dyDescent="0.25">
      <c r="A74" s="114">
        <v>3746</v>
      </c>
      <c r="B74" s="118" t="s">
        <v>374</v>
      </c>
      <c r="C74" s="118" t="s">
        <v>77</v>
      </c>
      <c r="D74" s="118" t="s">
        <v>58</v>
      </c>
      <c r="E74" s="122">
        <v>41966</v>
      </c>
      <c r="F74" s="123">
        <v>42908</v>
      </c>
      <c r="G74">
        <f t="shared" si="4"/>
        <v>6</v>
      </c>
      <c r="H74">
        <f t="shared" si="5"/>
        <v>2017</v>
      </c>
      <c r="I74">
        <f t="shared" si="6"/>
        <v>11</v>
      </c>
      <c r="J74">
        <f t="shared" si="7"/>
        <v>2014</v>
      </c>
    </row>
    <row r="75" spans="1:10" x14ac:dyDescent="0.25">
      <c r="A75" s="115">
        <v>3289</v>
      </c>
      <c r="B75" s="119" t="s">
        <v>375</v>
      </c>
      <c r="C75" s="119" t="s">
        <v>67</v>
      </c>
      <c r="D75" s="119" t="s">
        <v>368</v>
      </c>
      <c r="E75" s="124">
        <v>40818</v>
      </c>
      <c r="F75" s="125">
        <v>42908</v>
      </c>
      <c r="G75">
        <f t="shared" si="4"/>
        <v>6</v>
      </c>
      <c r="H75">
        <f t="shared" si="5"/>
        <v>2017</v>
      </c>
      <c r="I75">
        <f t="shared" si="6"/>
        <v>10</v>
      </c>
      <c r="J75">
        <f t="shared" si="7"/>
        <v>2011</v>
      </c>
    </row>
    <row r="76" spans="1:10" x14ac:dyDescent="0.25">
      <c r="A76" s="114">
        <v>3940</v>
      </c>
      <c r="B76" s="118" t="s">
        <v>376</v>
      </c>
      <c r="C76" s="118" t="s">
        <v>39</v>
      </c>
      <c r="D76" s="118" t="s">
        <v>230</v>
      </c>
      <c r="E76" s="122">
        <v>42463</v>
      </c>
      <c r="F76" s="123">
        <v>42908</v>
      </c>
      <c r="G76">
        <f t="shared" si="4"/>
        <v>6</v>
      </c>
      <c r="H76">
        <f t="shared" si="5"/>
        <v>2017</v>
      </c>
      <c r="I76">
        <f t="shared" si="6"/>
        <v>4</v>
      </c>
      <c r="J76">
        <f t="shared" si="7"/>
        <v>2016</v>
      </c>
    </row>
    <row r="77" spans="1:10" x14ac:dyDescent="0.25">
      <c r="A77" s="115">
        <v>3883</v>
      </c>
      <c r="B77" s="119" t="s">
        <v>377</v>
      </c>
      <c r="C77" s="119" t="s">
        <v>67</v>
      </c>
      <c r="D77" s="119" t="s">
        <v>220</v>
      </c>
      <c r="E77" s="124">
        <v>42302</v>
      </c>
      <c r="F77" s="125">
        <v>42913</v>
      </c>
      <c r="G77">
        <f t="shared" si="4"/>
        <v>6</v>
      </c>
      <c r="H77">
        <f t="shared" si="5"/>
        <v>2017</v>
      </c>
      <c r="I77">
        <f t="shared" si="6"/>
        <v>10</v>
      </c>
      <c r="J77">
        <f t="shared" si="7"/>
        <v>2015</v>
      </c>
    </row>
    <row r="78" spans="1:10" x14ac:dyDescent="0.25">
      <c r="A78" s="114">
        <v>771</v>
      </c>
      <c r="B78" s="118" t="s">
        <v>378</v>
      </c>
      <c r="C78" s="118" t="s">
        <v>379</v>
      </c>
      <c r="D78" s="118" t="s">
        <v>379</v>
      </c>
      <c r="E78" s="122">
        <v>33796</v>
      </c>
      <c r="F78" s="123">
        <v>42916</v>
      </c>
      <c r="G78">
        <f t="shared" si="4"/>
        <v>6</v>
      </c>
      <c r="H78">
        <f t="shared" si="5"/>
        <v>2017</v>
      </c>
      <c r="I78">
        <f t="shared" si="6"/>
        <v>7</v>
      </c>
      <c r="J78">
        <f t="shared" si="7"/>
        <v>1992</v>
      </c>
    </row>
    <row r="79" spans="1:10" x14ac:dyDescent="0.25">
      <c r="A79" s="115">
        <v>3307</v>
      </c>
      <c r="B79" s="119" t="s">
        <v>380</v>
      </c>
      <c r="C79" s="119" t="s">
        <v>379</v>
      </c>
      <c r="D79" s="119" t="s">
        <v>379</v>
      </c>
      <c r="E79" s="124">
        <v>40870</v>
      </c>
      <c r="F79" s="125">
        <v>42916</v>
      </c>
      <c r="G79">
        <f t="shared" si="4"/>
        <v>6</v>
      </c>
      <c r="H79">
        <f t="shared" si="5"/>
        <v>2017</v>
      </c>
      <c r="I79">
        <f t="shared" si="6"/>
        <v>11</v>
      </c>
      <c r="J79">
        <f t="shared" si="7"/>
        <v>2011</v>
      </c>
    </row>
    <row r="80" spans="1:10" x14ac:dyDescent="0.25">
      <c r="A80" s="114">
        <v>1121</v>
      </c>
      <c r="B80" s="118" t="s">
        <v>381</v>
      </c>
      <c r="C80" s="118" t="s">
        <v>67</v>
      </c>
      <c r="D80" s="118" t="s">
        <v>286</v>
      </c>
      <c r="E80" s="122">
        <v>33499</v>
      </c>
      <c r="F80" s="123">
        <v>42916</v>
      </c>
      <c r="G80">
        <f t="shared" si="4"/>
        <v>6</v>
      </c>
      <c r="H80">
        <f t="shared" si="5"/>
        <v>2017</v>
      </c>
      <c r="I80">
        <f t="shared" si="6"/>
        <v>9</v>
      </c>
      <c r="J80">
        <f t="shared" si="7"/>
        <v>1991</v>
      </c>
    </row>
    <row r="81" spans="1:10" x14ac:dyDescent="0.25">
      <c r="A81" s="115">
        <v>2427</v>
      </c>
      <c r="B81" s="119" t="s">
        <v>382</v>
      </c>
      <c r="C81" s="119" t="s">
        <v>67</v>
      </c>
      <c r="D81" s="119" t="s">
        <v>286</v>
      </c>
      <c r="E81" s="124">
        <v>38672</v>
      </c>
      <c r="F81" s="125">
        <v>42916</v>
      </c>
      <c r="G81">
        <f t="shared" si="4"/>
        <v>6</v>
      </c>
      <c r="H81">
        <f t="shared" si="5"/>
        <v>2017</v>
      </c>
      <c r="I81">
        <f t="shared" si="6"/>
        <v>11</v>
      </c>
      <c r="J81">
        <f t="shared" si="7"/>
        <v>2005</v>
      </c>
    </row>
    <row r="82" spans="1:10" x14ac:dyDescent="0.25">
      <c r="A82" s="114">
        <v>4029</v>
      </c>
      <c r="B82" s="118" t="s">
        <v>383</v>
      </c>
      <c r="C82" s="118" t="s">
        <v>39</v>
      </c>
      <c r="D82" s="118" t="s">
        <v>384</v>
      </c>
      <c r="E82" s="122">
        <v>42617</v>
      </c>
      <c r="F82" s="123">
        <v>42916</v>
      </c>
      <c r="G82">
        <f t="shared" si="4"/>
        <v>6</v>
      </c>
      <c r="H82">
        <f t="shared" si="5"/>
        <v>2017</v>
      </c>
      <c r="I82">
        <f t="shared" si="6"/>
        <v>9</v>
      </c>
      <c r="J82">
        <f t="shared" si="7"/>
        <v>2016</v>
      </c>
    </row>
    <row r="83" spans="1:10" x14ac:dyDescent="0.25">
      <c r="A83" s="115">
        <v>4148</v>
      </c>
      <c r="B83" s="119" t="s">
        <v>385</v>
      </c>
      <c r="C83" s="119" t="s">
        <v>39</v>
      </c>
      <c r="D83" s="119" t="s">
        <v>43</v>
      </c>
      <c r="E83" s="124">
        <v>42856</v>
      </c>
      <c r="F83" s="125">
        <v>42927</v>
      </c>
      <c r="G83">
        <f t="shared" si="4"/>
        <v>7</v>
      </c>
      <c r="H83">
        <f t="shared" si="5"/>
        <v>2017</v>
      </c>
      <c r="I83">
        <f t="shared" si="6"/>
        <v>5</v>
      </c>
      <c r="J83">
        <f t="shared" si="7"/>
        <v>2017</v>
      </c>
    </row>
    <row r="84" spans="1:10" x14ac:dyDescent="0.25">
      <c r="A84" s="114">
        <v>4133</v>
      </c>
      <c r="B84" s="118" t="s">
        <v>386</v>
      </c>
      <c r="C84" s="118" t="s">
        <v>39</v>
      </c>
      <c r="D84" s="118" t="s">
        <v>230</v>
      </c>
      <c r="E84" s="122">
        <v>42834</v>
      </c>
      <c r="F84" s="123">
        <v>42936</v>
      </c>
      <c r="G84">
        <f t="shared" si="4"/>
        <v>7</v>
      </c>
      <c r="H84">
        <f t="shared" si="5"/>
        <v>2017</v>
      </c>
      <c r="I84">
        <f t="shared" si="6"/>
        <v>4</v>
      </c>
      <c r="J84">
        <f t="shared" si="7"/>
        <v>2017</v>
      </c>
    </row>
    <row r="85" spans="1:10" x14ac:dyDescent="0.25">
      <c r="A85" s="115">
        <v>3587</v>
      </c>
      <c r="B85" s="119" t="s">
        <v>387</v>
      </c>
      <c r="C85" s="119" t="s">
        <v>38</v>
      </c>
      <c r="D85" s="119" t="s">
        <v>59</v>
      </c>
      <c r="E85" s="124">
        <v>41568</v>
      </c>
      <c r="F85" s="125">
        <v>42943</v>
      </c>
      <c r="G85">
        <f t="shared" si="4"/>
        <v>7</v>
      </c>
      <c r="H85">
        <f t="shared" si="5"/>
        <v>2017</v>
      </c>
      <c r="I85">
        <f t="shared" si="6"/>
        <v>10</v>
      </c>
      <c r="J85">
        <f t="shared" si="7"/>
        <v>2013</v>
      </c>
    </row>
    <row r="86" spans="1:10" x14ac:dyDescent="0.25">
      <c r="A86" s="114">
        <v>4031</v>
      </c>
      <c r="B86" s="118" t="s">
        <v>388</v>
      </c>
      <c r="C86" s="118" t="s">
        <v>73</v>
      </c>
      <c r="D86" s="118" t="s">
        <v>335</v>
      </c>
      <c r="E86" s="122">
        <v>42631</v>
      </c>
      <c r="F86" s="123">
        <v>42943</v>
      </c>
      <c r="G86">
        <f t="shared" si="4"/>
        <v>7</v>
      </c>
      <c r="H86">
        <f t="shared" si="5"/>
        <v>2017</v>
      </c>
      <c r="I86">
        <f t="shared" si="6"/>
        <v>9</v>
      </c>
      <c r="J86">
        <f t="shared" si="7"/>
        <v>2016</v>
      </c>
    </row>
    <row r="87" spans="1:10" x14ac:dyDescent="0.25">
      <c r="A87" s="115">
        <v>4168</v>
      </c>
      <c r="B87" s="119" t="s">
        <v>389</v>
      </c>
      <c r="C87" s="119" t="s">
        <v>39</v>
      </c>
      <c r="D87" s="119" t="s">
        <v>227</v>
      </c>
      <c r="E87" s="124">
        <v>42897</v>
      </c>
      <c r="F87" s="125">
        <v>42943</v>
      </c>
      <c r="G87">
        <f t="shared" si="4"/>
        <v>7</v>
      </c>
      <c r="H87">
        <f t="shared" si="5"/>
        <v>2017</v>
      </c>
      <c r="I87">
        <f t="shared" si="6"/>
        <v>6</v>
      </c>
      <c r="J87">
        <f t="shared" si="7"/>
        <v>2017</v>
      </c>
    </row>
    <row r="88" spans="1:10" x14ac:dyDescent="0.25">
      <c r="A88" s="114">
        <v>2238</v>
      </c>
      <c r="B88" s="118" t="s">
        <v>390</v>
      </c>
      <c r="C88" s="118" t="s">
        <v>38</v>
      </c>
      <c r="D88" s="118" t="s">
        <v>59</v>
      </c>
      <c r="E88" s="122">
        <v>38259</v>
      </c>
      <c r="F88" s="123">
        <v>42946</v>
      </c>
      <c r="G88">
        <f t="shared" si="4"/>
        <v>7</v>
      </c>
      <c r="H88">
        <f t="shared" si="5"/>
        <v>2017</v>
      </c>
      <c r="I88">
        <f t="shared" si="6"/>
        <v>9</v>
      </c>
      <c r="J88">
        <f t="shared" si="7"/>
        <v>2004</v>
      </c>
    </row>
    <row r="89" spans="1:10" x14ac:dyDescent="0.25">
      <c r="A89" s="115">
        <v>4153</v>
      </c>
      <c r="B89" s="119" t="s">
        <v>391</v>
      </c>
      <c r="C89" s="121" t="s">
        <v>79</v>
      </c>
      <c r="D89" s="119" t="s">
        <v>207</v>
      </c>
      <c r="E89" s="124">
        <v>42876</v>
      </c>
      <c r="F89" s="125">
        <v>42947</v>
      </c>
      <c r="G89">
        <f t="shared" si="4"/>
        <v>7</v>
      </c>
      <c r="H89">
        <f t="shared" si="5"/>
        <v>2017</v>
      </c>
      <c r="I89">
        <f t="shared" si="6"/>
        <v>5</v>
      </c>
      <c r="J89">
        <f t="shared" si="7"/>
        <v>2017</v>
      </c>
    </row>
    <row r="90" spans="1:10" x14ac:dyDescent="0.25">
      <c r="A90" s="114">
        <v>4051</v>
      </c>
      <c r="B90" s="118" t="s">
        <v>392</v>
      </c>
      <c r="C90" s="118" t="s">
        <v>39</v>
      </c>
      <c r="D90" s="118" t="s">
        <v>230</v>
      </c>
      <c r="E90" s="122">
        <v>42631</v>
      </c>
      <c r="F90" s="123">
        <v>42947</v>
      </c>
      <c r="G90">
        <f t="shared" si="4"/>
        <v>7</v>
      </c>
      <c r="H90">
        <f t="shared" si="5"/>
        <v>2017</v>
      </c>
      <c r="I90">
        <f t="shared" si="6"/>
        <v>9</v>
      </c>
      <c r="J90">
        <f t="shared" si="7"/>
        <v>2016</v>
      </c>
    </row>
    <row r="91" spans="1:10" x14ac:dyDescent="0.25">
      <c r="A91" s="115">
        <v>3795</v>
      </c>
      <c r="B91" s="119" t="s">
        <v>393</v>
      </c>
      <c r="C91" s="119" t="s">
        <v>39</v>
      </c>
      <c r="D91" s="119" t="s">
        <v>43</v>
      </c>
      <c r="E91" s="124">
        <v>42106</v>
      </c>
      <c r="F91" s="125">
        <v>42947</v>
      </c>
      <c r="G91">
        <f t="shared" si="4"/>
        <v>7</v>
      </c>
      <c r="H91">
        <f t="shared" si="5"/>
        <v>2017</v>
      </c>
      <c r="I91">
        <f t="shared" si="6"/>
        <v>4</v>
      </c>
      <c r="J91">
        <f t="shared" si="7"/>
        <v>2015</v>
      </c>
    </row>
    <row r="92" spans="1:10" x14ac:dyDescent="0.25">
      <c r="A92" s="114">
        <v>2201</v>
      </c>
      <c r="B92" s="118" t="s">
        <v>394</v>
      </c>
      <c r="C92" s="118" t="s">
        <v>39</v>
      </c>
      <c r="D92" s="118" t="s">
        <v>395</v>
      </c>
      <c r="E92" s="122">
        <v>37969</v>
      </c>
      <c r="F92" s="123">
        <v>42948</v>
      </c>
      <c r="G92">
        <f t="shared" si="4"/>
        <v>8</v>
      </c>
      <c r="H92">
        <f t="shared" si="5"/>
        <v>2017</v>
      </c>
      <c r="I92">
        <f t="shared" si="6"/>
        <v>12</v>
      </c>
      <c r="J92">
        <f t="shared" si="7"/>
        <v>2003</v>
      </c>
    </row>
    <row r="93" spans="1:10" x14ac:dyDescent="0.25">
      <c r="A93" s="115">
        <v>4101</v>
      </c>
      <c r="B93" s="119" t="s">
        <v>396</v>
      </c>
      <c r="C93" s="119" t="s">
        <v>73</v>
      </c>
      <c r="D93" s="119" t="s">
        <v>397</v>
      </c>
      <c r="E93" s="124">
        <v>42716</v>
      </c>
      <c r="F93" s="125">
        <v>42949</v>
      </c>
      <c r="G93">
        <f t="shared" si="4"/>
        <v>8</v>
      </c>
      <c r="H93">
        <f t="shared" si="5"/>
        <v>2017</v>
      </c>
      <c r="I93">
        <f t="shared" si="6"/>
        <v>12</v>
      </c>
      <c r="J93">
        <f t="shared" si="7"/>
        <v>2016</v>
      </c>
    </row>
    <row r="94" spans="1:10" x14ac:dyDescent="0.25">
      <c r="A94" s="114">
        <v>2946</v>
      </c>
      <c r="B94" s="118" t="s">
        <v>398</v>
      </c>
      <c r="C94" s="118" t="s">
        <v>77</v>
      </c>
      <c r="D94" s="118" t="s">
        <v>399</v>
      </c>
      <c r="E94" s="122">
        <v>39965</v>
      </c>
      <c r="F94" s="123">
        <v>42950</v>
      </c>
      <c r="G94">
        <f t="shared" si="4"/>
        <v>8</v>
      </c>
      <c r="H94">
        <f t="shared" si="5"/>
        <v>2017</v>
      </c>
      <c r="I94">
        <f t="shared" si="6"/>
        <v>6</v>
      </c>
      <c r="J94">
        <f t="shared" si="7"/>
        <v>2009</v>
      </c>
    </row>
    <row r="95" spans="1:10" x14ac:dyDescent="0.25">
      <c r="A95" s="115">
        <v>3201</v>
      </c>
      <c r="B95" s="119" t="s">
        <v>400</v>
      </c>
      <c r="C95" s="119" t="s">
        <v>67</v>
      </c>
      <c r="D95" s="119" t="s">
        <v>286</v>
      </c>
      <c r="E95" s="124">
        <v>40657</v>
      </c>
      <c r="F95" s="125">
        <v>42950</v>
      </c>
      <c r="G95">
        <f t="shared" si="4"/>
        <v>8</v>
      </c>
      <c r="H95">
        <f t="shared" si="5"/>
        <v>2017</v>
      </c>
      <c r="I95">
        <f t="shared" si="6"/>
        <v>4</v>
      </c>
      <c r="J95">
        <f t="shared" si="7"/>
        <v>2011</v>
      </c>
    </row>
    <row r="96" spans="1:10" x14ac:dyDescent="0.25">
      <c r="A96" s="114">
        <v>3898</v>
      </c>
      <c r="B96" s="118" t="s">
        <v>401</v>
      </c>
      <c r="C96" s="118" t="s">
        <v>39</v>
      </c>
      <c r="D96" s="118" t="s">
        <v>402</v>
      </c>
      <c r="E96" s="122">
        <v>42353</v>
      </c>
      <c r="F96" s="123">
        <v>42950</v>
      </c>
      <c r="G96">
        <f t="shared" si="4"/>
        <v>8</v>
      </c>
      <c r="H96">
        <f t="shared" si="5"/>
        <v>2017</v>
      </c>
      <c r="I96">
        <f t="shared" si="6"/>
        <v>12</v>
      </c>
      <c r="J96">
        <f t="shared" si="7"/>
        <v>2015</v>
      </c>
    </row>
    <row r="97" spans="1:10" x14ac:dyDescent="0.25">
      <c r="A97" s="115">
        <v>2798</v>
      </c>
      <c r="B97" s="119" t="s">
        <v>403</v>
      </c>
      <c r="C97" s="119" t="s">
        <v>39</v>
      </c>
      <c r="D97" s="119" t="s">
        <v>371</v>
      </c>
      <c r="E97" s="124">
        <v>39593</v>
      </c>
      <c r="F97" s="125">
        <v>42957</v>
      </c>
      <c r="G97">
        <f t="shared" si="4"/>
        <v>8</v>
      </c>
      <c r="H97">
        <f t="shared" si="5"/>
        <v>2017</v>
      </c>
      <c r="I97">
        <f t="shared" si="6"/>
        <v>5</v>
      </c>
      <c r="J97">
        <f t="shared" si="7"/>
        <v>2008</v>
      </c>
    </row>
    <row r="98" spans="1:10" x14ac:dyDescent="0.25">
      <c r="A98" s="114">
        <v>3652</v>
      </c>
      <c r="B98" s="118" t="s">
        <v>404</v>
      </c>
      <c r="C98" s="118" t="s">
        <v>39</v>
      </c>
      <c r="D98" s="118" t="s">
        <v>371</v>
      </c>
      <c r="E98" s="122">
        <v>41730</v>
      </c>
      <c r="F98" s="123">
        <v>42957</v>
      </c>
      <c r="G98">
        <f t="shared" si="4"/>
        <v>8</v>
      </c>
      <c r="H98">
        <f t="shared" si="5"/>
        <v>2017</v>
      </c>
      <c r="I98">
        <f t="shared" si="6"/>
        <v>4</v>
      </c>
      <c r="J98">
        <f t="shared" si="7"/>
        <v>2014</v>
      </c>
    </row>
    <row r="99" spans="1:10" x14ac:dyDescent="0.25">
      <c r="A99" s="115">
        <v>3282</v>
      </c>
      <c r="B99" s="119" t="s">
        <v>405</v>
      </c>
      <c r="C99" s="119" t="s">
        <v>39</v>
      </c>
      <c r="D99" s="119" t="s">
        <v>371</v>
      </c>
      <c r="E99" s="124">
        <v>40812</v>
      </c>
      <c r="F99" s="125">
        <v>42960</v>
      </c>
      <c r="G99">
        <f t="shared" si="4"/>
        <v>8</v>
      </c>
      <c r="H99">
        <f t="shared" si="5"/>
        <v>2017</v>
      </c>
      <c r="I99">
        <f t="shared" si="6"/>
        <v>9</v>
      </c>
      <c r="J99">
        <f t="shared" si="7"/>
        <v>2011</v>
      </c>
    </row>
    <row r="100" spans="1:10" x14ac:dyDescent="0.25">
      <c r="A100" s="114">
        <v>3129</v>
      </c>
      <c r="B100" s="118" t="s">
        <v>406</v>
      </c>
      <c r="C100" s="118" t="s">
        <v>39</v>
      </c>
      <c r="D100" s="118" t="s">
        <v>371</v>
      </c>
      <c r="E100" s="122">
        <v>40483</v>
      </c>
      <c r="F100" s="123">
        <v>42977</v>
      </c>
      <c r="G100">
        <f t="shared" si="4"/>
        <v>8</v>
      </c>
      <c r="H100">
        <f t="shared" si="5"/>
        <v>2017</v>
      </c>
      <c r="I100">
        <f t="shared" si="6"/>
        <v>11</v>
      </c>
      <c r="J100">
        <f t="shared" si="7"/>
        <v>2010</v>
      </c>
    </row>
    <row r="101" spans="1:10" x14ac:dyDescent="0.25">
      <c r="A101" s="115">
        <v>3783</v>
      </c>
      <c r="B101" s="119" t="s">
        <v>407</v>
      </c>
      <c r="C101" s="119" t="s">
        <v>39</v>
      </c>
      <c r="D101" s="119" t="s">
        <v>408</v>
      </c>
      <c r="E101" s="124">
        <v>42065</v>
      </c>
      <c r="F101" s="125">
        <v>42977</v>
      </c>
      <c r="G101">
        <f t="shared" si="4"/>
        <v>8</v>
      </c>
      <c r="H101">
        <f t="shared" si="5"/>
        <v>2017</v>
      </c>
      <c r="I101">
        <f t="shared" si="6"/>
        <v>3</v>
      </c>
      <c r="J101">
        <f t="shared" si="7"/>
        <v>2015</v>
      </c>
    </row>
    <row r="102" spans="1:10" x14ac:dyDescent="0.25">
      <c r="A102" s="114">
        <v>4084</v>
      </c>
      <c r="B102" s="118" t="s">
        <v>409</v>
      </c>
      <c r="C102" s="118" t="s">
        <v>39</v>
      </c>
      <c r="D102" s="118" t="s">
        <v>402</v>
      </c>
      <c r="E102" s="122">
        <v>42716</v>
      </c>
      <c r="F102" s="123">
        <v>42977</v>
      </c>
      <c r="G102">
        <f t="shared" si="4"/>
        <v>8</v>
      </c>
      <c r="H102">
        <f t="shared" si="5"/>
        <v>2017</v>
      </c>
      <c r="I102">
        <f t="shared" si="6"/>
        <v>12</v>
      </c>
      <c r="J102">
        <f t="shared" si="7"/>
        <v>2016</v>
      </c>
    </row>
  </sheetData>
  <autoFilter ref="A1:J102"/>
  <conditionalFormatting sqref="A2:A101">
    <cfRule type="duplicateValues" dxfId="0" priority="1"/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filterMode="1"/>
  <dimension ref="A1:U276"/>
  <sheetViews>
    <sheetView workbookViewId="0">
      <pane xSplit="1" ySplit="1" topLeftCell="C249" activePane="bottomRight" state="frozen"/>
      <selection pane="topRight" activeCell="B1" sqref="B1"/>
      <selection pane="bottomLeft" activeCell="A2" sqref="A2"/>
      <selection pane="bottomRight" activeCell="N274" sqref="N274"/>
    </sheetView>
  </sheetViews>
  <sheetFormatPr defaultRowHeight="15" x14ac:dyDescent="0.25"/>
  <cols>
    <col min="1" max="1" width="17.28515625" customWidth="1"/>
    <col min="2" max="2" width="31.42578125" customWidth="1"/>
    <col min="3" max="3" width="24.5703125" customWidth="1"/>
    <col min="4" max="4" width="23.28515625" customWidth="1"/>
    <col min="5" max="5" width="19.85546875" customWidth="1"/>
    <col min="17" max="17" width="16.7109375" customWidth="1"/>
  </cols>
  <sheetData>
    <row r="1" spans="1:21" x14ac:dyDescent="0.25">
      <c r="A1" s="154" t="s">
        <v>688</v>
      </c>
      <c r="B1" s="154" t="s">
        <v>689</v>
      </c>
      <c r="C1" s="155" t="s">
        <v>690</v>
      </c>
      <c r="D1" s="155" t="s">
        <v>691</v>
      </c>
      <c r="E1" s="154" t="s">
        <v>692</v>
      </c>
      <c r="F1" s="154" t="s">
        <v>28</v>
      </c>
      <c r="G1" s="155" t="s">
        <v>3</v>
      </c>
      <c r="H1" s="155" t="s">
        <v>693</v>
      </c>
      <c r="I1" s="155" t="s">
        <v>694</v>
      </c>
      <c r="J1" s="154" t="s">
        <v>33</v>
      </c>
      <c r="K1" s="154" t="s">
        <v>695</v>
      </c>
      <c r="L1" s="154" t="s">
        <v>696</v>
      </c>
      <c r="M1" s="154" t="s">
        <v>697</v>
      </c>
      <c r="N1" s="154" t="s">
        <v>698</v>
      </c>
      <c r="O1" s="154" t="s">
        <v>699</v>
      </c>
      <c r="P1" s="155" t="s">
        <v>700</v>
      </c>
      <c r="Q1" s="154" t="s">
        <v>701</v>
      </c>
      <c r="R1" s="154" t="s">
        <v>702</v>
      </c>
      <c r="S1" s="154" t="s">
        <v>279</v>
      </c>
      <c r="T1" s="154" t="s">
        <v>703</v>
      </c>
      <c r="U1" s="154" t="s">
        <v>269</v>
      </c>
    </row>
    <row r="2" spans="1:21" hidden="1" x14ac:dyDescent="0.25">
      <c r="A2" s="156">
        <v>1</v>
      </c>
      <c r="B2" s="157">
        <v>3359</v>
      </c>
      <c r="C2" s="158" t="s">
        <v>435</v>
      </c>
      <c r="D2" s="158" t="s">
        <v>2</v>
      </c>
      <c r="E2" s="159">
        <v>13</v>
      </c>
      <c r="F2" s="160" t="s">
        <v>37</v>
      </c>
      <c r="G2" s="161" t="s">
        <v>39</v>
      </c>
      <c r="H2" s="162" t="s">
        <v>41</v>
      </c>
      <c r="I2" s="161" t="s">
        <v>236</v>
      </c>
      <c r="J2" s="148">
        <v>41000</v>
      </c>
      <c r="K2" s="163" t="s">
        <v>704</v>
      </c>
      <c r="L2" s="157" t="s">
        <v>705</v>
      </c>
      <c r="M2" s="148">
        <v>42368</v>
      </c>
      <c r="N2" s="164">
        <v>3.7479452054794522</v>
      </c>
      <c r="O2" s="148" t="s">
        <v>706</v>
      </c>
      <c r="P2" s="158" t="s">
        <v>683</v>
      </c>
      <c r="Q2" s="157" t="s">
        <v>416</v>
      </c>
      <c r="R2" s="157" t="s">
        <v>683</v>
      </c>
      <c r="S2" s="157">
        <v>1</v>
      </c>
      <c r="T2" s="157"/>
      <c r="U2" s="157">
        <v>2016</v>
      </c>
    </row>
    <row r="3" spans="1:21" hidden="1" x14ac:dyDescent="0.25">
      <c r="A3" s="165">
        <v>2</v>
      </c>
      <c r="B3" s="166">
        <v>2207</v>
      </c>
      <c r="C3" s="167" t="s">
        <v>436</v>
      </c>
      <c r="D3" s="167" t="s">
        <v>707</v>
      </c>
      <c r="E3" s="168">
        <v>14</v>
      </c>
      <c r="F3" s="169" t="s">
        <v>37</v>
      </c>
      <c r="G3" s="170" t="s">
        <v>39</v>
      </c>
      <c r="H3" s="170" t="s">
        <v>708</v>
      </c>
      <c r="I3" s="170" t="s">
        <v>228</v>
      </c>
      <c r="J3" s="149">
        <v>38158</v>
      </c>
      <c r="K3" s="171" t="s">
        <v>704</v>
      </c>
      <c r="L3" s="166" t="s">
        <v>705</v>
      </c>
      <c r="M3" s="149">
        <v>42372</v>
      </c>
      <c r="N3" s="172">
        <v>11.545205479452054</v>
      </c>
      <c r="O3" s="149" t="s">
        <v>709</v>
      </c>
      <c r="P3" s="167" t="s">
        <v>684</v>
      </c>
      <c r="Q3" s="166" t="s">
        <v>414</v>
      </c>
      <c r="R3" s="166" t="s">
        <v>684</v>
      </c>
      <c r="S3" s="166">
        <v>1</v>
      </c>
      <c r="T3" s="166"/>
      <c r="U3" s="166">
        <v>2016</v>
      </c>
    </row>
    <row r="4" spans="1:21" hidden="1" x14ac:dyDescent="0.25">
      <c r="A4" s="165">
        <v>3</v>
      </c>
      <c r="B4" s="166">
        <v>2686</v>
      </c>
      <c r="C4" s="167" t="s">
        <v>437</v>
      </c>
      <c r="D4" s="167" t="s">
        <v>710</v>
      </c>
      <c r="E4" s="168" t="s">
        <v>711</v>
      </c>
      <c r="F4" s="169" t="s">
        <v>37</v>
      </c>
      <c r="G4" s="170" t="s">
        <v>39</v>
      </c>
      <c r="H4" s="170" t="s">
        <v>262</v>
      </c>
      <c r="I4" s="170" t="s">
        <v>712</v>
      </c>
      <c r="J4" s="149">
        <v>39208</v>
      </c>
      <c r="K4" s="171" t="s">
        <v>704</v>
      </c>
      <c r="L4" s="166" t="s">
        <v>705</v>
      </c>
      <c r="M4" s="149">
        <v>42373</v>
      </c>
      <c r="N4" s="172">
        <v>8.6712328767123292</v>
      </c>
      <c r="O4" s="149" t="s">
        <v>713</v>
      </c>
      <c r="P4" s="167" t="s">
        <v>683</v>
      </c>
      <c r="Q4" s="166" t="s">
        <v>414</v>
      </c>
      <c r="R4" s="166" t="s">
        <v>683</v>
      </c>
      <c r="S4" s="166">
        <v>1</v>
      </c>
      <c r="T4" s="166"/>
      <c r="U4" s="166">
        <v>2016</v>
      </c>
    </row>
    <row r="5" spans="1:21" hidden="1" x14ac:dyDescent="0.25">
      <c r="A5" s="165">
        <v>4</v>
      </c>
      <c r="B5" s="157">
        <v>3823</v>
      </c>
      <c r="C5" s="158" t="s">
        <v>438</v>
      </c>
      <c r="D5" s="158" t="s">
        <v>2</v>
      </c>
      <c r="E5" s="159">
        <v>11</v>
      </c>
      <c r="F5" s="160" t="s">
        <v>37</v>
      </c>
      <c r="G5" s="161" t="s">
        <v>39</v>
      </c>
      <c r="H5" s="162" t="s">
        <v>41</v>
      </c>
      <c r="I5" s="161" t="s">
        <v>235</v>
      </c>
      <c r="J5" s="148">
        <v>42136</v>
      </c>
      <c r="K5" s="163" t="s">
        <v>45</v>
      </c>
      <c r="L5" s="157" t="s">
        <v>714</v>
      </c>
      <c r="M5" s="148">
        <v>42376</v>
      </c>
      <c r="N5" s="164">
        <v>0.65753424657534243</v>
      </c>
      <c r="O5" s="148" t="s">
        <v>715</v>
      </c>
      <c r="P5" s="158" t="s">
        <v>716</v>
      </c>
      <c r="Q5" s="157" t="s">
        <v>416</v>
      </c>
      <c r="R5" s="157" t="s">
        <v>685</v>
      </c>
      <c r="S5" s="157">
        <v>1</v>
      </c>
      <c r="T5" s="157"/>
      <c r="U5" s="157">
        <v>2016</v>
      </c>
    </row>
    <row r="6" spans="1:21" hidden="1" x14ac:dyDescent="0.25">
      <c r="A6" s="165">
        <v>5</v>
      </c>
      <c r="B6" s="166">
        <v>3696</v>
      </c>
      <c r="C6" s="167" t="s">
        <v>439</v>
      </c>
      <c r="D6" s="167" t="s">
        <v>88</v>
      </c>
      <c r="E6" s="168">
        <v>12</v>
      </c>
      <c r="F6" s="169" t="s">
        <v>37</v>
      </c>
      <c r="G6" s="170" t="s">
        <v>717</v>
      </c>
      <c r="H6" s="170" t="s">
        <v>207</v>
      </c>
      <c r="I6" s="170" t="s">
        <v>208</v>
      </c>
      <c r="J6" s="149">
        <v>41836</v>
      </c>
      <c r="K6" s="171" t="s">
        <v>704</v>
      </c>
      <c r="L6" s="166" t="s">
        <v>705</v>
      </c>
      <c r="M6" s="149">
        <v>42379</v>
      </c>
      <c r="N6" s="172">
        <v>1.4876712328767123</v>
      </c>
      <c r="O6" s="149" t="s">
        <v>718</v>
      </c>
      <c r="P6" s="167" t="s">
        <v>719</v>
      </c>
      <c r="Q6" s="166" t="s">
        <v>416</v>
      </c>
      <c r="R6" s="166" t="s">
        <v>686</v>
      </c>
      <c r="S6" s="166">
        <v>1</v>
      </c>
      <c r="T6" s="166"/>
      <c r="U6" s="166">
        <v>2016</v>
      </c>
    </row>
    <row r="7" spans="1:21" hidden="1" x14ac:dyDescent="0.25">
      <c r="A7" s="165">
        <v>6</v>
      </c>
      <c r="B7" s="166">
        <v>3847</v>
      </c>
      <c r="C7" s="167" t="s">
        <v>440</v>
      </c>
      <c r="D7" s="167" t="s">
        <v>720</v>
      </c>
      <c r="E7" s="168">
        <v>13</v>
      </c>
      <c r="F7" s="169" t="s">
        <v>37</v>
      </c>
      <c r="G7" s="170" t="s">
        <v>58</v>
      </c>
      <c r="H7" s="170" t="s">
        <v>721</v>
      </c>
      <c r="I7" s="170" t="s">
        <v>218</v>
      </c>
      <c r="J7" s="149">
        <v>42248</v>
      </c>
      <c r="K7" s="171" t="s">
        <v>704</v>
      </c>
      <c r="L7" s="166" t="s">
        <v>714</v>
      </c>
      <c r="M7" s="149">
        <v>42387</v>
      </c>
      <c r="N7" s="172">
        <v>0.38082191780821917</v>
      </c>
      <c r="O7" s="149" t="s">
        <v>715</v>
      </c>
      <c r="P7" s="167" t="s">
        <v>684</v>
      </c>
      <c r="Q7" s="166" t="s">
        <v>416</v>
      </c>
      <c r="R7" s="166" t="s">
        <v>684</v>
      </c>
      <c r="S7" s="166">
        <v>1</v>
      </c>
      <c r="T7" s="166"/>
      <c r="U7" s="166">
        <v>2016</v>
      </c>
    </row>
    <row r="8" spans="1:21" hidden="1" x14ac:dyDescent="0.25">
      <c r="A8" s="165">
        <v>7</v>
      </c>
      <c r="B8" s="166">
        <v>3910</v>
      </c>
      <c r="C8" s="167" t="s">
        <v>441</v>
      </c>
      <c r="D8" s="167" t="s">
        <v>722</v>
      </c>
      <c r="E8" s="168">
        <v>12</v>
      </c>
      <c r="F8" s="169" t="s">
        <v>37</v>
      </c>
      <c r="G8" s="170" t="s">
        <v>39</v>
      </c>
      <c r="H8" s="170" t="s">
        <v>262</v>
      </c>
      <c r="I8" s="170" t="s">
        <v>712</v>
      </c>
      <c r="J8" s="149">
        <v>42373</v>
      </c>
      <c r="K8" s="171" t="s">
        <v>704</v>
      </c>
      <c r="L8" s="166" t="s">
        <v>705</v>
      </c>
      <c r="M8" s="149">
        <v>42381</v>
      </c>
      <c r="N8" s="172">
        <v>2.1917808219178082E-2</v>
      </c>
      <c r="O8" s="149" t="s">
        <v>715</v>
      </c>
      <c r="P8" s="167" t="s">
        <v>683</v>
      </c>
      <c r="Q8" s="166" t="s">
        <v>416</v>
      </c>
      <c r="R8" s="166" t="s">
        <v>683</v>
      </c>
      <c r="S8" s="166">
        <v>1</v>
      </c>
      <c r="T8" s="166"/>
      <c r="U8" s="166">
        <v>2016</v>
      </c>
    </row>
    <row r="9" spans="1:21" hidden="1" x14ac:dyDescent="0.25">
      <c r="A9" s="165">
        <v>8</v>
      </c>
      <c r="B9" s="166">
        <v>3232</v>
      </c>
      <c r="C9" s="167" t="s">
        <v>442</v>
      </c>
      <c r="D9" s="167" t="s">
        <v>80</v>
      </c>
      <c r="E9" s="168">
        <v>13</v>
      </c>
      <c r="F9" s="169" t="s">
        <v>37</v>
      </c>
      <c r="G9" s="170" t="s">
        <v>39</v>
      </c>
      <c r="H9" s="170" t="s">
        <v>230</v>
      </c>
      <c r="I9" s="170" t="s">
        <v>249</v>
      </c>
      <c r="J9" s="149">
        <v>40720</v>
      </c>
      <c r="K9" s="171" t="s">
        <v>704</v>
      </c>
      <c r="L9" s="166" t="s">
        <v>705</v>
      </c>
      <c r="M9" s="149">
        <v>42382</v>
      </c>
      <c r="N9" s="172">
        <v>4.5534246575342463</v>
      </c>
      <c r="O9" s="149" t="s">
        <v>706</v>
      </c>
      <c r="P9" s="167" t="s">
        <v>723</v>
      </c>
      <c r="Q9" s="166" t="s">
        <v>414</v>
      </c>
      <c r="R9" s="166" t="s">
        <v>684</v>
      </c>
      <c r="S9" s="166">
        <v>1</v>
      </c>
      <c r="T9" s="166"/>
      <c r="U9" s="166">
        <v>2016</v>
      </c>
    </row>
    <row r="10" spans="1:21" hidden="1" x14ac:dyDescent="0.25">
      <c r="A10" s="165">
        <v>9</v>
      </c>
      <c r="B10" s="166">
        <v>3269</v>
      </c>
      <c r="C10" s="167" t="s">
        <v>443</v>
      </c>
      <c r="D10" s="167" t="s">
        <v>2</v>
      </c>
      <c r="E10" s="168">
        <v>13</v>
      </c>
      <c r="F10" s="169" t="s">
        <v>37</v>
      </c>
      <c r="G10" s="170" t="s">
        <v>39</v>
      </c>
      <c r="H10" s="162" t="s">
        <v>41</v>
      </c>
      <c r="I10" s="170" t="s">
        <v>253</v>
      </c>
      <c r="J10" s="149">
        <v>40812</v>
      </c>
      <c r="K10" s="171" t="s">
        <v>704</v>
      </c>
      <c r="L10" s="166" t="s">
        <v>705</v>
      </c>
      <c r="M10" s="149">
        <v>42383</v>
      </c>
      <c r="N10" s="172">
        <v>4.3041095890410963</v>
      </c>
      <c r="O10" s="149" t="s">
        <v>706</v>
      </c>
      <c r="P10" s="167" t="s">
        <v>684</v>
      </c>
      <c r="Q10" s="166" t="s">
        <v>414</v>
      </c>
      <c r="R10" s="166" t="s">
        <v>684</v>
      </c>
      <c r="S10" s="166">
        <v>1</v>
      </c>
      <c r="T10" s="166"/>
      <c r="U10" s="166">
        <v>2016</v>
      </c>
    </row>
    <row r="11" spans="1:21" hidden="1" x14ac:dyDescent="0.25">
      <c r="A11" s="165">
        <v>10</v>
      </c>
      <c r="B11" s="166">
        <v>1838</v>
      </c>
      <c r="C11" s="167" t="s">
        <v>444</v>
      </c>
      <c r="D11" s="167" t="s">
        <v>724</v>
      </c>
      <c r="E11" s="168">
        <v>17</v>
      </c>
      <c r="F11" s="169" t="s">
        <v>37</v>
      </c>
      <c r="G11" s="170" t="s">
        <v>39</v>
      </c>
      <c r="H11" s="162" t="s">
        <v>41</v>
      </c>
      <c r="I11" s="170" t="s">
        <v>42</v>
      </c>
      <c r="J11" s="149">
        <v>36668</v>
      </c>
      <c r="K11" s="171" t="s">
        <v>704</v>
      </c>
      <c r="L11" s="166" t="s">
        <v>705</v>
      </c>
      <c r="M11" s="149">
        <v>42390</v>
      </c>
      <c r="N11" s="172">
        <v>15.676712328767124</v>
      </c>
      <c r="O11" s="149" t="s">
        <v>709</v>
      </c>
      <c r="P11" s="167" t="s">
        <v>683</v>
      </c>
      <c r="Q11" s="166" t="s">
        <v>414</v>
      </c>
      <c r="R11" s="166" t="s">
        <v>683</v>
      </c>
      <c r="S11" s="166">
        <v>1</v>
      </c>
      <c r="T11" s="166"/>
      <c r="U11" s="166">
        <v>2016</v>
      </c>
    </row>
    <row r="12" spans="1:21" hidden="1" x14ac:dyDescent="0.25">
      <c r="A12" s="165">
        <v>11</v>
      </c>
      <c r="B12" s="166">
        <v>3436</v>
      </c>
      <c r="C12" s="167" t="s">
        <v>445</v>
      </c>
      <c r="D12" s="167" t="s">
        <v>158</v>
      </c>
      <c r="E12" s="168">
        <v>12</v>
      </c>
      <c r="F12" s="169" t="s">
        <v>37</v>
      </c>
      <c r="G12" s="170" t="s">
        <v>39</v>
      </c>
      <c r="H12" s="162" t="s">
        <v>41</v>
      </c>
      <c r="I12" s="170" t="s">
        <v>232</v>
      </c>
      <c r="J12" s="149">
        <v>41217</v>
      </c>
      <c r="K12" s="171" t="s">
        <v>704</v>
      </c>
      <c r="L12" s="166" t="s">
        <v>705</v>
      </c>
      <c r="M12" s="149">
        <v>42395</v>
      </c>
      <c r="N12" s="172">
        <v>3.2273972602739724</v>
      </c>
      <c r="O12" s="149" t="s">
        <v>706</v>
      </c>
      <c r="P12" s="167" t="s">
        <v>684</v>
      </c>
      <c r="Q12" s="157" t="s">
        <v>416</v>
      </c>
      <c r="R12" s="166" t="s">
        <v>684</v>
      </c>
      <c r="S12" s="166">
        <v>1</v>
      </c>
      <c r="T12" s="166"/>
      <c r="U12" s="166">
        <v>2016</v>
      </c>
    </row>
    <row r="13" spans="1:21" hidden="1" x14ac:dyDescent="0.25">
      <c r="A13" s="165">
        <v>12</v>
      </c>
      <c r="B13" s="173">
        <v>1306</v>
      </c>
      <c r="C13" s="174" t="s">
        <v>446</v>
      </c>
      <c r="D13" s="174" t="s">
        <v>127</v>
      </c>
      <c r="E13" s="168">
        <v>15</v>
      </c>
      <c r="F13" s="168" t="s">
        <v>37</v>
      </c>
      <c r="G13" s="162" t="s">
        <v>717</v>
      </c>
      <c r="H13" s="162" t="s">
        <v>204</v>
      </c>
      <c r="I13" s="162" t="s">
        <v>205</v>
      </c>
      <c r="J13" s="175">
        <v>34206</v>
      </c>
      <c r="K13" s="176" t="s">
        <v>45</v>
      </c>
      <c r="L13" s="177" t="s">
        <v>705</v>
      </c>
      <c r="M13" s="150">
        <v>42402</v>
      </c>
      <c r="N13" s="172">
        <v>22.454794520547946</v>
      </c>
      <c r="O13" s="178" t="s">
        <v>709</v>
      </c>
      <c r="P13" s="167" t="s">
        <v>725</v>
      </c>
      <c r="Q13" s="166" t="s">
        <v>414</v>
      </c>
      <c r="R13" s="178" t="s">
        <v>685</v>
      </c>
      <c r="S13" s="166">
        <v>2</v>
      </c>
      <c r="T13" s="178"/>
      <c r="U13" s="166">
        <v>2016</v>
      </c>
    </row>
    <row r="14" spans="1:21" hidden="1" x14ac:dyDescent="0.25">
      <c r="A14" s="165">
        <v>13</v>
      </c>
      <c r="B14" s="173">
        <v>2478</v>
      </c>
      <c r="C14" s="174" t="s">
        <v>447</v>
      </c>
      <c r="D14" s="174" t="s">
        <v>726</v>
      </c>
      <c r="E14" s="168">
        <v>15</v>
      </c>
      <c r="F14" s="168" t="s">
        <v>37</v>
      </c>
      <c r="G14" s="162" t="s">
        <v>39</v>
      </c>
      <c r="H14" s="162" t="s">
        <v>230</v>
      </c>
      <c r="I14" s="162" t="s">
        <v>239</v>
      </c>
      <c r="J14" s="175">
        <v>38760</v>
      </c>
      <c r="K14" s="176" t="s">
        <v>45</v>
      </c>
      <c r="L14" s="177" t="s">
        <v>705</v>
      </c>
      <c r="M14" s="150">
        <v>42414</v>
      </c>
      <c r="N14" s="172">
        <v>10.010958904109589</v>
      </c>
      <c r="O14" s="178" t="s">
        <v>709</v>
      </c>
      <c r="P14" s="167" t="s">
        <v>684</v>
      </c>
      <c r="Q14" s="166" t="s">
        <v>414</v>
      </c>
      <c r="R14" s="178" t="s">
        <v>684</v>
      </c>
      <c r="S14" s="166">
        <v>2</v>
      </c>
      <c r="T14" s="178"/>
      <c r="U14" s="166">
        <v>2016</v>
      </c>
    </row>
    <row r="15" spans="1:21" hidden="1" x14ac:dyDescent="0.25">
      <c r="A15" s="165">
        <v>14</v>
      </c>
      <c r="B15" s="173">
        <v>2696</v>
      </c>
      <c r="C15" s="174" t="s">
        <v>448</v>
      </c>
      <c r="D15" s="174" t="s">
        <v>2</v>
      </c>
      <c r="E15" s="168">
        <v>13</v>
      </c>
      <c r="F15" s="168" t="s">
        <v>37</v>
      </c>
      <c r="G15" s="162" t="s">
        <v>39</v>
      </c>
      <c r="H15" s="162" t="s">
        <v>41</v>
      </c>
      <c r="I15" s="162" t="s">
        <v>236</v>
      </c>
      <c r="J15" s="175">
        <v>39208</v>
      </c>
      <c r="K15" s="176" t="s">
        <v>704</v>
      </c>
      <c r="L15" s="177" t="s">
        <v>705</v>
      </c>
      <c r="M15" s="150">
        <v>42395</v>
      </c>
      <c r="N15" s="172">
        <v>8.7315068493150694</v>
      </c>
      <c r="O15" s="178" t="s">
        <v>713</v>
      </c>
      <c r="P15" s="167" t="s">
        <v>727</v>
      </c>
      <c r="Q15" s="157" t="s">
        <v>416</v>
      </c>
      <c r="R15" s="178" t="s">
        <v>684</v>
      </c>
      <c r="S15" s="166">
        <v>2</v>
      </c>
      <c r="T15" s="178"/>
      <c r="U15" s="166">
        <v>2016</v>
      </c>
    </row>
    <row r="16" spans="1:21" hidden="1" x14ac:dyDescent="0.25">
      <c r="A16" s="165">
        <v>15</v>
      </c>
      <c r="B16" s="173">
        <v>2988</v>
      </c>
      <c r="C16" s="174" t="s">
        <v>449</v>
      </c>
      <c r="D16" s="174" t="s">
        <v>80</v>
      </c>
      <c r="E16" s="168">
        <v>13</v>
      </c>
      <c r="F16" s="168" t="s">
        <v>37</v>
      </c>
      <c r="G16" s="162" t="s">
        <v>39</v>
      </c>
      <c r="H16" s="162" t="s">
        <v>230</v>
      </c>
      <c r="I16" s="162" t="s">
        <v>245</v>
      </c>
      <c r="J16" s="175">
        <v>40041</v>
      </c>
      <c r="K16" s="176" t="s">
        <v>704</v>
      </c>
      <c r="L16" s="177" t="s">
        <v>705</v>
      </c>
      <c r="M16" s="150">
        <v>42424</v>
      </c>
      <c r="N16" s="172">
        <v>6.5287671232876709</v>
      </c>
      <c r="O16" s="149" t="s">
        <v>728</v>
      </c>
      <c r="P16" s="167" t="s">
        <v>683</v>
      </c>
      <c r="Q16" s="166" t="s">
        <v>414</v>
      </c>
      <c r="R16" s="178" t="s">
        <v>683</v>
      </c>
      <c r="S16" s="166">
        <v>2</v>
      </c>
      <c r="T16" s="178"/>
      <c r="U16" s="166">
        <v>2016</v>
      </c>
    </row>
    <row r="17" spans="1:21" hidden="1" x14ac:dyDescent="0.25">
      <c r="A17" s="165">
        <v>16</v>
      </c>
      <c r="B17" s="179">
        <v>3479</v>
      </c>
      <c r="C17" s="180" t="s">
        <v>450</v>
      </c>
      <c r="D17" s="180" t="s">
        <v>109</v>
      </c>
      <c r="E17" s="159">
        <v>14</v>
      </c>
      <c r="F17" s="159" t="s">
        <v>37</v>
      </c>
      <c r="G17" s="181" t="s">
        <v>56</v>
      </c>
      <c r="H17" s="162" t="s">
        <v>56</v>
      </c>
      <c r="I17" s="181" t="s">
        <v>191</v>
      </c>
      <c r="J17" s="182">
        <v>41322</v>
      </c>
      <c r="K17" s="183" t="s">
        <v>704</v>
      </c>
      <c r="L17" s="184" t="s">
        <v>705</v>
      </c>
      <c r="M17" s="151">
        <v>42414</v>
      </c>
      <c r="N17" s="164">
        <v>2.9917808219178084</v>
      </c>
      <c r="O17" s="148" t="s">
        <v>729</v>
      </c>
      <c r="P17" s="158" t="s">
        <v>683</v>
      </c>
      <c r="Q17" s="157" t="s">
        <v>416</v>
      </c>
      <c r="R17" s="185" t="s">
        <v>683</v>
      </c>
      <c r="S17" s="157">
        <v>2</v>
      </c>
      <c r="T17" s="185"/>
      <c r="U17" s="157">
        <v>2016</v>
      </c>
    </row>
    <row r="18" spans="1:21" hidden="1" x14ac:dyDescent="0.25">
      <c r="A18" s="165">
        <v>17</v>
      </c>
      <c r="B18" s="173">
        <v>3590</v>
      </c>
      <c r="C18" s="174" t="s">
        <v>451</v>
      </c>
      <c r="D18" s="174" t="s">
        <v>722</v>
      </c>
      <c r="E18" s="168">
        <v>12</v>
      </c>
      <c r="F18" s="168" t="s">
        <v>37</v>
      </c>
      <c r="G18" s="162" t="s">
        <v>39</v>
      </c>
      <c r="H18" s="162" t="s">
        <v>262</v>
      </c>
      <c r="I18" s="162" t="s">
        <v>712</v>
      </c>
      <c r="J18" s="175">
        <v>41567</v>
      </c>
      <c r="K18" s="176" t="s">
        <v>704</v>
      </c>
      <c r="L18" s="177" t="s">
        <v>705</v>
      </c>
      <c r="M18" s="150">
        <v>42400</v>
      </c>
      <c r="N18" s="172">
        <v>2.2821917808219179</v>
      </c>
      <c r="O18" s="149" t="s">
        <v>729</v>
      </c>
      <c r="P18" s="167" t="s">
        <v>683</v>
      </c>
      <c r="Q18" s="166" t="s">
        <v>414</v>
      </c>
      <c r="R18" s="178" t="s">
        <v>683</v>
      </c>
      <c r="S18" s="166">
        <v>2</v>
      </c>
      <c r="T18" s="178"/>
      <c r="U18" s="166">
        <v>2016</v>
      </c>
    </row>
    <row r="19" spans="1:21" hidden="1" x14ac:dyDescent="0.25">
      <c r="A19" s="165">
        <v>18</v>
      </c>
      <c r="B19" s="173">
        <v>3698</v>
      </c>
      <c r="C19" s="174" t="s">
        <v>452</v>
      </c>
      <c r="D19" s="174" t="s">
        <v>730</v>
      </c>
      <c r="E19" s="168">
        <v>12</v>
      </c>
      <c r="F19" s="168" t="s">
        <v>37</v>
      </c>
      <c r="G19" s="162" t="s">
        <v>731</v>
      </c>
      <c r="H19" s="162" t="s">
        <v>60</v>
      </c>
      <c r="I19" s="162" t="s">
        <v>193</v>
      </c>
      <c r="J19" s="175">
        <v>41840</v>
      </c>
      <c r="K19" s="176" t="s">
        <v>704</v>
      </c>
      <c r="L19" s="177" t="s">
        <v>705</v>
      </c>
      <c r="M19" s="150">
        <v>42415</v>
      </c>
      <c r="N19" s="172">
        <v>1.5753424657534247</v>
      </c>
      <c r="O19" s="149" t="s">
        <v>718</v>
      </c>
      <c r="P19" s="167" t="s">
        <v>683</v>
      </c>
      <c r="Q19" s="166" t="s">
        <v>414</v>
      </c>
      <c r="R19" s="178" t="s">
        <v>683</v>
      </c>
      <c r="S19" s="166">
        <v>2</v>
      </c>
      <c r="T19" s="178"/>
      <c r="U19" s="166">
        <v>2016</v>
      </c>
    </row>
    <row r="20" spans="1:21" hidden="1" x14ac:dyDescent="0.25">
      <c r="A20" s="165">
        <v>19</v>
      </c>
      <c r="B20" s="173">
        <v>3771</v>
      </c>
      <c r="C20" s="174" t="s">
        <v>453</v>
      </c>
      <c r="D20" s="174" t="s">
        <v>732</v>
      </c>
      <c r="E20" s="168">
        <v>16</v>
      </c>
      <c r="F20" s="168" t="s">
        <v>37</v>
      </c>
      <c r="G20" s="162" t="s">
        <v>58</v>
      </c>
      <c r="H20" s="162" t="s">
        <v>721</v>
      </c>
      <c r="I20" s="162" t="s">
        <v>733</v>
      </c>
      <c r="J20" s="175">
        <v>42001</v>
      </c>
      <c r="K20" s="176" t="s">
        <v>45</v>
      </c>
      <c r="L20" s="177" t="s">
        <v>705</v>
      </c>
      <c r="M20" s="150">
        <v>42400</v>
      </c>
      <c r="N20" s="172">
        <v>1.0931506849315069</v>
      </c>
      <c r="O20" s="178" t="s">
        <v>718</v>
      </c>
      <c r="P20" s="167" t="s">
        <v>734</v>
      </c>
      <c r="Q20" s="166" t="s">
        <v>414</v>
      </c>
      <c r="R20" s="178" t="s">
        <v>684</v>
      </c>
      <c r="S20" s="166">
        <v>2</v>
      </c>
      <c r="T20" s="178"/>
      <c r="U20" s="166">
        <v>2016</v>
      </c>
    </row>
    <row r="21" spans="1:21" hidden="1" x14ac:dyDescent="0.25">
      <c r="A21" s="165">
        <v>20</v>
      </c>
      <c r="B21" s="173">
        <v>3794</v>
      </c>
      <c r="C21" s="174" t="s">
        <v>454</v>
      </c>
      <c r="D21" s="174" t="s">
        <v>722</v>
      </c>
      <c r="E21" s="168">
        <v>12</v>
      </c>
      <c r="F21" s="168" t="s">
        <v>37</v>
      </c>
      <c r="G21" s="162" t="s">
        <v>39</v>
      </c>
      <c r="H21" s="162" t="s">
        <v>262</v>
      </c>
      <c r="I21" s="162" t="s">
        <v>712</v>
      </c>
      <c r="J21" s="175">
        <v>42106</v>
      </c>
      <c r="K21" s="176" t="s">
        <v>704</v>
      </c>
      <c r="L21" s="177" t="s">
        <v>705</v>
      </c>
      <c r="M21" s="150">
        <v>42400</v>
      </c>
      <c r="N21" s="172">
        <v>0.80547945205479454</v>
      </c>
      <c r="O21" s="149" t="s">
        <v>715</v>
      </c>
      <c r="P21" s="167" t="s">
        <v>684</v>
      </c>
      <c r="Q21" s="157" t="s">
        <v>416</v>
      </c>
      <c r="R21" s="178" t="s">
        <v>684</v>
      </c>
      <c r="S21" s="166">
        <v>2</v>
      </c>
      <c r="T21" s="178"/>
      <c r="U21" s="166">
        <v>2016</v>
      </c>
    </row>
    <row r="22" spans="1:21" hidden="1" x14ac:dyDescent="0.25">
      <c r="A22" s="165">
        <v>21</v>
      </c>
      <c r="B22" s="173">
        <v>3865</v>
      </c>
      <c r="C22" s="174" t="s">
        <v>455</v>
      </c>
      <c r="D22" s="174" t="s">
        <v>710</v>
      </c>
      <c r="E22" s="168">
        <v>11</v>
      </c>
      <c r="F22" s="168" t="s">
        <v>37</v>
      </c>
      <c r="G22" s="162" t="s">
        <v>39</v>
      </c>
      <c r="H22" s="162" t="s">
        <v>262</v>
      </c>
      <c r="I22" s="162" t="s">
        <v>712</v>
      </c>
      <c r="J22" s="175">
        <v>42289</v>
      </c>
      <c r="K22" s="176" t="s">
        <v>704</v>
      </c>
      <c r="L22" s="177" t="s">
        <v>705</v>
      </c>
      <c r="M22" s="150">
        <v>42418</v>
      </c>
      <c r="N22" s="172">
        <v>0.35342465753424657</v>
      </c>
      <c r="O22" s="149" t="s">
        <v>715</v>
      </c>
      <c r="P22" s="167" t="s">
        <v>684</v>
      </c>
      <c r="Q22" s="157" t="s">
        <v>416</v>
      </c>
      <c r="R22" s="178" t="s">
        <v>684</v>
      </c>
      <c r="S22" s="166">
        <v>2</v>
      </c>
      <c r="T22" s="178"/>
      <c r="U22" s="166">
        <v>2016</v>
      </c>
    </row>
    <row r="23" spans="1:21" hidden="1" x14ac:dyDescent="0.25">
      <c r="A23" s="165">
        <v>22</v>
      </c>
      <c r="B23" s="173">
        <v>1681</v>
      </c>
      <c r="C23" s="174" t="s">
        <v>456</v>
      </c>
      <c r="D23" s="174" t="s">
        <v>735</v>
      </c>
      <c r="E23" s="168">
        <v>15</v>
      </c>
      <c r="F23" s="186" t="s">
        <v>37</v>
      </c>
      <c r="G23" s="170" t="s">
        <v>736</v>
      </c>
      <c r="H23" s="162" t="s">
        <v>185</v>
      </c>
      <c r="I23" s="162" t="s">
        <v>186</v>
      </c>
      <c r="J23" s="175">
        <v>36319</v>
      </c>
      <c r="K23" s="171" t="s">
        <v>45</v>
      </c>
      <c r="L23" s="187" t="s">
        <v>705</v>
      </c>
      <c r="M23" s="152">
        <v>42429</v>
      </c>
      <c r="N23" s="172">
        <v>16.739726027397261</v>
      </c>
      <c r="O23" s="149" t="s">
        <v>709</v>
      </c>
      <c r="P23" s="167" t="s">
        <v>734</v>
      </c>
      <c r="Q23" s="166" t="s">
        <v>414</v>
      </c>
      <c r="R23" s="166" t="s">
        <v>684</v>
      </c>
      <c r="S23" s="166">
        <v>3</v>
      </c>
      <c r="T23" s="166"/>
      <c r="U23" s="166">
        <v>2016</v>
      </c>
    </row>
    <row r="24" spans="1:21" hidden="1" x14ac:dyDescent="0.25">
      <c r="A24" s="165">
        <v>23</v>
      </c>
      <c r="B24" s="173">
        <v>1960</v>
      </c>
      <c r="C24" s="174" t="s">
        <v>457</v>
      </c>
      <c r="D24" s="174" t="s">
        <v>131</v>
      </c>
      <c r="E24" s="168">
        <v>11</v>
      </c>
      <c r="F24" s="168" t="s">
        <v>44</v>
      </c>
      <c r="G24" s="170" t="s">
        <v>34</v>
      </c>
      <c r="H24" s="162" t="s">
        <v>34</v>
      </c>
      <c r="I24" s="162" t="s">
        <v>211</v>
      </c>
      <c r="J24" s="175">
        <v>37118</v>
      </c>
      <c r="K24" s="171" t="s">
        <v>45</v>
      </c>
      <c r="L24" s="187" t="s">
        <v>705</v>
      </c>
      <c r="M24" s="152">
        <v>42446</v>
      </c>
      <c r="N24" s="172">
        <v>14.597260273972603</v>
      </c>
      <c r="O24" s="149" t="s">
        <v>709</v>
      </c>
      <c r="P24" s="167" t="s">
        <v>723</v>
      </c>
      <c r="Q24" s="157" t="s">
        <v>416</v>
      </c>
      <c r="R24" s="166" t="s">
        <v>684</v>
      </c>
      <c r="S24" s="166">
        <v>3</v>
      </c>
      <c r="T24" s="166"/>
      <c r="U24" s="166">
        <v>2016</v>
      </c>
    </row>
    <row r="25" spans="1:21" hidden="1" x14ac:dyDescent="0.25">
      <c r="A25" s="165">
        <v>24</v>
      </c>
      <c r="B25" s="173">
        <v>1993</v>
      </c>
      <c r="C25" s="174" t="s">
        <v>458</v>
      </c>
      <c r="D25" s="174" t="s">
        <v>737</v>
      </c>
      <c r="E25" s="168">
        <v>17</v>
      </c>
      <c r="F25" s="186" t="s">
        <v>37</v>
      </c>
      <c r="G25" s="170" t="s">
        <v>58</v>
      </c>
      <c r="H25" s="162" t="s">
        <v>738</v>
      </c>
      <c r="I25" s="162" t="s">
        <v>738</v>
      </c>
      <c r="J25" s="175">
        <v>37325</v>
      </c>
      <c r="K25" s="171" t="s">
        <v>45</v>
      </c>
      <c r="L25" s="187" t="s">
        <v>705</v>
      </c>
      <c r="M25" s="152">
        <v>42446</v>
      </c>
      <c r="N25" s="172">
        <v>14.03013698630137</v>
      </c>
      <c r="O25" s="149" t="s">
        <v>709</v>
      </c>
      <c r="P25" s="167" t="s">
        <v>683</v>
      </c>
      <c r="Q25" s="166" t="s">
        <v>414</v>
      </c>
      <c r="R25" s="166" t="s">
        <v>683</v>
      </c>
      <c r="S25" s="166">
        <v>3</v>
      </c>
      <c r="T25" s="166"/>
      <c r="U25" s="166">
        <v>2016</v>
      </c>
    </row>
    <row r="26" spans="1:21" hidden="1" x14ac:dyDescent="0.25">
      <c r="A26" s="165">
        <v>25</v>
      </c>
      <c r="B26" s="173">
        <v>2796</v>
      </c>
      <c r="C26" s="174" t="s">
        <v>459</v>
      </c>
      <c r="D26" s="174" t="s">
        <v>95</v>
      </c>
      <c r="E26" s="168">
        <v>18</v>
      </c>
      <c r="F26" s="186" t="s">
        <v>37</v>
      </c>
      <c r="G26" s="162" t="s">
        <v>59</v>
      </c>
      <c r="H26" s="162" t="s">
        <v>59</v>
      </c>
      <c r="I26" s="162" t="s">
        <v>173</v>
      </c>
      <c r="J26" s="175">
        <v>39586</v>
      </c>
      <c r="K26" s="171" t="s">
        <v>45</v>
      </c>
      <c r="L26" s="187" t="s">
        <v>705</v>
      </c>
      <c r="M26" s="152">
        <v>42442</v>
      </c>
      <c r="N26" s="172">
        <v>7.8246575342465752</v>
      </c>
      <c r="O26" s="178" t="s">
        <v>713</v>
      </c>
      <c r="P26" s="167" t="s">
        <v>684</v>
      </c>
      <c r="Q26" s="166" t="s">
        <v>414</v>
      </c>
      <c r="R26" s="166" t="s">
        <v>684</v>
      </c>
      <c r="S26" s="166">
        <v>3</v>
      </c>
      <c r="T26" s="166"/>
      <c r="U26" s="166">
        <v>2016</v>
      </c>
    </row>
    <row r="27" spans="1:21" hidden="1" x14ac:dyDescent="0.25">
      <c r="A27" s="165">
        <v>26</v>
      </c>
      <c r="B27" s="173">
        <v>2912</v>
      </c>
      <c r="C27" s="174" t="s">
        <v>460</v>
      </c>
      <c r="D27" s="174" t="s">
        <v>103</v>
      </c>
      <c r="E27" s="168">
        <v>15</v>
      </c>
      <c r="F27" s="186" t="s">
        <v>44</v>
      </c>
      <c r="G27" s="162" t="s">
        <v>59</v>
      </c>
      <c r="H27" s="162" t="s">
        <v>717</v>
      </c>
      <c r="I27" s="162" t="s">
        <v>208</v>
      </c>
      <c r="J27" s="175">
        <v>39887</v>
      </c>
      <c r="K27" s="171" t="s">
        <v>45</v>
      </c>
      <c r="L27" s="187" t="s">
        <v>705</v>
      </c>
      <c r="M27" s="152">
        <v>42429</v>
      </c>
      <c r="N27" s="172">
        <v>6.9643835616438352</v>
      </c>
      <c r="O27" s="149" t="s">
        <v>728</v>
      </c>
      <c r="P27" s="167" t="s">
        <v>683</v>
      </c>
      <c r="Q27" s="166" t="s">
        <v>414</v>
      </c>
      <c r="R27" s="166" t="s">
        <v>683</v>
      </c>
      <c r="S27" s="166">
        <v>3</v>
      </c>
      <c r="T27" s="166"/>
      <c r="U27" s="166">
        <v>2016</v>
      </c>
    </row>
    <row r="28" spans="1:21" x14ac:dyDescent="0.25">
      <c r="A28" s="165">
        <v>27</v>
      </c>
      <c r="B28" s="173">
        <v>2948</v>
      </c>
      <c r="C28" s="174" t="s">
        <v>461</v>
      </c>
      <c r="D28" s="174" t="s">
        <v>739</v>
      </c>
      <c r="E28" s="168">
        <v>14</v>
      </c>
      <c r="F28" s="186" t="s">
        <v>37</v>
      </c>
      <c r="G28" s="170" t="s">
        <v>34</v>
      </c>
      <c r="H28" s="162" t="s">
        <v>34</v>
      </c>
      <c r="I28" s="162" t="s">
        <v>212</v>
      </c>
      <c r="J28" s="175">
        <v>39965</v>
      </c>
      <c r="K28" s="171" t="s">
        <v>704</v>
      </c>
      <c r="L28" s="187" t="s">
        <v>705</v>
      </c>
      <c r="M28" s="152">
        <v>42439</v>
      </c>
      <c r="N28" s="172">
        <v>6.7780821917808218</v>
      </c>
      <c r="O28" s="149" t="s">
        <v>728</v>
      </c>
      <c r="P28" s="167" t="s">
        <v>683</v>
      </c>
      <c r="Q28" s="166" t="s">
        <v>414</v>
      </c>
      <c r="R28" s="166" t="s">
        <v>683</v>
      </c>
      <c r="S28" s="166">
        <v>3</v>
      </c>
      <c r="T28" s="166"/>
      <c r="U28" s="166">
        <v>2016</v>
      </c>
    </row>
    <row r="29" spans="1:21" x14ac:dyDescent="0.25">
      <c r="A29" s="165">
        <v>28</v>
      </c>
      <c r="B29" s="173">
        <v>3024</v>
      </c>
      <c r="C29" s="174" t="s">
        <v>462</v>
      </c>
      <c r="D29" s="174" t="s">
        <v>109</v>
      </c>
      <c r="E29" s="168">
        <v>14</v>
      </c>
      <c r="F29" s="186" t="s">
        <v>37</v>
      </c>
      <c r="G29" s="170" t="s">
        <v>56</v>
      </c>
      <c r="H29" s="162" t="s">
        <v>56</v>
      </c>
      <c r="I29" s="162" t="s">
        <v>191</v>
      </c>
      <c r="J29" s="175">
        <v>40090</v>
      </c>
      <c r="K29" s="171" t="s">
        <v>704</v>
      </c>
      <c r="L29" s="187" t="s">
        <v>705</v>
      </c>
      <c r="M29" s="152">
        <v>42450</v>
      </c>
      <c r="N29" s="172">
        <v>6.4657534246575343</v>
      </c>
      <c r="O29" s="149" t="s">
        <v>728</v>
      </c>
      <c r="P29" s="167" t="s">
        <v>683</v>
      </c>
      <c r="Q29" s="157" t="s">
        <v>416</v>
      </c>
      <c r="R29" s="166" t="s">
        <v>683</v>
      </c>
      <c r="S29" s="166">
        <v>3</v>
      </c>
      <c r="T29" s="166"/>
      <c r="U29" s="166">
        <v>2016</v>
      </c>
    </row>
    <row r="30" spans="1:21" x14ac:dyDescent="0.25">
      <c r="A30" s="165">
        <v>29</v>
      </c>
      <c r="B30" s="173">
        <v>3162</v>
      </c>
      <c r="C30" s="174" t="s">
        <v>463</v>
      </c>
      <c r="D30" s="174" t="s">
        <v>740</v>
      </c>
      <c r="E30" s="168">
        <v>16</v>
      </c>
      <c r="F30" s="186" t="s">
        <v>37</v>
      </c>
      <c r="G30" s="170" t="s">
        <v>731</v>
      </c>
      <c r="H30" s="162" t="s">
        <v>60</v>
      </c>
      <c r="I30" s="162" t="s">
        <v>193</v>
      </c>
      <c r="J30" s="175">
        <v>40559</v>
      </c>
      <c r="K30" s="171" t="s">
        <v>704</v>
      </c>
      <c r="L30" s="187" t="s">
        <v>705</v>
      </c>
      <c r="M30" s="152">
        <v>42446</v>
      </c>
      <c r="N30" s="172">
        <v>5.1698630136986301</v>
      </c>
      <c r="O30" s="149" t="s">
        <v>728</v>
      </c>
      <c r="P30" s="167" t="s">
        <v>683</v>
      </c>
      <c r="Q30" s="166" t="s">
        <v>414</v>
      </c>
      <c r="R30" s="166" t="s">
        <v>683</v>
      </c>
      <c r="S30" s="166">
        <v>3</v>
      </c>
      <c r="T30" s="166"/>
      <c r="U30" s="166">
        <v>2016</v>
      </c>
    </row>
    <row r="31" spans="1:21" x14ac:dyDescent="0.25">
      <c r="A31" s="165">
        <v>30</v>
      </c>
      <c r="B31" s="173">
        <v>3194</v>
      </c>
      <c r="C31" s="174" t="s">
        <v>464</v>
      </c>
      <c r="D31" s="174" t="s">
        <v>90</v>
      </c>
      <c r="E31" s="168">
        <v>11</v>
      </c>
      <c r="F31" s="168" t="s">
        <v>44</v>
      </c>
      <c r="G31" s="170" t="s">
        <v>57</v>
      </c>
      <c r="H31" s="162" t="s">
        <v>223</v>
      </c>
      <c r="I31" s="162" t="s">
        <v>223</v>
      </c>
      <c r="J31" s="175">
        <v>40637</v>
      </c>
      <c r="K31" s="171" t="s">
        <v>45</v>
      </c>
      <c r="L31" s="187" t="s">
        <v>705</v>
      </c>
      <c r="M31" s="152">
        <v>42433</v>
      </c>
      <c r="N31" s="172">
        <v>4.9205479452054792</v>
      </c>
      <c r="O31" s="149" t="s">
        <v>706</v>
      </c>
      <c r="P31" s="167" t="s">
        <v>716</v>
      </c>
      <c r="Q31" s="157" t="s">
        <v>416</v>
      </c>
      <c r="R31" s="166" t="s">
        <v>685</v>
      </c>
      <c r="S31" s="166">
        <v>3</v>
      </c>
      <c r="T31" s="166"/>
      <c r="U31" s="166">
        <v>2016</v>
      </c>
    </row>
    <row r="32" spans="1:21" x14ac:dyDescent="0.25">
      <c r="A32" s="165">
        <v>31</v>
      </c>
      <c r="B32" s="173">
        <v>3370</v>
      </c>
      <c r="C32" s="174" t="s">
        <v>465</v>
      </c>
      <c r="D32" s="174" t="s">
        <v>108</v>
      </c>
      <c r="E32" s="168">
        <v>17</v>
      </c>
      <c r="F32" s="186" t="s">
        <v>37</v>
      </c>
      <c r="G32" s="170" t="s">
        <v>56</v>
      </c>
      <c r="H32" s="162" t="s">
        <v>223</v>
      </c>
      <c r="I32" s="162" t="s">
        <v>191</v>
      </c>
      <c r="J32" s="175">
        <v>41063</v>
      </c>
      <c r="K32" s="171" t="s">
        <v>45</v>
      </c>
      <c r="L32" s="187" t="s">
        <v>705</v>
      </c>
      <c r="M32" s="152">
        <v>42435</v>
      </c>
      <c r="N32" s="172">
        <v>3.7589041095890412</v>
      </c>
      <c r="O32" s="149" t="s">
        <v>706</v>
      </c>
      <c r="P32" s="167" t="s">
        <v>684</v>
      </c>
      <c r="Q32" s="157" t="s">
        <v>416</v>
      </c>
      <c r="R32" s="166" t="s">
        <v>684</v>
      </c>
      <c r="S32" s="166">
        <v>3</v>
      </c>
      <c r="T32" s="166"/>
      <c r="U32" s="166">
        <v>2016</v>
      </c>
    </row>
    <row r="33" spans="1:21" x14ac:dyDescent="0.25">
      <c r="A33" s="165">
        <v>32</v>
      </c>
      <c r="B33" s="173">
        <v>3477</v>
      </c>
      <c r="C33" s="174" t="s">
        <v>466</v>
      </c>
      <c r="D33" s="174" t="s">
        <v>741</v>
      </c>
      <c r="E33" s="168">
        <v>13</v>
      </c>
      <c r="F33" s="186" t="s">
        <v>37</v>
      </c>
      <c r="G33" s="170" t="s">
        <v>57</v>
      </c>
      <c r="H33" s="170" t="s">
        <v>223</v>
      </c>
      <c r="I33" s="162" t="s">
        <v>223</v>
      </c>
      <c r="J33" s="175">
        <v>41322</v>
      </c>
      <c r="K33" s="171" t="s">
        <v>704</v>
      </c>
      <c r="L33" s="187" t="s">
        <v>705</v>
      </c>
      <c r="M33" s="152">
        <v>42429</v>
      </c>
      <c r="N33" s="172">
        <v>3.032876712328767</v>
      </c>
      <c r="O33" s="149" t="s">
        <v>706</v>
      </c>
      <c r="P33" s="167" t="s">
        <v>742</v>
      </c>
      <c r="Q33" s="166" t="s">
        <v>414</v>
      </c>
      <c r="R33" s="166" t="s">
        <v>684</v>
      </c>
      <c r="S33" s="166">
        <v>3</v>
      </c>
      <c r="T33" s="166"/>
      <c r="U33" s="166">
        <v>2016</v>
      </c>
    </row>
    <row r="34" spans="1:21" x14ac:dyDescent="0.25">
      <c r="A34" s="165">
        <v>33</v>
      </c>
      <c r="B34" s="179">
        <v>3489</v>
      </c>
      <c r="C34" s="180" t="s">
        <v>467</v>
      </c>
      <c r="D34" s="180" t="s">
        <v>86</v>
      </c>
      <c r="E34" s="159">
        <v>11</v>
      </c>
      <c r="F34" s="188" t="s">
        <v>37</v>
      </c>
      <c r="G34" s="161" t="s">
        <v>39</v>
      </c>
      <c r="H34" s="181" t="s">
        <v>230</v>
      </c>
      <c r="I34" s="181" t="s">
        <v>239</v>
      </c>
      <c r="J34" s="182">
        <v>41365</v>
      </c>
      <c r="K34" s="163" t="s">
        <v>704</v>
      </c>
      <c r="L34" s="189" t="s">
        <v>714</v>
      </c>
      <c r="M34" s="153">
        <v>42445</v>
      </c>
      <c r="N34" s="164">
        <v>2.9589041095890409</v>
      </c>
      <c r="O34" s="148" t="s">
        <v>729</v>
      </c>
      <c r="P34" s="158" t="s">
        <v>743</v>
      </c>
      <c r="Q34" s="157" t="s">
        <v>416</v>
      </c>
      <c r="R34" s="157" t="s">
        <v>685</v>
      </c>
      <c r="S34" s="157">
        <v>3</v>
      </c>
      <c r="T34" s="157"/>
      <c r="U34" s="157">
        <v>2016</v>
      </c>
    </row>
    <row r="35" spans="1:21" x14ac:dyDescent="0.25">
      <c r="A35" s="165">
        <v>34</v>
      </c>
      <c r="B35" s="173">
        <v>3510</v>
      </c>
      <c r="C35" s="174" t="s">
        <v>468</v>
      </c>
      <c r="D35" s="174" t="s">
        <v>744</v>
      </c>
      <c r="E35" s="168">
        <v>14</v>
      </c>
      <c r="F35" s="186" t="s">
        <v>37</v>
      </c>
      <c r="G35" s="170" t="s">
        <v>745</v>
      </c>
      <c r="H35" s="162" t="s">
        <v>745</v>
      </c>
      <c r="I35" s="162" t="s">
        <v>745</v>
      </c>
      <c r="J35" s="175">
        <v>41378</v>
      </c>
      <c r="K35" s="171" t="s">
        <v>704</v>
      </c>
      <c r="L35" s="187" t="s">
        <v>705</v>
      </c>
      <c r="M35" s="152">
        <v>42432</v>
      </c>
      <c r="N35" s="172">
        <v>2.8876712328767122</v>
      </c>
      <c r="O35" s="149" t="s">
        <v>729</v>
      </c>
      <c r="P35" s="167" t="s">
        <v>683</v>
      </c>
      <c r="Q35" s="166" t="s">
        <v>414</v>
      </c>
      <c r="R35" s="166" t="s">
        <v>683</v>
      </c>
      <c r="S35" s="166">
        <v>3</v>
      </c>
      <c r="T35" s="166"/>
      <c r="U35" s="166">
        <v>2016</v>
      </c>
    </row>
    <row r="36" spans="1:21" x14ac:dyDescent="0.25">
      <c r="A36" s="165">
        <v>35</v>
      </c>
      <c r="B36" s="179">
        <v>3564</v>
      </c>
      <c r="C36" s="180" t="s">
        <v>469</v>
      </c>
      <c r="D36" s="180" t="s">
        <v>86</v>
      </c>
      <c r="E36" s="159">
        <v>11</v>
      </c>
      <c r="F36" s="188" t="s">
        <v>37</v>
      </c>
      <c r="G36" s="161" t="s">
        <v>39</v>
      </c>
      <c r="H36" s="181" t="s">
        <v>230</v>
      </c>
      <c r="I36" s="181" t="s">
        <v>231</v>
      </c>
      <c r="J36" s="182">
        <v>41527</v>
      </c>
      <c r="K36" s="163" t="s">
        <v>704</v>
      </c>
      <c r="L36" s="189" t="s">
        <v>705</v>
      </c>
      <c r="M36" s="153">
        <v>42424</v>
      </c>
      <c r="N36" s="164">
        <v>2.4575342465753423</v>
      </c>
      <c r="O36" s="148" t="s">
        <v>729</v>
      </c>
      <c r="P36" s="158" t="s">
        <v>684</v>
      </c>
      <c r="Q36" s="157" t="s">
        <v>414</v>
      </c>
      <c r="R36" s="157" t="s">
        <v>684</v>
      </c>
      <c r="S36" s="157">
        <v>3</v>
      </c>
      <c r="T36" s="157"/>
      <c r="U36" s="157">
        <v>2016</v>
      </c>
    </row>
    <row r="37" spans="1:21" x14ac:dyDescent="0.25">
      <c r="A37" s="165">
        <v>36</v>
      </c>
      <c r="B37" s="173">
        <v>3666</v>
      </c>
      <c r="C37" s="174" t="s">
        <v>470</v>
      </c>
      <c r="D37" s="174" t="s">
        <v>97</v>
      </c>
      <c r="E37" s="168">
        <v>12</v>
      </c>
      <c r="F37" s="168" t="s">
        <v>37</v>
      </c>
      <c r="G37" s="170" t="s">
        <v>745</v>
      </c>
      <c r="H37" s="162" t="s">
        <v>745</v>
      </c>
      <c r="I37" s="162" t="s">
        <v>745</v>
      </c>
      <c r="J37" s="175">
        <v>41743</v>
      </c>
      <c r="K37" s="171" t="s">
        <v>704</v>
      </c>
      <c r="L37" s="187" t="s">
        <v>705</v>
      </c>
      <c r="M37" s="152">
        <v>42453</v>
      </c>
      <c r="N37" s="172">
        <v>1.9452054794520548</v>
      </c>
      <c r="O37" s="149" t="s">
        <v>718</v>
      </c>
      <c r="P37" s="167" t="s">
        <v>683</v>
      </c>
      <c r="Q37" s="166" t="s">
        <v>414</v>
      </c>
      <c r="R37" s="166" t="s">
        <v>683</v>
      </c>
      <c r="S37" s="166">
        <v>3</v>
      </c>
      <c r="T37" s="166"/>
      <c r="U37" s="166">
        <v>2016</v>
      </c>
    </row>
    <row r="38" spans="1:21" x14ac:dyDescent="0.25">
      <c r="A38" s="165">
        <v>37</v>
      </c>
      <c r="B38" s="173">
        <v>3704</v>
      </c>
      <c r="C38" s="174" t="s">
        <v>471</v>
      </c>
      <c r="D38" s="174" t="s">
        <v>746</v>
      </c>
      <c r="E38" s="168">
        <v>14</v>
      </c>
      <c r="F38" s="186" t="s">
        <v>37</v>
      </c>
      <c r="G38" s="162" t="s">
        <v>59</v>
      </c>
      <c r="H38" s="162" t="s">
        <v>59</v>
      </c>
      <c r="I38" s="162" t="s">
        <v>747</v>
      </c>
      <c r="J38" s="175">
        <v>41868</v>
      </c>
      <c r="K38" s="171" t="s">
        <v>704</v>
      </c>
      <c r="L38" s="187" t="s">
        <v>705</v>
      </c>
      <c r="M38" s="152">
        <v>42429</v>
      </c>
      <c r="N38" s="172">
        <v>1.536986301369863</v>
      </c>
      <c r="O38" s="149" t="s">
        <v>718</v>
      </c>
      <c r="P38" s="167" t="s">
        <v>683</v>
      </c>
      <c r="Q38" s="166" t="s">
        <v>414</v>
      </c>
      <c r="R38" s="166" t="s">
        <v>683</v>
      </c>
      <c r="S38" s="166">
        <v>3</v>
      </c>
      <c r="T38" s="166"/>
      <c r="U38" s="166">
        <v>2016</v>
      </c>
    </row>
    <row r="39" spans="1:21" hidden="1" x14ac:dyDescent="0.25">
      <c r="A39" s="165">
        <v>38</v>
      </c>
      <c r="B39" s="173">
        <v>3726</v>
      </c>
      <c r="C39" s="174" t="s">
        <v>472</v>
      </c>
      <c r="D39" s="174" t="s">
        <v>86</v>
      </c>
      <c r="E39" s="168">
        <v>11</v>
      </c>
      <c r="F39" s="186" t="s">
        <v>37</v>
      </c>
      <c r="G39" s="170" t="s">
        <v>39</v>
      </c>
      <c r="H39" s="181" t="s">
        <v>230</v>
      </c>
      <c r="I39" s="162" t="s">
        <v>238</v>
      </c>
      <c r="J39" s="175">
        <v>41903</v>
      </c>
      <c r="K39" s="171" t="s">
        <v>704</v>
      </c>
      <c r="L39" s="187" t="s">
        <v>705</v>
      </c>
      <c r="M39" s="152">
        <v>42432</v>
      </c>
      <c r="N39" s="172">
        <v>1.4493150684931506</v>
      </c>
      <c r="O39" s="149" t="s">
        <v>718</v>
      </c>
      <c r="P39" s="167" t="s">
        <v>684</v>
      </c>
      <c r="Q39" s="157" t="s">
        <v>416</v>
      </c>
      <c r="R39" s="166" t="s">
        <v>684</v>
      </c>
      <c r="S39" s="166">
        <v>3</v>
      </c>
      <c r="T39" s="166"/>
      <c r="U39" s="166">
        <v>2016</v>
      </c>
    </row>
    <row r="40" spans="1:21" hidden="1" x14ac:dyDescent="0.25">
      <c r="A40" s="165">
        <v>39</v>
      </c>
      <c r="B40" s="173">
        <v>3889</v>
      </c>
      <c r="C40" s="174" t="s">
        <v>473</v>
      </c>
      <c r="D40" s="174" t="s">
        <v>109</v>
      </c>
      <c r="E40" s="168">
        <v>14</v>
      </c>
      <c r="F40" s="168" t="s">
        <v>44</v>
      </c>
      <c r="G40" s="170" t="s">
        <v>56</v>
      </c>
      <c r="H40" s="162" t="s">
        <v>56</v>
      </c>
      <c r="I40" s="162" t="s">
        <v>191</v>
      </c>
      <c r="J40" s="175">
        <v>42344</v>
      </c>
      <c r="K40" s="171" t="s">
        <v>45</v>
      </c>
      <c r="L40" s="187" t="s">
        <v>705</v>
      </c>
      <c r="M40" s="152">
        <v>42449</v>
      </c>
      <c r="N40" s="172">
        <v>0.28767123287671231</v>
      </c>
      <c r="O40" s="149" t="s">
        <v>715</v>
      </c>
      <c r="P40" s="167" t="s">
        <v>734</v>
      </c>
      <c r="Q40" s="166" t="s">
        <v>414</v>
      </c>
      <c r="R40" s="166" t="s">
        <v>684</v>
      </c>
      <c r="S40" s="166">
        <v>3</v>
      </c>
      <c r="T40" s="166"/>
      <c r="U40" s="166">
        <v>2016</v>
      </c>
    </row>
    <row r="41" spans="1:21" hidden="1" x14ac:dyDescent="0.25">
      <c r="A41" s="165">
        <v>40</v>
      </c>
      <c r="B41" s="166">
        <v>3736</v>
      </c>
      <c r="C41" s="167" t="s">
        <v>474</v>
      </c>
      <c r="D41" s="167" t="s">
        <v>748</v>
      </c>
      <c r="E41" s="166"/>
      <c r="F41" s="190" t="s">
        <v>37</v>
      </c>
      <c r="G41" s="170" t="s">
        <v>72</v>
      </c>
      <c r="H41" s="170" t="s">
        <v>177</v>
      </c>
      <c r="I41" s="170" t="s">
        <v>177</v>
      </c>
      <c r="J41" s="191">
        <v>41924</v>
      </c>
      <c r="K41" s="171" t="s">
        <v>704</v>
      </c>
      <c r="L41" s="187" t="s">
        <v>705</v>
      </c>
      <c r="M41" s="152">
        <v>42460</v>
      </c>
      <c r="N41" s="172">
        <v>1.4684931506849315</v>
      </c>
      <c r="O41" s="149" t="s">
        <v>718</v>
      </c>
      <c r="P41" s="167" t="s">
        <v>684</v>
      </c>
      <c r="Q41" s="157" t="s">
        <v>416</v>
      </c>
      <c r="R41" s="192" t="s">
        <v>684</v>
      </c>
      <c r="S41" s="192">
        <v>4</v>
      </c>
      <c r="T41" s="192"/>
      <c r="U41" s="192">
        <v>2016</v>
      </c>
    </row>
    <row r="42" spans="1:21" hidden="1" x14ac:dyDescent="0.25">
      <c r="A42" s="165">
        <v>41</v>
      </c>
      <c r="B42" s="166">
        <v>3595</v>
      </c>
      <c r="C42" s="167" t="s">
        <v>475</v>
      </c>
      <c r="D42" s="167" t="s">
        <v>92</v>
      </c>
      <c r="E42" s="166"/>
      <c r="F42" s="190" t="s">
        <v>37</v>
      </c>
      <c r="G42" s="170" t="s">
        <v>57</v>
      </c>
      <c r="H42" s="170" t="s">
        <v>223</v>
      </c>
      <c r="I42" s="170" t="s">
        <v>223</v>
      </c>
      <c r="J42" s="191">
        <v>41581</v>
      </c>
      <c r="K42" s="171" t="s">
        <v>45</v>
      </c>
      <c r="L42" s="187" t="s">
        <v>705</v>
      </c>
      <c r="M42" s="152">
        <v>42460</v>
      </c>
      <c r="N42" s="172">
        <v>2.408219178082192</v>
      </c>
      <c r="O42" s="149" t="s">
        <v>729</v>
      </c>
      <c r="P42" s="167" t="s">
        <v>719</v>
      </c>
      <c r="Q42" s="157" t="s">
        <v>416</v>
      </c>
      <c r="R42" s="192" t="s">
        <v>686</v>
      </c>
      <c r="S42" s="192">
        <v>4</v>
      </c>
      <c r="T42" s="192"/>
      <c r="U42" s="192">
        <v>2016</v>
      </c>
    </row>
    <row r="43" spans="1:21" hidden="1" x14ac:dyDescent="0.25">
      <c r="A43" s="165">
        <v>42</v>
      </c>
      <c r="B43" s="166">
        <v>3522</v>
      </c>
      <c r="C43" s="167" t="s">
        <v>476</v>
      </c>
      <c r="D43" s="167" t="s">
        <v>749</v>
      </c>
      <c r="E43" s="166"/>
      <c r="F43" s="190" t="s">
        <v>37</v>
      </c>
      <c r="G43" s="170" t="s">
        <v>58</v>
      </c>
      <c r="H43" s="170" t="s">
        <v>721</v>
      </c>
      <c r="I43" s="170" t="s">
        <v>750</v>
      </c>
      <c r="J43" s="191">
        <v>41406</v>
      </c>
      <c r="K43" s="171" t="s">
        <v>45</v>
      </c>
      <c r="L43" s="187" t="s">
        <v>705</v>
      </c>
      <c r="M43" s="152">
        <v>42460</v>
      </c>
      <c r="N43" s="172">
        <v>2.8876712328767122</v>
      </c>
      <c r="O43" s="149" t="s">
        <v>729</v>
      </c>
      <c r="P43" s="167" t="s">
        <v>684</v>
      </c>
      <c r="Q43" s="157" t="s">
        <v>416</v>
      </c>
      <c r="R43" s="192" t="s">
        <v>684</v>
      </c>
      <c r="S43" s="192">
        <v>4</v>
      </c>
      <c r="T43" s="192"/>
      <c r="U43" s="192">
        <v>2016</v>
      </c>
    </row>
    <row r="44" spans="1:21" hidden="1" x14ac:dyDescent="0.25">
      <c r="A44" s="165">
        <v>43</v>
      </c>
      <c r="B44" s="166">
        <v>3660</v>
      </c>
      <c r="C44" s="167" t="s">
        <v>477</v>
      </c>
      <c r="D44" s="167" t="s">
        <v>751</v>
      </c>
      <c r="E44" s="166"/>
      <c r="F44" s="190" t="s">
        <v>37</v>
      </c>
      <c r="G44" s="170" t="s">
        <v>39</v>
      </c>
      <c r="H44" s="170" t="s">
        <v>262</v>
      </c>
      <c r="I44" s="170" t="s">
        <v>712</v>
      </c>
      <c r="J44" s="191">
        <v>41738</v>
      </c>
      <c r="K44" s="171" t="s">
        <v>704</v>
      </c>
      <c r="L44" s="187" t="s">
        <v>705</v>
      </c>
      <c r="M44" s="152">
        <v>42460</v>
      </c>
      <c r="N44" s="172">
        <v>1.978082191780822</v>
      </c>
      <c r="O44" s="149" t="s">
        <v>718</v>
      </c>
      <c r="P44" s="167" t="s">
        <v>752</v>
      </c>
      <c r="Q44" s="166" t="s">
        <v>414</v>
      </c>
      <c r="R44" s="192" t="s">
        <v>683</v>
      </c>
      <c r="S44" s="192">
        <v>4</v>
      </c>
      <c r="T44" s="192"/>
      <c r="U44" s="192">
        <v>2016</v>
      </c>
    </row>
    <row r="45" spans="1:21" hidden="1" x14ac:dyDescent="0.25">
      <c r="A45" s="165">
        <v>44</v>
      </c>
      <c r="B45" s="166">
        <v>3700</v>
      </c>
      <c r="C45" s="167" t="s">
        <v>478</v>
      </c>
      <c r="D45" s="167" t="s">
        <v>91</v>
      </c>
      <c r="E45" s="166"/>
      <c r="F45" s="190" t="s">
        <v>37</v>
      </c>
      <c r="G45" s="170" t="s">
        <v>717</v>
      </c>
      <c r="H45" s="170" t="s">
        <v>207</v>
      </c>
      <c r="I45" s="170" t="s">
        <v>208</v>
      </c>
      <c r="J45" s="191">
        <v>41854</v>
      </c>
      <c r="K45" s="171" t="s">
        <v>704</v>
      </c>
      <c r="L45" s="187" t="s">
        <v>705</v>
      </c>
      <c r="M45" s="152">
        <v>42465</v>
      </c>
      <c r="N45" s="172">
        <v>1.6739726027397259</v>
      </c>
      <c r="O45" s="149" t="s">
        <v>718</v>
      </c>
      <c r="P45" s="167" t="s">
        <v>752</v>
      </c>
      <c r="Q45" s="166" t="s">
        <v>414</v>
      </c>
      <c r="R45" s="192" t="s">
        <v>683</v>
      </c>
      <c r="S45" s="192">
        <v>4</v>
      </c>
      <c r="T45" s="192"/>
      <c r="U45" s="192">
        <v>2016</v>
      </c>
    </row>
    <row r="46" spans="1:21" ht="36.75" hidden="1" x14ac:dyDescent="0.25">
      <c r="A46" s="165">
        <v>45</v>
      </c>
      <c r="B46" s="166">
        <v>2673</v>
      </c>
      <c r="C46" s="167" t="s">
        <v>479</v>
      </c>
      <c r="D46" s="167" t="s">
        <v>141</v>
      </c>
      <c r="E46" s="166"/>
      <c r="F46" s="190" t="s">
        <v>37</v>
      </c>
      <c r="G46" s="170" t="s">
        <v>753</v>
      </c>
      <c r="H46" s="170" t="s">
        <v>61</v>
      </c>
      <c r="I46" s="170" t="s">
        <v>221</v>
      </c>
      <c r="J46" s="191">
        <v>39208</v>
      </c>
      <c r="K46" s="171" t="s">
        <v>704</v>
      </c>
      <c r="L46" s="187" t="s">
        <v>705</v>
      </c>
      <c r="M46" s="152">
        <v>42474</v>
      </c>
      <c r="N46" s="172">
        <v>8.9479452054794528</v>
      </c>
      <c r="O46" s="178" t="s">
        <v>713</v>
      </c>
      <c r="P46" s="193" t="s">
        <v>719</v>
      </c>
      <c r="Q46" s="157" t="s">
        <v>416</v>
      </c>
      <c r="R46" s="192" t="s">
        <v>686</v>
      </c>
      <c r="S46" s="192">
        <v>4</v>
      </c>
      <c r="T46" s="192"/>
      <c r="U46" s="192">
        <v>2016</v>
      </c>
    </row>
    <row r="47" spans="1:21" hidden="1" x14ac:dyDescent="0.25">
      <c r="A47" s="165">
        <v>46</v>
      </c>
      <c r="B47" s="166">
        <v>3284</v>
      </c>
      <c r="C47" s="167" t="s">
        <v>480</v>
      </c>
      <c r="D47" s="167" t="s">
        <v>2</v>
      </c>
      <c r="E47" s="166"/>
      <c r="F47" s="190" t="s">
        <v>37</v>
      </c>
      <c r="G47" s="170" t="s">
        <v>39</v>
      </c>
      <c r="H47" s="162" t="s">
        <v>41</v>
      </c>
      <c r="I47" s="170" t="s">
        <v>256</v>
      </c>
      <c r="J47" s="191">
        <v>40812</v>
      </c>
      <c r="K47" s="171" t="s">
        <v>704</v>
      </c>
      <c r="L47" s="187" t="s">
        <v>705</v>
      </c>
      <c r="M47" s="152">
        <v>42466</v>
      </c>
      <c r="N47" s="172">
        <v>4.5315068493150683</v>
      </c>
      <c r="O47" s="149" t="s">
        <v>706</v>
      </c>
      <c r="P47" s="167" t="s">
        <v>684</v>
      </c>
      <c r="Q47" s="157" t="s">
        <v>416</v>
      </c>
      <c r="R47" s="192" t="s">
        <v>684</v>
      </c>
      <c r="S47" s="192">
        <v>4</v>
      </c>
      <c r="T47" s="192"/>
      <c r="U47" s="192">
        <v>2016</v>
      </c>
    </row>
    <row r="48" spans="1:21" hidden="1" x14ac:dyDescent="0.25">
      <c r="A48" s="165">
        <v>47</v>
      </c>
      <c r="B48" s="166">
        <v>2987</v>
      </c>
      <c r="C48" s="167" t="s">
        <v>481</v>
      </c>
      <c r="D48" s="167" t="s">
        <v>123</v>
      </c>
      <c r="E48" s="166"/>
      <c r="F48" s="190" t="s">
        <v>37</v>
      </c>
      <c r="G48" s="170" t="s">
        <v>717</v>
      </c>
      <c r="H48" s="170" t="s">
        <v>204</v>
      </c>
      <c r="I48" s="170" t="s">
        <v>206</v>
      </c>
      <c r="J48" s="191">
        <v>40041</v>
      </c>
      <c r="K48" s="171" t="s">
        <v>704</v>
      </c>
      <c r="L48" s="187" t="s">
        <v>705</v>
      </c>
      <c r="M48" s="152">
        <v>42467</v>
      </c>
      <c r="N48" s="172">
        <v>6.646575342465753</v>
      </c>
      <c r="O48" s="149" t="s">
        <v>728</v>
      </c>
      <c r="P48" s="167" t="s">
        <v>684</v>
      </c>
      <c r="Q48" s="157" t="s">
        <v>416</v>
      </c>
      <c r="R48" s="192" t="s">
        <v>684</v>
      </c>
      <c r="S48" s="192">
        <v>4</v>
      </c>
      <c r="T48" s="192"/>
      <c r="U48" s="192">
        <v>2016</v>
      </c>
    </row>
    <row r="49" spans="1:21" hidden="1" x14ac:dyDescent="0.25">
      <c r="A49" s="165">
        <v>48</v>
      </c>
      <c r="B49" s="166">
        <v>3934</v>
      </c>
      <c r="C49" s="167" t="s">
        <v>482</v>
      </c>
      <c r="D49" s="167" t="s">
        <v>754</v>
      </c>
      <c r="E49" s="166"/>
      <c r="F49" s="190" t="s">
        <v>37</v>
      </c>
      <c r="G49" s="170" t="s">
        <v>717</v>
      </c>
      <c r="H49" s="170" t="s">
        <v>204</v>
      </c>
      <c r="I49" s="170" t="s">
        <v>209</v>
      </c>
      <c r="J49" s="191">
        <v>42442</v>
      </c>
      <c r="K49" s="171" t="s">
        <v>704</v>
      </c>
      <c r="L49" s="187" t="s">
        <v>705</v>
      </c>
      <c r="M49" s="152">
        <v>42464</v>
      </c>
      <c r="N49" s="172">
        <v>6.0273972602739728E-2</v>
      </c>
      <c r="O49" s="149" t="s">
        <v>715</v>
      </c>
      <c r="P49" s="167" t="s">
        <v>752</v>
      </c>
      <c r="Q49" s="166" t="s">
        <v>414</v>
      </c>
      <c r="R49" s="192" t="s">
        <v>683</v>
      </c>
      <c r="S49" s="192">
        <v>4</v>
      </c>
      <c r="T49" s="192"/>
      <c r="U49" s="192">
        <v>2016</v>
      </c>
    </row>
    <row r="50" spans="1:21" hidden="1" x14ac:dyDescent="0.25">
      <c r="A50" s="165">
        <v>49</v>
      </c>
      <c r="B50" s="166">
        <v>3366</v>
      </c>
      <c r="C50" s="167" t="s">
        <v>483</v>
      </c>
      <c r="D50" s="167" t="s">
        <v>755</v>
      </c>
      <c r="E50" s="166"/>
      <c r="F50" s="190" t="s">
        <v>37</v>
      </c>
      <c r="G50" s="170" t="s">
        <v>717</v>
      </c>
      <c r="H50" s="170" t="s">
        <v>204</v>
      </c>
      <c r="I50" s="170" t="s">
        <v>205</v>
      </c>
      <c r="J50" s="191">
        <v>41045</v>
      </c>
      <c r="K50" s="171" t="s">
        <v>45</v>
      </c>
      <c r="L50" s="187" t="s">
        <v>705</v>
      </c>
      <c r="M50" s="152">
        <v>42466</v>
      </c>
      <c r="N50" s="172">
        <v>3.893150684931507</v>
      </c>
      <c r="O50" s="149" t="s">
        <v>706</v>
      </c>
      <c r="P50" s="167" t="s">
        <v>752</v>
      </c>
      <c r="Q50" s="166" t="s">
        <v>414</v>
      </c>
      <c r="R50" s="192" t="s">
        <v>683</v>
      </c>
      <c r="S50" s="192">
        <v>4</v>
      </c>
      <c r="T50" s="192"/>
      <c r="U50" s="192">
        <v>2016</v>
      </c>
    </row>
    <row r="51" spans="1:21" hidden="1" x14ac:dyDescent="0.25">
      <c r="A51" s="165">
        <v>50</v>
      </c>
      <c r="B51" s="166">
        <v>3948</v>
      </c>
      <c r="C51" s="167" t="s">
        <v>484</v>
      </c>
      <c r="D51" s="167" t="s">
        <v>86</v>
      </c>
      <c r="E51" s="166"/>
      <c r="F51" s="190" t="s">
        <v>37</v>
      </c>
      <c r="G51" s="170" t="s">
        <v>39</v>
      </c>
      <c r="H51" s="170" t="s">
        <v>230</v>
      </c>
      <c r="I51" s="170" t="s">
        <v>230</v>
      </c>
      <c r="J51" s="191">
        <v>42433</v>
      </c>
      <c r="K51" s="171" t="s">
        <v>704</v>
      </c>
      <c r="L51" s="187" t="s">
        <v>705</v>
      </c>
      <c r="M51" s="152">
        <v>42465</v>
      </c>
      <c r="N51" s="172">
        <v>8.7671232876712329E-2</v>
      </c>
      <c r="O51" s="149" t="s">
        <v>715</v>
      </c>
      <c r="P51" s="167" t="s">
        <v>734</v>
      </c>
      <c r="Q51" s="157" t="s">
        <v>416</v>
      </c>
      <c r="R51" s="192" t="s">
        <v>684</v>
      </c>
      <c r="S51" s="192">
        <v>4</v>
      </c>
      <c r="T51" s="192"/>
      <c r="U51" s="192">
        <v>2016</v>
      </c>
    </row>
    <row r="52" spans="1:21" hidden="1" x14ac:dyDescent="0.25">
      <c r="A52" s="165">
        <v>51</v>
      </c>
      <c r="B52" s="166">
        <v>2800</v>
      </c>
      <c r="C52" s="167" t="s">
        <v>485</v>
      </c>
      <c r="D52" s="167" t="s">
        <v>155</v>
      </c>
      <c r="E52" s="166"/>
      <c r="F52" s="190" t="s">
        <v>37</v>
      </c>
      <c r="G52" s="170" t="s">
        <v>39</v>
      </c>
      <c r="H52" s="170" t="s">
        <v>230</v>
      </c>
      <c r="I52" s="170" t="s">
        <v>248</v>
      </c>
      <c r="J52" s="191">
        <v>39600</v>
      </c>
      <c r="K52" s="171" t="s">
        <v>704</v>
      </c>
      <c r="L52" s="187" t="s">
        <v>705</v>
      </c>
      <c r="M52" s="152">
        <v>42481</v>
      </c>
      <c r="N52" s="172">
        <v>7.8931506849315065</v>
      </c>
      <c r="O52" s="178" t="s">
        <v>713</v>
      </c>
      <c r="P52" s="167" t="s">
        <v>734</v>
      </c>
      <c r="Q52" s="166" t="s">
        <v>414</v>
      </c>
      <c r="R52" s="192" t="s">
        <v>684</v>
      </c>
      <c r="S52" s="192">
        <v>4</v>
      </c>
      <c r="T52" s="192"/>
      <c r="U52" s="192">
        <v>2016</v>
      </c>
    </row>
    <row r="53" spans="1:21" hidden="1" x14ac:dyDescent="0.25">
      <c r="A53" s="165">
        <v>52</v>
      </c>
      <c r="B53" s="166">
        <v>3646</v>
      </c>
      <c r="C53" s="167" t="s">
        <v>486</v>
      </c>
      <c r="D53" s="167" t="s">
        <v>2</v>
      </c>
      <c r="E53" s="166"/>
      <c r="F53" s="190" t="s">
        <v>37</v>
      </c>
      <c r="G53" s="170" t="s">
        <v>39</v>
      </c>
      <c r="H53" s="162" t="s">
        <v>41</v>
      </c>
      <c r="I53" s="170" t="s">
        <v>257</v>
      </c>
      <c r="J53" s="191">
        <v>41730</v>
      </c>
      <c r="K53" s="171" t="s">
        <v>704</v>
      </c>
      <c r="L53" s="187" t="s">
        <v>705</v>
      </c>
      <c r="M53" s="152">
        <v>42473</v>
      </c>
      <c r="N53" s="172">
        <v>2.0356164383561643</v>
      </c>
      <c r="O53" s="149" t="s">
        <v>729</v>
      </c>
      <c r="P53" s="167" t="s">
        <v>684</v>
      </c>
      <c r="Q53" s="166" t="s">
        <v>414</v>
      </c>
      <c r="R53" s="192" t="s">
        <v>684</v>
      </c>
      <c r="S53" s="192">
        <v>4</v>
      </c>
      <c r="T53" s="192"/>
      <c r="U53" s="192">
        <v>2016</v>
      </c>
    </row>
    <row r="54" spans="1:21" hidden="1" x14ac:dyDescent="0.25">
      <c r="A54" s="165">
        <v>53</v>
      </c>
      <c r="B54" s="166">
        <v>3390</v>
      </c>
      <c r="C54" s="167" t="s">
        <v>487</v>
      </c>
      <c r="D54" s="167" t="s">
        <v>155</v>
      </c>
      <c r="E54" s="166"/>
      <c r="F54" s="190" t="s">
        <v>37</v>
      </c>
      <c r="G54" s="170" t="s">
        <v>39</v>
      </c>
      <c r="H54" s="170" t="s">
        <v>230</v>
      </c>
      <c r="I54" s="170" t="s">
        <v>245</v>
      </c>
      <c r="J54" s="191">
        <v>41143</v>
      </c>
      <c r="K54" s="171" t="s">
        <v>704</v>
      </c>
      <c r="L54" s="187" t="s">
        <v>705</v>
      </c>
      <c r="M54" s="152">
        <v>42485</v>
      </c>
      <c r="N54" s="172">
        <v>3.6767123287671235</v>
      </c>
      <c r="O54" s="149" t="s">
        <v>706</v>
      </c>
      <c r="P54" s="194" t="s">
        <v>756</v>
      </c>
      <c r="Q54" s="166" t="s">
        <v>414</v>
      </c>
      <c r="R54" s="192" t="s">
        <v>683</v>
      </c>
      <c r="S54" s="192">
        <v>4</v>
      </c>
      <c r="T54" s="192"/>
      <c r="U54" s="192">
        <v>2016</v>
      </c>
    </row>
    <row r="55" spans="1:21" hidden="1" x14ac:dyDescent="0.25">
      <c r="A55" s="165">
        <v>54</v>
      </c>
      <c r="B55" s="166">
        <v>3845</v>
      </c>
      <c r="C55" s="167" t="s">
        <v>488</v>
      </c>
      <c r="D55" s="167" t="s">
        <v>2</v>
      </c>
      <c r="E55" s="166"/>
      <c r="F55" s="190" t="s">
        <v>37</v>
      </c>
      <c r="G55" s="170" t="s">
        <v>39</v>
      </c>
      <c r="H55" s="162" t="s">
        <v>41</v>
      </c>
      <c r="I55" s="170" t="s">
        <v>255</v>
      </c>
      <c r="J55" s="191">
        <v>42232</v>
      </c>
      <c r="K55" s="171" t="s">
        <v>704</v>
      </c>
      <c r="L55" s="187" t="s">
        <v>705</v>
      </c>
      <c r="M55" s="152">
        <v>42477</v>
      </c>
      <c r="N55" s="172">
        <v>0.67123287671232879</v>
      </c>
      <c r="O55" s="149" t="s">
        <v>715</v>
      </c>
      <c r="P55" s="194" t="s">
        <v>757</v>
      </c>
      <c r="Q55" s="166" t="s">
        <v>414</v>
      </c>
      <c r="R55" s="192" t="s">
        <v>684</v>
      </c>
      <c r="S55" s="192">
        <v>4</v>
      </c>
      <c r="T55" s="192"/>
      <c r="U55" s="192">
        <v>2016</v>
      </c>
    </row>
    <row r="56" spans="1:21" hidden="1" x14ac:dyDescent="0.25">
      <c r="A56" s="165">
        <v>55</v>
      </c>
      <c r="B56" s="166">
        <v>3491</v>
      </c>
      <c r="C56" s="167" t="s">
        <v>489</v>
      </c>
      <c r="D56" s="167" t="s">
        <v>2</v>
      </c>
      <c r="E56" s="166"/>
      <c r="F56" s="190" t="s">
        <v>37</v>
      </c>
      <c r="G56" s="170" t="s">
        <v>39</v>
      </c>
      <c r="H56" s="162" t="s">
        <v>41</v>
      </c>
      <c r="I56" s="170" t="s">
        <v>257</v>
      </c>
      <c r="J56" s="191">
        <v>41365</v>
      </c>
      <c r="K56" s="171" t="s">
        <v>704</v>
      </c>
      <c r="L56" s="187" t="s">
        <v>705</v>
      </c>
      <c r="M56" s="152">
        <v>42488</v>
      </c>
      <c r="N56" s="172">
        <v>3.0767123287671234</v>
      </c>
      <c r="O56" s="149" t="s">
        <v>706</v>
      </c>
      <c r="P56" s="167" t="s">
        <v>727</v>
      </c>
      <c r="Q56" s="166" t="s">
        <v>414</v>
      </c>
      <c r="R56" s="192" t="s">
        <v>684</v>
      </c>
      <c r="S56" s="192">
        <v>4</v>
      </c>
      <c r="T56" s="192"/>
      <c r="U56" s="192">
        <v>2016</v>
      </c>
    </row>
    <row r="57" spans="1:21" hidden="1" x14ac:dyDescent="0.25">
      <c r="A57" s="165">
        <v>56</v>
      </c>
      <c r="B57" s="166">
        <v>2968</v>
      </c>
      <c r="C57" s="167" t="s">
        <v>490</v>
      </c>
      <c r="D57" s="167" t="s">
        <v>137</v>
      </c>
      <c r="E57" s="166"/>
      <c r="F57" s="190" t="s">
        <v>37</v>
      </c>
      <c r="G57" s="170" t="s">
        <v>753</v>
      </c>
      <c r="H57" s="170" t="s">
        <v>62</v>
      </c>
      <c r="I57" s="170" t="s">
        <v>215</v>
      </c>
      <c r="J57" s="191">
        <v>39978</v>
      </c>
      <c r="K57" s="171" t="s">
        <v>704</v>
      </c>
      <c r="L57" s="187" t="s">
        <v>705</v>
      </c>
      <c r="M57" s="152">
        <v>42485</v>
      </c>
      <c r="N57" s="172">
        <v>6.8684931506849312</v>
      </c>
      <c r="O57" s="149" t="s">
        <v>728</v>
      </c>
      <c r="P57" s="167" t="s">
        <v>752</v>
      </c>
      <c r="Q57" s="157" t="s">
        <v>416</v>
      </c>
      <c r="R57" s="192" t="s">
        <v>683</v>
      </c>
      <c r="S57" s="192">
        <v>4</v>
      </c>
      <c r="T57" s="192"/>
      <c r="U57" s="192">
        <v>2016</v>
      </c>
    </row>
    <row r="58" spans="1:21" hidden="1" x14ac:dyDescent="0.25">
      <c r="A58" s="165">
        <v>57</v>
      </c>
      <c r="B58" s="166">
        <v>2541</v>
      </c>
      <c r="C58" s="167" t="s">
        <v>491</v>
      </c>
      <c r="D58" s="167" t="s">
        <v>758</v>
      </c>
      <c r="E58" s="166"/>
      <c r="F58" s="190" t="s">
        <v>37</v>
      </c>
      <c r="G58" s="170" t="s">
        <v>39</v>
      </c>
      <c r="H58" s="170" t="s">
        <v>262</v>
      </c>
      <c r="I58" s="170" t="s">
        <v>759</v>
      </c>
      <c r="J58" s="191">
        <v>38974</v>
      </c>
      <c r="K58" s="171" t="s">
        <v>45</v>
      </c>
      <c r="L58" s="187" t="s">
        <v>705</v>
      </c>
      <c r="M58" s="152">
        <v>42486</v>
      </c>
      <c r="N58" s="172">
        <v>9.6219178082191785</v>
      </c>
      <c r="O58" s="178" t="s">
        <v>713</v>
      </c>
      <c r="P58" s="194" t="s">
        <v>756</v>
      </c>
      <c r="Q58" s="157" t="s">
        <v>416</v>
      </c>
      <c r="R58" s="192" t="s">
        <v>683</v>
      </c>
      <c r="S58" s="192">
        <v>4</v>
      </c>
      <c r="T58" s="192"/>
      <c r="U58" s="192">
        <v>2016</v>
      </c>
    </row>
    <row r="59" spans="1:21" hidden="1" x14ac:dyDescent="0.25">
      <c r="A59" s="165">
        <v>58</v>
      </c>
      <c r="B59" s="173">
        <v>2614</v>
      </c>
      <c r="C59" s="174" t="s">
        <v>492</v>
      </c>
      <c r="D59" s="174" t="s">
        <v>155</v>
      </c>
      <c r="E59" s="168">
        <v>14</v>
      </c>
      <c r="F59" s="186" t="s">
        <v>37</v>
      </c>
      <c r="G59" s="170" t="s">
        <v>39</v>
      </c>
      <c r="H59" s="162" t="s">
        <v>230</v>
      </c>
      <c r="I59" s="162" t="s">
        <v>241</v>
      </c>
      <c r="J59" s="175">
        <v>39076</v>
      </c>
      <c r="K59" s="171" t="s">
        <v>704</v>
      </c>
      <c r="L59" s="187" t="s">
        <v>714</v>
      </c>
      <c r="M59" s="152">
        <v>42488</v>
      </c>
      <c r="N59" s="172">
        <v>9.3479452054794514</v>
      </c>
      <c r="O59" s="149" t="s">
        <v>713</v>
      </c>
      <c r="P59" s="167" t="s">
        <v>760</v>
      </c>
      <c r="Q59" s="157" t="s">
        <v>416</v>
      </c>
      <c r="R59" s="166" t="s">
        <v>685</v>
      </c>
      <c r="S59" s="166">
        <v>5</v>
      </c>
      <c r="T59" s="166"/>
      <c r="U59" s="166">
        <v>2016</v>
      </c>
    </row>
    <row r="60" spans="1:21" hidden="1" x14ac:dyDescent="0.25">
      <c r="A60" s="165">
        <v>59</v>
      </c>
      <c r="B60" s="173">
        <v>3814</v>
      </c>
      <c r="C60" s="174" t="s">
        <v>493</v>
      </c>
      <c r="D60" s="174" t="s">
        <v>102</v>
      </c>
      <c r="E60" s="168">
        <v>16</v>
      </c>
      <c r="F60" s="186" t="s">
        <v>37</v>
      </c>
      <c r="G60" s="170" t="s">
        <v>55</v>
      </c>
      <c r="H60" s="170" t="s">
        <v>55</v>
      </c>
      <c r="I60" s="162" t="s">
        <v>55</v>
      </c>
      <c r="J60" s="175">
        <v>42113</v>
      </c>
      <c r="K60" s="171" t="s">
        <v>45</v>
      </c>
      <c r="L60" s="187" t="s">
        <v>705</v>
      </c>
      <c r="M60" s="152">
        <v>42502</v>
      </c>
      <c r="N60" s="172">
        <v>1.0657534246575342</v>
      </c>
      <c r="O60" s="149" t="s">
        <v>718</v>
      </c>
      <c r="P60" s="167" t="s">
        <v>761</v>
      </c>
      <c r="Q60" s="166" t="s">
        <v>414</v>
      </c>
      <c r="R60" s="166" t="s">
        <v>683</v>
      </c>
      <c r="S60" s="166">
        <v>5</v>
      </c>
      <c r="T60" s="166"/>
      <c r="U60" s="166">
        <v>2016</v>
      </c>
    </row>
    <row r="61" spans="1:21" hidden="1" x14ac:dyDescent="0.25">
      <c r="A61" s="165">
        <v>60</v>
      </c>
      <c r="B61" s="173">
        <v>3848</v>
      </c>
      <c r="C61" s="174" t="s">
        <v>494</v>
      </c>
      <c r="D61" s="174" t="s">
        <v>762</v>
      </c>
      <c r="E61" s="168">
        <v>12</v>
      </c>
      <c r="F61" s="186" t="s">
        <v>37</v>
      </c>
      <c r="G61" s="170" t="s">
        <v>39</v>
      </c>
      <c r="H61" s="162" t="s">
        <v>262</v>
      </c>
      <c r="I61" s="162" t="s">
        <v>763</v>
      </c>
      <c r="J61" s="175">
        <v>42248</v>
      </c>
      <c r="K61" s="171" t="s">
        <v>704</v>
      </c>
      <c r="L61" s="187" t="s">
        <v>714</v>
      </c>
      <c r="M61" s="152">
        <v>42485</v>
      </c>
      <c r="N61" s="172">
        <v>0.64931506849315068</v>
      </c>
      <c r="O61" s="149" t="s">
        <v>715</v>
      </c>
      <c r="P61" s="167" t="s">
        <v>764</v>
      </c>
      <c r="Q61" s="157" t="s">
        <v>416</v>
      </c>
      <c r="R61" s="166" t="s">
        <v>685</v>
      </c>
      <c r="S61" s="166">
        <v>5</v>
      </c>
      <c r="T61" s="166"/>
      <c r="U61" s="166">
        <v>2016</v>
      </c>
    </row>
    <row r="62" spans="1:21" hidden="1" x14ac:dyDescent="0.25">
      <c r="A62" s="165">
        <v>61</v>
      </c>
      <c r="B62" s="173">
        <v>3573</v>
      </c>
      <c r="C62" s="174" t="s">
        <v>495</v>
      </c>
      <c r="D62" s="174" t="s">
        <v>765</v>
      </c>
      <c r="E62" s="168">
        <v>14</v>
      </c>
      <c r="F62" s="186" t="s">
        <v>37</v>
      </c>
      <c r="G62" s="162" t="s">
        <v>59</v>
      </c>
      <c r="H62" s="162" t="s">
        <v>174</v>
      </c>
      <c r="I62" s="162" t="s">
        <v>766</v>
      </c>
      <c r="J62" s="175">
        <v>41548</v>
      </c>
      <c r="K62" s="171" t="s">
        <v>704</v>
      </c>
      <c r="L62" s="187" t="s">
        <v>705</v>
      </c>
      <c r="M62" s="152">
        <v>42499</v>
      </c>
      <c r="N62" s="172">
        <v>2.6054794520547944</v>
      </c>
      <c r="O62" s="149" t="s">
        <v>729</v>
      </c>
      <c r="P62" s="167" t="s">
        <v>767</v>
      </c>
      <c r="Q62" s="157" t="s">
        <v>416</v>
      </c>
      <c r="R62" s="166" t="s">
        <v>685</v>
      </c>
      <c r="S62" s="166">
        <v>5</v>
      </c>
      <c r="T62" s="166"/>
      <c r="U62" s="166">
        <v>2016</v>
      </c>
    </row>
    <row r="63" spans="1:21" hidden="1" x14ac:dyDescent="0.25">
      <c r="A63" s="165">
        <v>62</v>
      </c>
      <c r="B63" s="173">
        <v>2809</v>
      </c>
      <c r="C63" s="174" t="s">
        <v>496</v>
      </c>
      <c r="D63" s="174" t="s">
        <v>2</v>
      </c>
      <c r="E63" s="168">
        <v>13</v>
      </c>
      <c r="F63" s="186" t="s">
        <v>37</v>
      </c>
      <c r="G63" s="170" t="s">
        <v>39</v>
      </c>
      <c r="H63" s="162" t="s">
        <v>41</v>
      </c>
      <c r="I63" s="162" t="s">
        <v>232</v>
      </c>
      <c r="J63" s="175">
        <v>39614</v>
      </c>
      <c r="K63" s="171" t="s">
        <v>704</v>
      </c>
      <c r="L63" s="187" t="s">
        <v>705</v>
      </c>
      <c r="M63" s="152">
        <v>42478</v>
      </c>
      <c r="N63" s="172">
        <v>7.8465753424657532</v>
      </c>
      <c r="O63" s="149" t="s">
        <v>713</v>
      </c>
      <c r="P63" s="167" t="s">
        <v>768</v>
      </c>
      <c r="Q63" s="166" t="s">
        <v>414</v>
      </c>
      <c r="R63" s="166" t="s">
        <v>683</v>
      </c>
      <c r="S63" s="166">
        <v>5</v>
      </c>
      <c r="T63" s="166"/>
      <c r="U63" s="166">
        <v>2016</v>
      </c>
    </row>
    <row r="64" spans="1:21" hidden="1" x14ac:dyDescent="0.25">
      <c r="A64" s="165">
        <v>63</v>
      </c>
      <c r="B64" s="173">
        <v>3930</v>
      </c>
      <c r="C64" s="174" t="s">
        <v>497</v>
      </c>
      <c r="D64" s="174" t="s">
        <v>120</v>
      </c>
      <c r="E64" s="168">
        <v>20</v>
      </c>
      <c r="F64" s="186" t="s">
        <v>37</v>
      </c>
      <c r="G64" s="170" t="s">
        <v>58</v>
      </c>
      <c r="H64" s="170" t="s">
        <v>58</v>
      </c>
      <c r="I64" s="162" t="s">
        <v>200</v>
      </c>
      <c r="J64" s="175">
        <v>42431</v>
      </c>
      <c r="K64" s="171" t="s">
        <v>45</v>
      </c>
      <c r="L64" s="187" t="s">
        <v>705</v>
      </c>
      <c r="M64" s="152">
        <v>42493</v>
      </c>
      <c r="N64" s="172">
        <v>0.16986301369863013</v>
      </c>
      <c r="O64" s="149" t="s">
        <v>715</v>
      </c>
      <c r="P64" s="167" t="s">
        <v>769</v>
      </c>
      <c r="Q64" s="157" t="s">
        <v>416</v>
      </c>
      <c r="R64" s="166" t="s">
        <v>685</v>
      </c>
      <c r="S64" s="166">
        <v>5</v>
      </c>
      <c r="T64" s="166"/>
      <c r="U64" s="166">
        <v>2016</v>
      </c>
    </row>
    <row r="65" spans="1:21" hidden="1" x14ac:dyDescent="0.25">
      <c r="A65" s="165">
        <v>64</v>
      </c>
      <c r="B65" s="173">
        <v>2339</v>
      </c>
      <c r="C65" s="174" t="s">
        <v>498</v>
      </c>
      <c r="D65" s="174" t="s">
        <v>87</v>
      </c>
      <c r="E65" s="168">
        <v>15</v>
      </c>
      <c r="F65" s="186" t="s">
        <v>37</v>
      </c>
      <c r="G65" s="162" t="s">
        <v>59</v>
      </c>
      <c r="H65" s="162" t="s">
        <v>172</v>
      </c>
      <c r="I65" s="162" t="s">
        <v>172</v>
      </c>
      <c r="J65" s="175">
        <v>38522</v>
      </c>
      <c r="K65" s="171" t="s">
        <v>704</v>
      </c>
      <c r="L65" s="187" t="s">
        <v>714</v>
      </c>
      <c r="M65" s="152">
        <v>42493</v>
      </c>
      <c r="N65" s="172">
        <v>10.87945205479452</v>
      </c>
      <c r="O65" s="149" t="s">
        <v>709</v>
      </c>
      <c r="P65" s="167" t="s">
        <v>767</v>
      </c>
      <c r="Q65" s="157" t="s">
        <v>416</v>
      </c>
      <c r="R65" s="166" t="s">
        <v>685</v>
      </c>
      <c r="S65" s="166">
        <v>5</v>
      </c>
      <c r="T65" s="166"/>
      <c r="U65" s="166">
        <v>2016</v>
      </c>
    </row>
    <row r="66" spans="1:21" hidden="1" x14ac:dyDescent="0.25">
      <c r="A66" s="165">
        <v>65</v>
      </c>
      <c r="B66" s="173">
        <v>3941</v>
      </c>
      <c r="C66" s="174" t="s">
        <v>499</v>
      </c>
      <c r="D66" s="174" t="s">
        <v>84</v>
      </c>
      <c r="E66" s="168">
        <v>11</v>
      </c>
      <c r="F66" s="186" t="s">
        <v>37</v>
      </c>
      <c r="G66" s="170" t="s">
        <v>39</v>
      </c>
      <c r="H66" s="162" t="s">
        <v>402</v>
      </c>
      <c r="I66" s="162" t="s">
        <v>402</v>
      </c>
      <c r="J66" s="175">
        <v>42463</v>
      </c>
      <c r="K66" s="171" t="s">
        <v>704</v>
      </c>
      <c r="L66" s="187" t="s">
        <v>714</v>
      </c>
      <c r="M66" s="152">
        <v>42477</v>
      </c>
      <c r="N66" s="172">
        <v>3.8356164383561646E-2</v>
      </c>
      <c r="O66" s="149" t="s">
        <v>715</v>
      </c>
      <c r="P66" s="167" t="s">
        <v>770</v>
      </c>
      <c r="Q66" s="157" t="s">
        <v>416</v>
      </c>
      <c r="R66" s="166" t="s">
        <v>685</v>
      </c>
      <c r="S66" s="166">
        <v>5</v>
      </c>
      <c r="T66" s="166"/>
      <c r="U66" s="166">
        <v>2016</v>
      </c>
    </row>
    <row r="67" spans="1:21" hidden="1" x14ac:dyDescent="0.25">
      <c r="A67" s="165">
        <v>66</v>
      </c>
      <c r="B67" s="173">
        <v>2998</v>
      </c>
      <c r="C67" s="174" t="s">
        <v>500</v>
      </c>
      <c r="D67" s="174" t="s">
        <v>2</v>
      </c>
      <c r="E67" s="168">
        <v>13</v>
      </c>
      <c r="F67" s="186" t="s">
        <v>37</v>
      </c>
      <c r="G67" s="170" t="s">
        <v>39</v>
      </c>
      <c r="H67" s="162" t="s">
        <v>41</v>
      </c>
      <c r="I67" s="162" t="s">
        <v>771</v>
      </c>
      <c r="J67" s="175">
        <v>40041</v>
      </c>
      <c r="K67" s="171" t="s">
        <v>704</v>
      </c>
      <c r="L67" s="187" t="s">
        <v>714</v>
      </c>
      <c r="M67" s="152">
        <v>42488</v>
      </c>
      <c r="N67" s="172">
        <v>6.7041095890410958</v>
      </c>
      <c r="O67" s="149" t="s">
        <v>728</v>
      </c>
      <c r="P67" s="167" t="s">
        <v>760</v>
      </c>
      <c r="Q67" s="157" t="s">
        <v>416</v>
      </c>
      <c r="R67" s="166" t="s">
        <v>685</v>
      </c>
      <c r="S67" s="166">
        <v>5</v>
      </c>
      <c r="T67" s="166"/>
      <c r="U67" s="166">
        <v>2016</v>
      </c>
    </row>
    <row r="68" spans="1:21" hidden="1" x14ac:dyDescent="0.25">
      <c r="A68" s="165">
        <v>67</v>
      </c>
      <c r="B68" s="173">
        <v>3312</v>
      </c>
      <c r="C68" s="174" t="s">
        <v>501</v>
      </c>
      <c r="D68" s="174" t="s">
        <v>2</v>
      </c>
      <c r="E68" s="168">
        <v>13</v>
      </c>
      <c r="F68" s="186" t="s">
        <v>37</v>
      </c>
      <c r="G68" s="170" t="s">
        <v>39</v>
      </c>
      <c r="H68" s="162" t="s">
        <v>41</v>
      </c>
      <c r="I68" s="162" t="s">
        <v>236</v>
      </c>
      <c r="J68" s="175">
        <v>40870</v>
      </c>
      <c r="K68" s="171" t="s">
        <v>704</v>
      </c>
      <c r="L68" s="187" t="s">
        <v>714</v>
      </c>
      <c r="M68" s="152">
        <v>42487</v>
      </c>
      <c r="N68" s="172">
        <v>4.4301369863013695</v>
      </c>
      <c r="O68" s="149" t="s">
        <v>706</v>
      </c>
      <c r="P68" s="167" t="s">
        <v>772</v>
      </c>
      <c r="Q68" s="157" t="s">
        <v>416</v>
      </c>
      <c r="R68" s="166" t="s">
        <v>683</v>
      </c>
      <c r="S68" s="166">
        <v>5</v>
      </c>
      <c r="T68" s="166"/>
      <c r="U68" s="166">
        <v>2016</v>
      </c>
    </row>
    <row r="69" spans="1:21" hidden="1" x14ac:dyDescent="0.25">
      <c r="A69" s="165">
        <v>68</v>
      </c>
      <c r="B69" s="173">
        <v>3717</v>
      </c>
      <c r="C69" s="174" t="s">
        <v>502</v>
      </c>
      <c r="D69" s="174" t="s">
        <v>86</v>
      </c>
      <c r="E69" s="168">
        <v>11</v>
      </c>
      <c r="F69" s="186" t="s">
        <v>37</v>
      </c>
      <c r="G69" s="170" t="s">
        <v>39</v>
      </c>
      <c r="H69" s="162" t="s">
        <v>230</v>
      </c>
      <c r="I69" s="162" t="s">
        <v>248</v>
      </c>
      <c r="J69" s="175">
        <v>41898</v>
      </c>
      <c r="K69" s="171" t="s">
        <v>704</v>
      </c>
      <c r="L69" s="187" t="s">
        <v>705</v>
      </c>
      <c r="M69" s="152">
        <v>42506</v>
      </c>
      <c r="N69" s="172">
        <v>1.6657534246575343</v>
      </c>
      <c r="O69" s="149" t="s">
        <v>718</v>
      </c>
      <c r="P69" s="167" t="s">
        <v>773</v>
      </c>
      <c r="Q69" s="157" t="s">
        <v>416</v>
      </c>
      <c r="R69" s="166" t="s">
        <v>684</v>
      </c>
      <c r="S69" s="166">
        <v>5</v>
      </c>
      <c r="T69" s="166"/>
      <c r="U69" s="166">
        <v>2016</v>
      </c>
    </row>
    <row r="70" spans="1:21" hidden="1" x14ac:dyDescent="0.25">
      <c r="A70" s="165">
        <v>69</v>
      </c>
      <c r="B70" s="173">
        <v>3560</v>
      </c>
      <c r="C70" s="174" t="s">
        <v>503</v>
      </c>
      <c r="D70" s="174" t="s">
        <v>86</v>
      </c>
      <c r="E70" s="168">
        <v>11</v>
      </c>
      <c r="F70" s="186" t="s">
        <v>37</v>
      </c>
      <c r="G70" s="170" t="s">
        <v>39</v>
      </c>
      <c r="H70" s="162" t="s">
        <v>230</v>
      </c>
      <c r="I70" s="162" t="s">
        <v>248</v>
      </c>
      <c r="J70" s="175">
        <v>41527</v>
      </c>
      <c r="K70" s="171" t="s">
        <v>704</v>
      </c>
      <c r="L70" s="187" t="s">
        <v>705</v>
      </c>
      <c r="M70" s="152">
        <v>42516</v>
      </c>
      <c r="N70" s="172">
        <v>2.7095890410958905</v>
      </c>
      <c r="O70" s="149" t="s">
        <v>729</v>
      </c>
      <c r="P70" s="167" t="s">
        <v>774</v>
      </c>
      <c r="Q70" s="166" t="s">
        <v>414</v>
      </c>
      <c r="R70" s="166" t="s">
        <v>683</v>
      </c>
      <c r="S70" s="166">
        <v>5</v>
      </c>
      <c r="T70" s="166"/>
      <c r="U70" s="166">
        <v>2016</v>
      </c>
    </row>
    <row r="71" spans="1:21" hidden="1" x14ac:dyDescent="0.25">
      <c r="A71" s="165">
        <v>70</v>
      </c>
      <c r="B71" s="173">
        <v>3490</v>
      </c>
      <c r="C71" s="174" t="s">
        <v>504</v>
      </c>
      <c r="D71" s="174" t="s">
        <v>86</v>
      </c>
      <c r="E71" s="168">
        <v>11</v>
      </c>
      <c r="F71" s="186" t="s">
        <v>37</v>
      </c>
      <c r="G71" s="170" t="s">
        <v>39</v>
      </c>
      <c r="H71" s="162" t="s">
        <v>230</v>
      </c>
      <c r="I71" s="162" t="s">
        <v>229</v>
      </c>
      <c r="J71" s="175">
        <v>41365</v>
      </c>
      <c r="K71" s="171" t="s">
        <v>704</v>
      </c>
      <c r="L71" s="187" t="s">
        <v>705</v>
      </c>
      <c r="M71" s="152">
        <v>42516</v>
      </c>
      <c r="N71" s="172">
        <v>3.1534246575342464</v>
      </c>
      <c r="O71" s="149" t="s">
        <v>706</v>
      </c>
      <c r="P71" s="167" t="s">
        <v>775</v>
      </c>
      <c r="Q71" s="166" t="s">
        <v>414</v>
      </c>
      <c r="R71" s="166" t="s">
        <v>684</v>
      </c>
      <c r="S71" s="166">
        <v>5</v>
      </c>
      <c r="T71" s="166"/>
      <c r="U71" s="166">
        <v>2016</v>
      </c>
    </row>
    <row r="72" spans="1:21" hidden="1" x14ac:dyDescent="0.25">
      <c r="A72" s="165">
        <v>71</v>
      </c>
      <c r="B72" s="173">
        <v>3919</v>
      </c>
      <c r="C72" s="174" t="s">
        <v>505</v>
      </c>
      <c r="D72" s="174" t="s">
        <v>710</v>
      </c>
      <c r="E72" s="168">
        <v>11</v>
      </c>
      <c r="F72" s="186" t="s">
        <v>37</v>
      </c>
      <c r="G72" s="170" t="s">
        <v>39</v>
      </c>
      <c r="H72" s="162" t="s">
        <v>262</v>
      </c>
      <c r="I72" s="162" t="s">
        <v>712</v>
      </c>
      <c r="J72" s="175">
        <v>42414</v>
      </c>
      <c r="K72" s="171" t="s">
        <v>704</v>
      </c>
      <c r="L72" s="187" t="s">
        <v>705</v>
      </c>
      <c r="M72" s="152">
        <v>42509</v>
      </c>
      <c r="N72" s="172">
        <v>0.26027397260273971</v>
      </c>
      <c r="O72" s="149" t="s">
        <v>715</v>
      </c>
      <c r="P72" s="167" t="s">
        <v>776</v>
      </c>
      <c r="Q72" s="157" t="s">
        <v>416</v>
      </c>
      <c r="R72" s="166" t="s">
        <v>685</v>
      </c>
      <c r="S72" s="166">
        <v>5</v>
      </c>
      <c r="T72" s="166"/>
      <c r="U72" s="166">
        <v>2016</v>
      </c>
    </row>
    <row r="73" spans="1:21" hidden="1" x14ac:dyDescent="0.25">
      <c r="A73" s="165">
        <v>72</v>
      </c>
      <c r="B73" s="173">
        <v>3922</v>
      </c>
      <c r="C73" s="174" t="s">
        <v>506</v>
      </c>
      <c r="D73" s="174" t="s">
        <v>722</v>
      </c>
      <c r="E73" s="168">
        <v>11</v>
      </c>
      <c r="F73" s="186" t="s">
        <v>37</v>
      </c>
      <c r="G73" s="170" t="s">
        <v>39</v>
      </c>
      <c r="H73" s="162" t="s">
        <v>262</v>
      </c>
      <c r="I73" s="162" t="s">
        <v>712</v>
      </c>
      <c r="J73" s="175">
        <v>42416</v>
      </c>
      <c r="K73" s="171" t="s">
        <v>704</v>
      </c>
      <c r="L73" s="187" t="s">
        <v>705</v>
      </c>
      <c r="M73" s="152">
        <v>42509</v>
      </c>
      <c r="N73" s="172">
        <v>0.25479452054794521</v>
      </c>
      <c r="O73" s="149" t="s">
        <v>715</v>
      </c>
      <c r="P73" s="167" t="s">
        <v>776</v>
      </c>
      <c r="Q73" s="157" t="s">
        <v>416</v>
      </c>
      <c r="R73" s="166" t="s">
        <v>685</v>
      </c>
      <c r="S73" s="166">
        <v>5</v>
      </c>
      <c r="T73" s="166"/>
      <c r="U73" s="166">
        <v>2016</v>
      </c>
    </row>
    <row r="74" spans="1:21" hidden="1" x14ac:dyDescent="0.25">
      <c r="A74" s="165">
        <v>73</v>
      </c>
      <c r="B74" s="166">
        <v>2891</v>
      </c>
      <c r="C74" s="167" t="s">
        <v>507</v>
      </c>
      <c r="D74" s="167" t="s">
        <v>91</v>
      </c>
      <c r="E74" s="190">
        <v>14</v>
      </c>
      <c r="F74" s="190" t="s">
        <v>37</v>
      </c>
      <c r="G74" s="162" t="s">
        <v>59</v>
      </c>
      <c r="H74" s="170" t="s">
        <v>59</v>
      </c>
      <c r="I74" s="170" t="s">
        <v>169</v>
      </c>
      <c r="J74" s="191">
        <v>39824</v>
      </c>
      <c r="K74" s="171" t="s">
        <v>704</v>
      </c>
      <c r="L74" s="187" t="s">
        <v>705</v>
      </c>
      <c r="M74" s="152">
        <v>42520</v>
      </c>
      <c r="N74" s="172">
        <v>7.3863013698630136</v>
      </c>
      <c r="O74" s="178" t="s">
        <v>713</v>
      </c>
      <c r="P74" s="194" t="s">
        <v>777</v>
      </c>
      <c r="Q74" s="166" t="s">
        <v>414</v>
      </c>
      <c r="R74" s="192" t="s">
        <v>684</v>
      </c>
      <c r="S74" s="166">
        <v>6</v>
      </c>
      <c r="T74" s="192"/>
      <c r="U74" s="166">
        <v>2016</v>
      </c>
    </row>
    <row r="75" spans="1:21" hidden="1" x14ac:dyDescent="0.25">
      <c r="A75" s="165">
        <v>74</v>
      </c>
      <c r="B75" s="173">
        <v>3508</v>
      </c>
      <c r="C75" s="174" t="s">
        <v>508</v>
      </c>
      <c r="D75" s="174" t="s">
        <v>2</v>
      </c>
      <c r="E75" s="168">
        <v>13</v>
      </c>
      <c r="F75" s="186" t="s">
        <v>37</v>
      </c>
      <c r="G75" s="170" t="s">
        <v>39</v>
      </c>
      <c r="H75" s="162" t="s">
        <v>41</v>
      </c>
      <c r="I75" s="162" t="s">
        <v>257</v>
      </c>
      <c r="J75" s="175">
        <v>41365</v>
      </c>
      <c r="K75" s="171" t="s">
        <v>704</v>
      </c>
      <c r="L75" s="187" t="s">
        <v>705</v>
      </c>
      <c r="M75" s="152">
        <v>42522</v>
      </c>
      <c r="N75" s="172">
        <v>3.1698630136986301</v>
      </c>
      <c r="O75" s="149" t="s">
        <v>706</v>
      </c>
      <c r="P75" s="167" t="s">
        <v>778</v>
      </c>
      <c r="Q75" s="157" t="s">
        <v>416</v>
      </c>
      <c r="R75" s="166" t="s">
        <v>684</v>
      </c>
      <c r="S75" s="166">
        <v>6</v>
      </c>
      <c r="T75" s="166"/>
      <c r="U75" s="166">
        <v>2016</v>
      </c>
    </row>
    <row r="76" spans="1:21" hidden="1" x14ac:dyDescent="0.25">
      <c r="A76" s="165">
        <v>75</v>
      </c>
      <c r="B76" s="173">
        <v>3381</v>
      </c>
      <c r="C76" s="174" t="s">
        <v>509</v>
      </c>
      <c r="D76" s="174" t="s">
        <v>779</v>
      </c>
      <c r="E76" s="168">
        <v>13</v>
      </c>
      <c r="F76" s="186" t="s">
        <v>37</v>
      </c>
      <c r="G76" s="170" t="s">
        <v>753</v>
      </c>
      <c r="H76" s="162" t="s">
        <v>63</v>
      </c>
      <c r="I76" s="162" t="s">
        <v>196</v>
      </c>
      <c r="J76" s="175">
        <v>41091</v>
      </c>
      <c r="K76" s="171" t="s">
        <v>704</v>
      </c>
      <c r="L76" s="187" t="s">
        <v>705</v>
      </c>
      <c r="M76" s="152">
        <v>42551</v>
      </c>
      <c r="N76" s="172">
        <v>4</v>
      </c>
      <c r="O76" s="149" t="s">
        <v>706</v>
      </c>
      <c r="P76" s="167" t="s">
        <v>777</v>
      </c>
      <c r="Q76" s="157" t="s">
        <v>416</v>
      </c>
      <c r="R76" s="166" t="s">
        <v>684</v>
      </c>
      <c r="S76" s="166">
        <v>6</v>
      </c>
      <c r="T76" s="166"/>
      <c r="U76" s="166">
        <v>2016</v>
      </c>
    </row>
    <row r="77" spans="1:21" hidden="1" x14ac:dyDescent="0.25">
      <c r="A77" s="165">
        <v>76</v>
      </c>
      <c r="B77" s="173">
        <v>1205</v>
      </c>
      <c r="C77" s="174" t="s">
        <v>510</v>
      </c>
      <c r="D77" s="174" t="s">
        <v>93</v>
      </c>
      <c r="E77" s="168">
        <v>18</v>
      </c>
      <c r="F77" s="186" t="s">
        <v>37</v>
      </c>
      <c r="G77" s="162" t="s">
        <v>59</v>
      </c>
      <c r="H77" s="162" t="s">
        <v>168</v>
      </c>
      <c r="I77" s="162" t="s">
        <v>172</v>
      </c>
      <c r="J77" s="175">
        <v>33729</v>
      </c>
      <c r="K77" s="171" t="s">
        <v>45</v>
      </c>
      <c r="L77" s="187" t="s">
        <v>705</v>
      </c>
      <c r="M77" s="152">
        <v>42551</v>
      </c>
      <c r="N77" s="172">
        <v>24.169863013698631</v>
      </c>
      <c r="O77" s="149" t="s">
        <v>709</v>
      </c>
      <c r="P77" s="167" t="s">
        <v>780</v>
      </c>
      <c r="Q77" s="166" t="s">
        <v>414</v>
      </c>
      <c r="R77" s="178" t="s">
        <v>685</v>
      </c>
      <c r="S77" s="166">
        <v>6</v>
      </c>
      <c r="T77" s="166"/>
      <c r="U77" s="166">
        <v>2016</v>
      </c>
    </row>
    <row r="78" spans="1:21" hidden="1" x14ac:dyDescent="0.25">
      <c r="A78" s="165">
        <v>77</v>
      </c>
      <c r="B78" s="173">
        <v>3104</v>
      </c>
      <c r="C78" s="174" t="s">
        <v>511</v>
      </c>
      <c r="D78" s="174" t="s">
        <v>116</v>
      </c>
      <c r="E78" s="168">
        <v>16</v>
      </c>
      <c r="F78" s="186" t="s">
        <v>37</v>
      </c>
      <c r="G78" s="170" t="s">
        <v>34</v>
      </c>
      <c r="H78" s="162" t="s">
        <v>34</v>
      </c>
      <c r="I78" s="162" t="s">
        <v>210</v>
      </c>
      <c r="J78" s="175">
        <v>40350</v>
      </c>
      <c r="K78" s="171" t="s">
        <v>704</v>
      </c>
      <c r="L78" s="187" t="s">
        <v>705</v>
      </c>
      <c r="M78" s="152">
        <v>42526</v>
      </c>
      <c r="N78" s="172">
        <v>5.9616438356164387</v>
      </c>
      <c r="O78" s="149" t="s">
        <v>728</v>
      </c>
      <c r="P78" s="167" t="s">
        <v>781</v>
      </c>
      <c r="Q78" s="166" t="s">
        <v>414</v>
      </c>
      <c r="R78" s="166" t="s">
        <v>683</v>
      </c>
      <c r="S78" s="166">
        <v>6</v>
      </c>
      <c r="T78" s="166"/>
      <c r="U78" s="166">
        <v>2016</v>
      </c>
    </row>
    <row r="79" spans="1:21" hidden="1" x14ac:dyDescent="0.25">
      <c r="A79" s="165">
        <v>78</v>
      </c>
      <c r="B79" s="173">
        <v>3924</v>
      </c>
      <c r="C79" s="174" t="s">
        <v>512</v>
      </c>
      <c r="D79" s="174" t="s">
        <v>143</v>
      </c>
      <c r="E79" s="168">
        <v>12</v>
      </c>
      <c r="F79" s="186" t="s">
        <v>44</v>
      </c>
      <c r="G79" s="170" t="s">
        <v>58</v>
      </c>
      <c r="H79" s="162" t="s">
        <v>782</v>
      </c>
      <c r="I79" s="162" t="s">
        <v>218</v>
      </c>
      <c r="J79" s="175">
        <v>42430</v>
      </c>
      <c r="K79" s="171" t="s">
        <v>45</v>
      </c>
      <c r="L79" s="187" t="s">
        <v>705</v>
      </c>
      <c r="M79" s="152">
        <v>42536</v>
      </c>
      <c r="N79" s="172">
        <v>0.29041095890410956</v>
      </c>
      <c r="O79" s="149" t="s">
        <v>715</v>
      </c>
      <c r="P79" s="167" t="s">
        <v>783</v>
      </c>
      <c r="Q79" s="166" t="s">
        <v>414</v>
      </c>
      <c r="R79" s="166" t="s">
        <v>686</v>
      </c>
      <c r="S79" s="166">
        <v>6</v>
      </c>
      <c r="T79" s="166"/>
      <c r="U79" s="166">
        <v>2016</v>
      </c>
    </row>
    <row r="80" spans="1:21" hidden="1" x14ac:dyDescent="0.25">
      <c r="A80" s="165">
        <v>79</v>
      </c>
      <c r="B80" s="173">
        <v>3832</v>
      </c>
      <c r="C80" s="174" t="s">
        <v>513</v>
      </c>
      <c r="D80" s="174" t="s">
        <v>784</v>
      </c>
      <c r="E80" s="168">
        <v>16</v>
      </c>
      <c r="F80" s="186" t="s">
        <v>37</v>
      </c>
      <c r="G80" s="170" t="s">
        <v>39</v>
      </c>
      <c r="H80" s="162" t="s">
        <v>785</v>
      </c>
      <c r="I80" s="162" t="s">
        <v>225</v>
      </c>
      <c r="J80" s="175">
        <v>42164</v>
      </c>
      <c r="K80" s="171" t="s">
        <v>704</v>
      </c>
      <c r="L80" s="187" t="s">
        <v>705</v>
      </c>
      <c r="M80" s="152">
        <v>42535</v>
      </c>
      <c r="N80" s="172">
        <v>1.0164383561643835</v>
      </c>
      <c r="O80" s="149" t="s">
        <v>718</v>
      </c>
      <c r="P80" s="167" t="s">
        <v>777</v>
      </c>
      <c r="Q80" s="157" t="s">
        <v>416</v>
      </c>
      <c r="R80" s="166" t="s">
        <v>684</v>
      </c>
      <c r="S80" s="166">
        <v>6</v>
      </c>
      <c r="T80" s="166"/>
      <c r="U80" s="166">
        <v>2016</v>
      </c>
    </row>
    <row r="81" spans="1:21" hidden="1" x14ac:dyDescent="0.25">
      <c r="A81" s="165">
        <v>80</v>
      </c>
      <c r="B81" s="173">
        <v>3448</v>
      </c>
      <c r="C81" s="174" t="s">
        <v>514</v>
      </c>
      <c r="D81" s="174" t="s">
        <v>80</v>
      </c>
      <c r="E81" s="168">
        <v>12</v>
      </c>
      <c r="F81" s="186" t="s">
        <v>37</v>
      </c>
      <c r="G81" s="170" t="s">
        <v>39</v>
      </c>
      <c r="H81" s="162" t="s">
        <v>230</v>
      </c>
      <c r="I81" s="162" t="s">
        <v>237</v>
      </c>
      <c r="J81" s="175">
        <v>41261</v>
      </c>
      <c r="K81" s="171" t="s">
        <v>704</v>
      </c>
      <c r="L81" s="187" t="s">
        <v>705</v>
      </c>
      <c r="M81" s="152">
        <v>42522</v>
      </c>
      <c r="N81" s="172">
        <v>3.4547945205479453</v>
      </c>
      <c r="O81" s="149" t="s">
        <v>706</v>
      </c>
      <c r="P81" s="167" t="s">
        <v>781</v>
      </c>
      <c r="Q81" s="166" t="s">
        <v>414</v>
      </c>
      <c r="R81" s="166" t="s">
        <v>683</v>
      </c>
      <c r="S81" s="166">
        <v>6</v>
      </c>
      <c r="T81" s="166"/>
      <c r="U81" s="166">
        <v>2016</v>
      </c>
    </row>
    <row r="82" spans="1:21" hidden="1" x14ac:dyDescent="0.25">
      <c r="A82" s="165">
        <v>81</v>
      </c>
      <c r="B82" s="173">
        <v>3411</v>
      </c>
      <c r="C82" s="174" t="s">
        <v>515</v>
      </c>
      <c r="D82" s="174" t="s">
        <v>149</v>
      </c>
      <c r="E82" s="168">
        <v>12</v>
      </c>
      <c r="F82" s="186" t="s">
        <v>37</v>
      </c>
      <c r="G82" s="170" t="s">
        <v>39</v>
      </c>
      <c r="H82" s="162" t="s">
        <v>41</v>
      </c>
      <c r="I82" s="162" t="s">
        <v>246</v>
      </c>
      <c r="J82" s="175">
        <v>41171</v>
      </c>
      <c r="K82" s="171" t="s">
        <v>704</v>
      </c>
      <c r="L82" s="187" t="s">
        <v>705</v>
      </c>
      <c r="M82" s="152">
        <v>42526</v>
      </c>
      <c r="N82" s="172">
        <v>3.7123287671232879</v>
      </c>
      <c r="O82" s="149" t="s">
        <v>706</v>
      </c>
      <c r="P82" s="167" t="s">
        <v>777</v>
      </c>
      <c r="Q82" s="166" t="s">
        <v>414</v>
      </c>
      <c r="R82" s="166" t="s">
        <v>684</v>
      </c>
      <c r="S82" s="166">
        <v>6</v>
      </c>
      <c r="T82" s="166"/>
      <c r="U82" s="166">
        <v>2016</v>
      </c>
    </row>
    <row r="83" spans="1:21" hidden="1" x14ac:dyDescent="0.25">
      <c r="A83" s="165">
        <v>82</v>
      </c>
      <c r="B83" s="173">
        <v>3322</v>
      </c>
      <c r="C83" s="174" t="s">
        <v>516</v>
      </c>
      <c r="D83" s="174" t="s">
        <v>109</v>
      </c>
      <c r="E83" s="168">
        <v>14</v>
      </c>
      <c r="F83" s="186" t="s">
        <v>37</v>
      </c>
      <c r="G83" s="170" t="s">
        <v>56</v>
      </c>
      <c r="H83" s="162" t="s">
        <v>56</v>
      </c>
      <c r="I83" s="162" t="s">
        <v>191</v>
      </c>
      <c r="J83" s="175">
        <v>40878</v>
      </c>
      <c r="K83" s="171" t="s">
        <v>704</v>
      </c>
      <c r="L83" s="187" t="s">
        <v>705</v>
      </c>
      <c r="M83" s="152">
        <v>42536</v>
      </c>
      <c r="N83" s="172">
        <v>4.5424657534246577</v>
      </c>
      <c r="O83" s="149" t="s">
        <v>706</v>
      </c>
      <c r="P83" s="167" t="s">
        <v>781</v>
      </c>
      <c r="Q83" s="166" t="s">
        <v>414</v>
      </c>
      <c r="R83" s="166" t="s">
        <v>683</v>
      </c>
      <c r="S83" s="166">
        <v>6</v>
      </c>
      <c r="T83" s="166"/>
      <c r="U83" s="166">
        <v>2016</v>
      </c>
    </row>
    <row r="84" spans="1:21" hidden="1" x14ac:dyDescent="0.25">
      <c r="A84" s="165">
        <v>83</v>
      </c>
      <c r="B84" s="173">
        <v>3241</v>
      </c>
      <c r="C84" s="174" t="s">
        <v>517</v>
      </c>
      <c r="D84" s="174" t="s">
        <v>2</v>
      </c>
      <c r="E84" s="168">
        <v>12</v>
      </c>
      <c r="F84" s="186" t="s">
        <v>37</v>
      </c>
      <c r="G84" s="170" t="s">
        <v>39</v>
      </c>
      <c r="H84" s="162" t="s">
        <v>41</v>
      </c>
      <c r="I84" s="162" t="s">
        <v>242</v>
      </c>
      <c r="J84" s="175">
        <v>40720</v>
      </c>
      <c r="K84" s="171" t="s">
        <v>704</v>
      </c>
      <c r="L84" s="187" t="s">
        <v>705</v>
      </c>
      <c r="M84" s="152">
        <v>42523</v>
      </c>
      <c r="N84" s="172">
        <v>4.9397260273972599</v>
      </c>
      <c r="O84" s="149" t="s">
        <v>706</v>
      </c>
      <c r="P84" s="167" t="s">
        <v>777</v>
      </c>
      <c r="Q84" s="157" t="s">
        <v>416</v>
      </c>
      <c r="R84" s="166" t="s">
        <v>684</v>
      </c>
      <c r="S84" s="166">
        <v>6</v>
      </c>
      <c r="T84" s="166"/>
      <c r="U84" s="166">
        <v>2016</v>
      </c>
    </row>
    <row r="85" spans="1:21" hidden="1" x14ac:dyDescent="0.25">
      <c r="A85" s="165">
        <v>84</v>
      </c>
      <c r="B85" s="173">
        <v>3503</v>
      </c>
      <c r="C85" s="174" t="s">
        <v>518</v>
      </c>
      <c r="D85" s="174" t="s">
        <v>84</v>
      </c>
      <c r="E85" s="168">
        <v>11</v>
      </c>
      <c r="F85" s="186" t="s">
        <v>37</v>
      </c>
      <c r="G85" s="170" t="s">
        <v>39</v>
      </c>
      <c r="H85" s="162" t="s">
        <v>230</v>
      </c>
      <c r="I85" s="162" t="s">
        <v>237</v>
      </c>
      <c r="J85" s="175">
        <v>41365</v>
      </c>
      <c r="K85" s="171" t="s">
        <v>704</v>
      </c>
      <c r="L85" s="187" t="s">
        <v>705</v>
      </c>
      <c r="M85" s="152">
        <v>42523</v>
      </c>
      <c r="N85" s="172">
        <v>3.1726027397260275</v>
      </c>
      <c r="O85" s="149" t="s">
        <v>706</v>
      </c>
      <c r="P85" s="167" t="s">
        <v>781</v>
      </c>
      <c r="Q85" s="157" t="s">
        <v>416</v>
      </c>
      <c r="R85" s="166" t="s">
        <v>683</v>
      </c>
      <c r="S85" s="166">
        <v>6</v>
      </c>
      <c r="T85" s="166"/>
      <c r="U85" s="166">
        <v>2016</v>
      </c>
    </row>
    <row r="86" spans="1:21" hidden="1" x14ac:dyDescent="0.25">
      <c r="A86" s="165">
        <v>85</v>
      </c>
      <c r="B86" s="173">
        <v>3722</v>
      </c>
      <c r="C86" s="174" t="s">
        <v>519</v>
      </c>
      <c r="D86" s="174" t="s">
        <v>159</v>
      </c>
      <c r="E86" s="168">
        <v>11</v>
      </c>
      <c r="F86" s="186" t="s">
        <v>37</v>
      </c>
      <c r="G86" s="170" t="s">
        <v>39</v>
      </c>
      <c r="H86" s="162" t="s">
        <v>230</v>
      </c>
      <c r="I86" s="162" t="s">
        <v>241</v>
      </c>
      <c r="J86" s="175">
        <v>41898</v>
      </c>
      <c r="K86" s="171" t="s">
        <v>704</v>
      </c>
      <c r="L86" s="187" t="s">
        <v>705</v>
      </c>
      <c r="M86" s="152">
        <v>42544</v>
      </c>
      <c r="N86" s="172">
        <v>1.7698630136986302</v>
      </c>
      <c r="O86" s="149" t="s">
        <v>718</v>
      </c>
      <c r="P86" s="167" t="s">
        <v>778</v>
      </c>
      <c r="Q86" s="166" t="s">
        <v>414</v>
      </c>
      <c r="R86" s="166" t="s">
        <v>684</v>
      </c>
      <c r="S86" s="166">
        <v>6</v>
      </c>
      <c r="T86" s="166"/>
      <c r="U86" s="166">
        <v>2016</v>
      </c>
    </row>
    <row r="87" spans="1:21" hidden="1" x14ac:dyDescent="0.25">
      <c r="A87" s="165">
        <v>86</v>
      </c>
      <c r="B87" s="173">
        <v>3833</v>
      </c>
      <c r="C87" s="174" t="s">
        <v>520</v>
      </c>
      <c r="D87" s="174" t="s">
        <v>86</v>
      </c>
      <c r="E87" s="168">
        <v>11</v>
      </c>
      <c r="F87" s="186" t="s">
        <v>37</v>
      </c>
      <c r="G87" s="162" t="s">
        <v>59</v>
      </c>
      <c r="H87" s="162" t="s">
        <v>168</v>
      </c>
      <c r="I87" s="162" t="s">
        <v>168</v>
      </c>
      <c r="J87" s="175">
        <v>42172</v>
      </c>
      <c r="K87" s="171" t="s">
        <v>704</v>
      </c>
      <c r="L87" s="187" t="s">
        <v>705</v>
      </c>
      <c r="M87" s="152">
        <v>42547</v>
      </c>
      <c r="N87" s="172">
        <v>1.0273972602739727</v>
      </c>
      <c r="O87" s="149" t="s">
        <v>718</v>
      </c>
      <c r="P87" s="167" t="s">
        <v>777</v>
      </c>
      <c r="Q87" s="157" t="s">
        <v>416</v>
      </c>
      <c r="R87" s="166" t="s">
        <v>684</v>
      </c>
      <c r="S87" s="166">
        <v>6</v>
      </c>
      <c r="T87" s="166"/>
      <c r="U87" s="166">
        <v>2016</v>
      </c>
    </row>
    <row r="88" spans="1:21" hidden="1" x14ac:dyDescent="0.25">
      <c r="A88" s="165">
        <v>87</v>
      </c>
      <c r="B88" s="173">
        <v>3763</v>
      </c>
      <c r="C88" s="174" t="s">
        <v>521</v>
      </c>
      <c r="D88" s="174" t="s">
        <v>86</v>
      </c>
      <c r="E88" s="168">
        <v>11</v>
      </c>
      <c r="F88" s="186" t="s">
        <v>37</v>
      </c>
      <c r="G88" s="170" t="s">
        <v>39</v>
      </c>
      <c r="H88" s="162" t="s">
        <v>230</v>
      </c>
      <c r="I88" s="162" t="s">
        <v>239</v>
      </c>
      <c r="J88" s="175">
        <v>41994</v>
      </c>
      <c r="K88" s="171" t="s">
        <v>704</v>
      </c>
      <c r="L88" s="187" t="s">
        <v>705</v>
      </c>
      <c r="M88" s="152">
        <v>42543</v>
      </c>
      <c r="N88" s="172">
        <v>1.5041095890410958</v>
      </c>
      <c r="O88" s="149" t="s">
        <v>718</v>
      </c>
      <c r="P88" s="167" t="s">
        <v>742</v>
      </c>
      <c r="Q88" s="166" t="s">
        <v>414</v>
      </c>
      <c r="R88" s="166" t="s">
        <v>684</v>
      </c>
      <c r="S88" s="166">
        <v>6</v>
      </c>
      <c r="T88" s="166"/>
      <c r="U88" s="166">
        <v>2016</v>
      </c>
    </row>
    <row r="89" spans="1:21" hidden="1" x14ac:dyDescent="0.25">
      <c r="A89" s="165">
        <v>88</v>
      </c>
      <c r="B89" s="173">
        <v>3182</v>
      </c>
      <c r="C89" s="174" t="s">
        <v>522</v>
      </c>
      <c r="D89" s="174" t="s">
        <v>160</v>
      </c>
      <c r="E89" s="168">
        <v>13</v>
      </c>
      <c r="F89" s="186" t="s">
        <v>37</v>
      </c>
      <c r="G89" s="170" t="s">
        <v>39</v>
      </c>
      <c r="H89" s="162" t="s">
        <v>41</v>
      </c>
      <c r="I89" s="162" t="s">
        <v>247</v>
      </c>
      <c r="J89" s="175">
        <v>40636</v>
      </c>
      <c r="K89" s="171" t="s">
        <v>704</v>
      </c>
      <c r="L89" s="187" t="s">
        <v>705</v>
      </c>
      <c r="M89" s="152">
        <v>42537</v>
      </c>
      <c r="N89" s="172">
        <v>5.2082191780821914</v>
      </c>
      <c r="O89" s="149" t="s">
        <v>728</v>
      </c>
      <c r="P89" s="167" t="s">
        <v>783</v>
      </c>
      <c r="Q89" s="166" t="s">
        <v>414</v>
      </c>
      <c r="R89" s="166" t="s">
        <v>686</v>
      </c>
      <c r="S89" s="166">
        <v>6</v>
      </c>
      <c r="T89" s="166"/>
      <c r="U89" s="166">
        <v>2016</v>
      </c>
    </row>
    <row r="90" spans="1:21" hidden="1" x14ac:dyDescent="0.25">
      <c r="A90" s="165">
        <v>89</v>
      </c>
      <c r="B90" s="173">
        <v>2480</v>
      </c>
      <c r="C90" s="174" t="s">
        <v>523</v>
      </c>
      <c r="D90" s="174" t="s">
        <v>163</v>
      </c>
      <c r="E90" s="168">
        <v>16</v>
      </c>
      <c r="F90" s="186" t="s">
        <v>37</v>
      </c>
      <c r="G90" s="170" t="s">
        <v>39</v>
      </c>
      <c r="H90" s="162" t="s">
        <v>230</v>
      </c>
      <c r="I90" s="162" t="s">
        <v>230</v>
      </c>
      <c r="J90" s="175">
        <v>38719</v>
      </c>
      <c r="K90" s="171" t="s">
        <v>704</v>
      </c>
      <c r="L90" s="187" t="s">
        <v>705</v>
      </c>
      <c r="M90" s="152">
        <v>42562</v>
      </c>
      <c r="N90" s="172">
        <v>10.528767123287672</v>
      </c>
      <c r="O90" s="149" t="s">
        <v>709</v>
      </c>
      <c r="P90" s="167" t="s">
        <v>786</v>
      </c>
      <c r="Q90" s="157" t="s">
        <v>416</v>
      </c>
      <c r="R90" s="166" t="s">
        <v>684</v>
      </c>
      <c r="S90" s="166">
        <v>7</v>
      </c>
      <c r="T90" s="166"/>
      <c r="U90" s="166">
        <v>2016</v>
      </c>
    </row>
    <row r="91" spans="1:21" x14ac:dyDescent="0.25">
      <c r="A91" s="165">
        <v>90</v>
      </c>
      <c r="B91" s="173">
        <v>2689</v>
      </c>
      <c r="C91" s="174" t="s">
        <v>524</v>
      </c>
      <c r="D91" s="174" t="s">
        <v>94</v>
      </c>
      <c r="E91" s="168">
        <v>15</v>
      </c>
      <c r="F91" s="186" t="s">
        <v>37</v>
      </c>
      <c r="G91" s="162" t="s">
        <v>59</v>
      </c>
      <c r="H91" s="162" t="s">
        <v>787</v>
      </c>
      <c r="I91" s="162" t="s">
        <v>787</v>
      </c>
      <c r="J91" s="175">
        <v>39208</v>
      </c>
      <c r="K91" s="171" t="s">
        <v>704</v>
      </c>
      <c r="L91" s="187" t="s">
        <v>705</v>
      </c>
      <c r="M91" s="152">
        <v>42562</v>
      </c>
      <c r="N91" s="172">
        <v>9.1890410958904116</v>
      </c>
      <c r="O91" s="149" t="s">
        <v>713</v>
      </c>
      <c r="P91" s="167" t="s">
        <v>788</v>
      </c>
      <c r="Q91" s="166" t="s">
        <v>414</v>
      </c>
      <c r="R91" s="166" t="s">
        <v>683</v>
      </c>
      <c r="S91" s="166">
        <v>7</v>
      </c>
      <c r="T91" s="166"/>
      <c r="U91" s="166">
        <v>2016</v>
      </c>
    </row>
    <row r="92" spans="1:21" x14ac:dyDescent="0.25">
      <c r="A92" s="165">
        <v>91</v>
      </c>
      <c r="B92" s="173">
        <v>2915</v>
      </c>
      <c r="C92" s="174" t="s">
        <v>525</v>
      </c>
      <c r="D92" s="174" t="s">
        <v>789</v>
      </c>
      <c r="E92" s="168">
        <v>13</v>
      </c>
      <c r="F92" s="186" t="s">
        <v>37</v>
      </c>
      <c r="G92" s="170" t="s">
        <v>753</v>
      </c>
      <c r="H92" s="162" t="s">
        <v>195</v>
      </c>
      <c r="I92" s="162" t="s">
        <v>790</v>
      </c>
      <c r="J92" s="175">
        <v>39898</v>
      </c>
      <c r="K92" s="171" t="s">
        <v>704</v>
      </c>
      <c r="L92" s="187" t="s">
        <v>705</v>
      </c>
      <c r="M92" s="152">
        <v>42572</v>
      </c>
      <c r="N92" s="172">
        <v>7.3260273972602743</v>
      </c>
      <c r="O92" s="149" t="s">
        <v>713</v>
      </c>
      <c r="P92" s="167" t="s">
        <v>791</v>
      </c>
      <c r="Q92" s="166" t="s">
        <v>414</v>
      </c>
      <c r="R92" s="166" t="s">
        <v>683</v>
      </c>
      <c r="S92" s="166">
        <v>7</v>
      </c>
      <c r="T92" s="166"/>
      <c r="U92" s="166">
        <v>2016</v>
      </c>
    </row>
    <row r="93" spans="1:21" x14ac:dyDescent="0.25">
      <c r="A93" s="165">
        <v>92</v>
      </c>
      <c r="B93" s="173">
        <v>2934</v>
      </c>
      <c r="C93" s="174" t="s">
        <v>526</v>
      </c>
      <c r="D93" s="174" t="s">
        <v>91</v>
      </c>
      <c r="E93" s="168">
        <v>14</v>
      </c>
      <c r="F93" s="186" t="s">
        <v>37</v>
      </c>
      <c r="G93" s="162" t="s">
        <v>59</v>
      </c>
      <c r="H93" s="162" t="s">
        <v>790</v>
      </c>
      <c r="I93" s="162" t="s">
        <v>790</v>
      </c>
      <c r="J93" s="175">
        <v>39898</v>
      </c>
      <c r="K93" s="171" t="s">
        <v>704</v>
      </c>
      <c r="L93" s="187" t="s">
        <v>705</v>
      </c>
      <c r="M93" s="152">
        <v>42562</v>
      </c>
      <c r="N93" s="172">
        <v>7.2986301369863016</v>
      </c>
      <c r="O93" s="149" t="s">
        <v>713</v>
      </c>
      <c r="P93" s="167" t="s">
        <v>792</v>
      </c>
      <c r="Q93" s="166" t="s">
        <v>414</v>
      </c>
      <c r="R93" s="166" t="s">
        <v>684</v>
      </c>
      <c r="S93" s="166">
        <v>7</v>
      </c>
      <c r="T93" s="166"/>
      <c r="U93" s="166">
        <v>2016</v>
      </c>
    </row>
    <row r="94" spans="1:21" x14ac:dyDescent="0.25">
      <c r="A94" s="165">
        <v>93</v>
      </c>
      <c r="B94" s="173">
        <v>3167</v>
      </c>
      <c r="C94" s="174" t="s">
        <v>527</v>
      </c>
      <c r="D94" s="174" t="s">
        <v>109</v>
      </c>
      <c r="E94" s="168">
        <v>14</v>
      </c>
      <c r="F94" s="186" t="s">
        <v>37</v>
      </c>
      <c r="G94" s="170" t="s">
        <v>56</v>
      </c>
      <c r="H94" s="162" t="s">
        <v>56</v>
      </c>
      <c r="I94" s="162" t="s">
        <v>56</v>
      </c>
      <c r="J94" s="175">
        <v>40580</v>
      </c>
      <c r="K94" s="171" t="s">
        <v>704</v>
      </c>
      <c r="L94" s="187" t="s">
        <v>705</v>
      </c>
      <c r="M94" s="152">
        <v>42582</v>
      </c>
      <c r="N94" s="172">
        <v>5.484931506849315</v>
      </c>
      <c r="O94" s="149" t="s">
        <v>728</v>
      </c>
      <c r="P94" s="167" t="s">
        <v>793</v>
      </c>
      <c r="Q94" s="166" t="s">
        <v>414</v>
      </c>
      <c r="R94" s="166" t="s">
        <v>683</v>
      </c>
      <c r="S94" s="166">
        <v>7</v>
      </c>
      <c r="T94" s="166"/>
      <c r="U94" s="166">
        <v>2016</v>
      </c>
    </row>
    <row r="95" spans="1:21" x14ac:dyDescent="0.25">
      <c r="A95" s="165">
        <v>94</v>
      </c>
      <c r="B95" s="173">
        <v>3197</v>
      </c>
      <c r="C95" s="174" t="s">
        <v>528</v>
      </c>
      <c r="D95" s="174" t="s">
        <v>722</v>
      </c>
      <c r="E95" s="168">
        <v>12</v>
      </c>
      <c r="F95" s="186" t="s">
        <v>37</v>
      </c>
      <c r="G95" s="170" t="s">
        <v>39</v>
      </c>
      <c r="H95" s="162" t="s">
        <v>262</v>
      </c>
      <c r="I95" s="162" t="s">
        <v>794</v>
      </c>
      <c r="J95" s="175">
        <v>40644</v>
      </c>
      <c r="K95" s="171" t="s">
        <v>704</v>
      </c>
      <c r="L95" s="187" t="s">
        <v>705</v>
      </c>
      <c r="M95" s="152">
        <v>42561</v>
      </c>
      <c r="N95" s="172">
        <v>5.2520547945205482</v>
      </c>
      <c r="O95" s="149" t="s">
        <v>728</v>
      </c>
      <c r="P95" s="167" t="s">
        <v>795</v>
      </c>
      <c r="Q95" s="157" t="s">
        <v>416</v>
      </c>
      <c r="R95" s="166" t="s">
        <v>684</v>
      </c>
      <c r="S95" s="166">
        <v>7</v>
      </c>
      <c r="T95" s="166"/>
      <c r="U95" s="166">
        <v>2016</v>
      </c>
    </row>
    <row r="96" spans="1:21" x14ac:dyDescent="0.25">
      <c r="A96" s="165">
        <v>95</v>
      </c>
      <c r="B96" s="173">
        <v>3362</v>
      </c>
      <c r="C96" s="174" t="s">
        <v>529</v>
      </c>
      <c r="D96" s="174" t="s">
        <v>155</v>
      </c>
      <c r="E96" s="168">
        <v>13</v>
      </c>
      <c r="F96" s="186" t="s">
        <v>37</v>
      </c>
      <c r="G96" s="170" t="s">
        <v>39</v>
      </c>
      <c r="H96" s="162" t="s">
        <v>230</v>
      </c>
      <c r="I96" s="162" t="s">
        <v>230</v>
      </c>
      <c r="J96" s="175">
        <v>41000</v>
      </c>
      <c r="K96" s="171" t="s">
        <v>704</v>
      </c>
      <c r="L96" s="187" t="s">
        <v>705</v>
      </c>
      <c r="M96" s="152">
        <v>42564</v>
      </c>
      <c r="N96" s="172">
        <v>4.2849315068493148</v>
      </c>
      <c r="O96" s="149" t="s">
        <v>706</v>
      </c>
      <c r="P96" s="167" t="s">
        <v>796</v>
      </c>
      <c r="Q96" s="157" t="s">
        <v>416</v>
      </c>
      <c r="R96" s="166" t="s">
        <v>684</v>
      </c>
      <c r="S96" s="166">
        <v>7</v>
      </c>
      <c r="T96" s="166"/>
      <c r="U96" s="166">
        <v>2016</v>
      </c>
    </row>
    <row r="97" spans="1:21" x14ac:dyDescent="0.25">
      <c r="A97" s="165">
        <v>96</v>
      </c>
      <c r="B97" s="173">
        <v>3583</v>
      </c>
      <c r="C97" s="174" t="s">
        <v>530</v>
      </c>
      <c r="D97" s="174" t="s">
        <v>797</v>
      </c>
      <c r="E97" s="168">
        <v>14</v>
      </c>
      <c r="F97" s="186" t="s">
        <v>37</v>
      </c>
      <c r="G97" s="170" t="s">
        <v>736</v>
      </c>
      <c r="H97" s="162" t="s">
        <v>185</v>
      </c>
      <c r="I97" s="162" t="s">
        <v>185</v>
      </c>
      <c r="J97" s="175">
        <v>41548</v>
      </c>
      <c r="K97" s="171" t="s">
        <v>704</v>
      </c>
      <c r="L97" s="187" t="s">
        <v>705</v>
      </c>
      <c r="M97" s="152">
        <v>42572</v>
      </c>
      <c r="N97" s="172">
        <v>2.8054794520547945</v>
      </c>
      <c r="O97" s="149" t="s">
        <v>729</v>
      </c>
      <c r="P97" s="167" t="s">
        <v>798</v>
      </c>
      <c r="Q97" s="166" t="s">
        <v>414</v>
      </c>
      <c r="R97" s="166" t="s">
        <v>683</v>
      </c>
      <c r="S97" s="166">
        <v>7</v>
      </c>
      <c r="T97" s="166"/>
      <c r="U97" s="166">
        <v>2016</v>
      </c>
    </row>
    <row r="98" spans="1:21" x14ac:dyDescent="0.25">
      <c r="A98" s="165">
        <v>97</v>
      </c>
      <c r="B98" s="173">
        <v>3619</v>
      </c>
      <c r="C98" s="174" t="s">
        <v>531</v>
      </c>
      <c r="D98" s="174" t="s">
        <v>101</v>
      </c>
      <c r="E98" s="168">
        <v>13</v>
      </c>
      <c r="F98" s="186" t="s">
        <v>37</v>
      </c>
      <c r="G98" s="170" t="s">
        <v>72</v>
      </c>
      <c r="H98" s="162" t="s">
        <v>179</v>
      </c>
      <c r="I98" s="162" t="s">
        <v>799</v>
      </c>
      <c r="J98" s="175">
        <v>41658</v>
      </c>
      <c r="K98" s="171" t="s">
        <v>45</v>
      </c>
      <c r="L98" s="187" t="s">
        <v>705</v>
      </c>
      <c r="M98" s="152">
        <v>42582</v>
      </c>
      <c r="N98" s="172">
        <v>2.5315068493150683</v>
      </c>
      <c r="O98" s="149" t="s">
        <v>729</v>
      </c>
      <c r="P98" s="167" t="s">
        <v>743</v>
      </c>
      <c r="Q98" s="157" t="s">
        <v>416</v>
      </c>
      <c r="R98" s="166" t="s">
        <v>685</v>
      </c>
      <c r="S98" s="166">
        <v>7</v>
      </c>
      <c r="T98" s="166"/>
      <c r="U98" s="166">
        <v>2016</v>
      </c>
    </row>
    <row r="99" spans="1:21" x14ac:dyDescent="0.25">
      <c r="A99" s="165">
        <v>98</v>
      </c>
      <c r="B99" s="173">
        <v>3670</v>
      </c>
      <c r="C99" s="174" t="s">
        <v>532</v>
      </c>
      <c r="D99" s="174" t="s">
        <v>800</v>
      </c>
      <c r="E99" s="168">
        <v>19</v>
      </c>
      <c r="F99" s="186" t="s">
        <v>37</v>
      </c>
      <c r="G99" s="170" t="s">
        <v>58</v>
      </c>
      <c r="H99" s="162" t="s">
        <v>721</v>
      </c>
      <c r="I99" s="162" t="s">
        <v>733</v>
      </c>
      <c r="J99" s="175">
        <v>41763</v>
      </c>
      <c r="K99" s="171" t="s">
        <v>45</v>
      </c>
      <c r="L99" s="187" t="s">
        <v>705</v>
      </c>
      <c r="M99" s="152">
        <v>42572</v>
      </c>
      <c r="N99" s="172">
        <v>2.2164383561643834</v>
      </c>
      <c r="O99" s="149" t="s">
        <v>729</v>
      </c>
      <c r="P99" s="167" t="s">
        <v>801</v>
      </c>
      <c r="Q99" s="166" t="s">
        <v>414</v>
      </c>
      <c r="R99" s="166" t="s">
        <v>683</v>
      </c>
      <c r="S99" s="166">
        <v>7</v>
      </c>
      <c r="T99" s="166"/>
      <c r="U99" s="166">
        <v>2016</v>
      </c>
    </row>
    <row r="100" spans="1:21" x14ac:dyDescent="0.25">
      <c r="A100" s="165">
        <v>99</v>
      </c>
      <c r="B100" s="173">
        <v>3686</v>
      </c>
      <c r="C100" s="174" t="s">
        <v>533</v>
      </c>
      <c r="D100" s="174" t="s">
        <v>802</v>
      </c>
      <c r="E100" s="168">
        <v>12</v>
      </c>
      <c r="F100" s="186" t="s">
        <v>37</v>
      </c>
      <c r="G100" s="170" t="s">
        <v>731</v>
      </c>
      <c r="H100" s="162" t="s">
        <v>60</v>
      </c>
      <c r="I100" s="162" t="s">
        <v>803</v>
      </c>
      <c r="J100" s="175">
        <v>41805</v>
      </c>
      <c r="K100" s="171" t="s">
        <v>704</v>
      </c>
      <c r="L100" s="187" t="s">
        <v>705</v>
      </c>
      <c r="M100" s="152">
        <v>42572</v>
      </c>
      <c r="N100" s="172">
        <v>2.1013698630136988</v>
      </c>
      <c r="O100" s="149" t="s">
        <v>729</v>
      </c>
      <c r="P100" s="167" t="s">
        <v>804</v>
      </c>
      <c r="Q100" s="157" t="s">
        <v>416</v>
      </c>
      <c r="R100" s="166" t="s">
        <v>684</v>
      </c>
      <c r="S100" s="166">
        <v>7</v>
      </c>
      <c r="T100" s="166"/>
      <c r="U100" s="166">
        <v>2016</v>
      </c>
    </row>
    <row r="101" spans="1:21" x14ac:dyDescent="0.25">
      <c r="A101" s="165">
        <v>100</v>
      </c>
      <c r="B101" s="173">
        <v>3792</v>
      </c>
      <c r="C101" s="174" t="s">
        <v>534</v>
      </c>
      <c r="D101" s="174" t="s">
        <v>119</v>
      </c>
      <c r="E101" s="168">
        <v>16</v>
      </c>
      <c r="F101" s="186" t="s">
        <v>37</v>
      </c>
      <c r="G101" s="170" t="s">
        <v>58</v>
      </c>
      <c r="H101" s="162" t="s">
        <v>202</v>
      </c>
      <c r="I101" s="162" t="s">
        <v>202</v>
      </c>
      <c r="J101" s="175">
        <v>42099</v>
      </c>
      <c r="K101" s="171" t="s">
        <v>45</v>
      </c>
      <c r="L101" s="187" t="s">
        <v>705</v>
      </c>
      <c r="M101" s="152">
        <v>42579</v>
      </c>
      <c r="N101" s="172">
        <v>1.3150684931506849</v>
      </c>
      <c r="O101" s="149" t="s">
        <v>718</v>
      </c>
      <c r="P101" s="167" t="s">
        <v>805</v>
      </c>
      <c r="Q101" s="166" t="s">
        <v>414</v>
      </c>
      <c r="R101" s="166" t="s">
        <v>684</v>
      </c>
      <c r="S101" s="166">
        <v>7</v>
      </c>
      <c r="T101" s="166"/>
      <c r="U101" s="166">
        <v>2016</v>
      </c>
    </row>
    <row r="102" spans="1:21" x14ac:dyDescent="0.25">
      <c r="A102" s="165">
        <v>101</v>
      </c>
      <c r="B102" s="173">
        <v>3798</v>
      </c>
      <c r="C102" s="174" t="s">
        <v>535</v>
      </c>
      <c r="D102" s="174" t="s">
        <v>86</v>
      </c>
      <c r="E102" s="168">
        <v>11</v>
      </c>
      <c r="F102" s="186" t="s">
        <v>37</v>
      </c>
      <c r="G102" s="170" t="s">
        <v>39</v>
      </c>
      <c r="H102" s="162" t="s">
        <v>230</v>
      </c>
      <c r="I102" s="162" t="s">
        <v>230</v>
      </c>
      <c r="J102" s="175">
        <v>42109</v>
      </c>
      <c r="K102" s="171" t="s">
        <v>704</v>
      </c>
      <c r="L102" s="187" t="s">
        <v>705</v>
      </c>
      <c r="M102" s="152">
        <v>42565</v>
      </c>
      <c r="N102" s="172">
        <v>1.2493150684931507</v>
      </c>
      <c r="O102" s="149" t="s">
        <v>718</v>
      </c>
      <c r="P102" s="167" t="s">
        <v>796</v>
      </c>
      <c r="Q102" s="166" t="s">
        <v>414</v>
      </c>
      <c r="R102" s="166" t="s">
        <v>684</v>
      </c>
      <c r="S102" s="166">
        <v>7</v>
      </c>
      <c r="T102" s="166"/>
      <c r="U102" s="166">
        <v>2016</v>
      </c>
    </row>
    <row r="103" spans="1:21" x14ac:dyDescent="0.25">
      <c r="A103" s="165">
        <v>102</v>
      </c>
      <c r="B103" s="173">
        <v>3951</v>
      </c>
      <c r="C103" s="174" t="s">
        <v>536</v>
      </c>
      <c r="D103" s="174" t="s">
        <v>84</v>
      </c>
      <c r="E103" s="168">
        <v>11</v>
      </c>
      <c r="F103" s="186" t="s">
        <v>37</v>
      </c>
      <c r="G103" s="170" t="s">
        <v>39</v>
      </c>
      <c r="H103" s="162" t="s">
        <v>402</v>
      </c>
      <c r="I103" s="162" t="s">
        <v>402</v>
      </c>
      <c r="J103" s="175">
        <v>42463</v>
      </c>
      <c r="K103" s="171" t="s">
        <v>704</v>
      </c>
      <c r="L103" s="187" t="s">
        <v>705</v>
      </c>
      <c r="M103" s="152">
        <v>42570</v>
      </c>
      <c r="N103" s="172">
        <v>0.29315068493150687</v>
      </c>
      <c r="O103" s="149" t="s">
        <v>715</v>
      </c>
      <c r="P103" s="167" t="s">
        <v>795</v>
      </c>
      <c r="Q103" s="157" t="s">
        <v>416</v>
      </c>
      <c r="R103" s="166" t="s">
        <v>684</v>
      </c>
      <c r="S103" s="166">
        <v>7</v>
      </c>
      <c r="T103" s="166"/>
      <c r="U103" s="166">
        <v>2016</v>
      </c>
    </row>
    <row r="104" spans="1:21" x14ac:dyDescent="0.25">
      <c r="A104" s="165">
        <v>103</v>
      </c>
      <c r="B104" s="173">
        <v>3810</v>
      </c>
      <c r="C104" s="174" t="s">
        <v>537</v>
      </c>
      <c r="D104" s="174" t="s">
        <v>86</v>
      </c>
      <c r="E104" s="168">
        <v>11</v>
      </c>
      <c r="F104" s="186" t="s">
        <v>37</v>
      </c>
      <c r="G104" s="170" t="s">
        <v>39</v>
      </c>
      <c r="H104" s="162" t="s">
        <v>230</v>
      </c>
      <c r="I104" s="162" t="s">
        <v>230</v>
      </c>
      <c r="J104" s="175">
        <v>42109</v>
      </c>
      <c r="K104" s="171" t="s">
        <v>704</v>
      </c>
      <c r="L104" s="187" t="s">
        <v>705</v>
      </c>
      <c r="M104" s="152">
        <v>42544</v>
      </c>
      <c r="N104" s="172">
        <v>1.1917808219178083</v>
      </c>
      <c r="O104" s="149" t="s">
        <v>718</v>
      </c>
      <c r="P104" s="167" t="s">
        <v>773</v>
      </c>
      <c r="Q104" s="157" t="s">
        <v>416</v>
      </c>
      <c r="R104" s="166" t="s">
        <v>684</v>
      </c>
      <c r="S104" s="166">
        <v>7</v>
      </c>
      <c r="T104" s="166"/>
      <c r="U104" s="166">
        <v>2016</v>
      </c>
    </row>
    <row r="105" spans="1:21" x14ac:dyDescent="0.25">
      <c r="A105" s="165">
        <v>104</v>
      </c>
      <c r="B105" s="173">
        <v>3813</v>
      </c>
      <c r="C105" s="174" t="s">
        <v>538</v>
      </c>
      <c r="D105" s="174" t="s">
        <v>2</v>
      </c>
      <c r="E105" s="168">
        <v>12</v>
      </c>
      <c r="F105" s="186" t="s">
        <v>37</v>
      </c>
      <c r="G105" s="170" t="s">
        <v>39</v>
      </c>
      <c r="H105" s="162" t="s">
        <v>41</v>
      </c>
      <c r="I105" s="162" t="s">
        <v>41</v>
      </c>
      <c r="J105" s="175">
        <v>42113</v>
      </c>
      <c r="K105" s="171" t="s">
        <v>704</v>
      </c>
      <c r="L105" s="187" t="s">
        <v>705</v>
      </c>
      <c r="M105" s="152">
        <v>42551</v>
      </c>
      <c r="N105" s="172">
        <v>1.2</v>
      </c>
      <c r="O105" s="149" t="s">
        <v>718</v>
      </c>
      <c r="P105" s="167" t="s">
        <v>773</v>
      </c>
      <c r="Q105" s="166" t="s">
        <v>414</v>
      </c>
      <c r="R105" s="166" t="s">
        <v>684</v>
      </c>
      <c r="S105" s="166">
        <v>7</v>
      </c>
      <c r="T105" s="166"/>
      <c r="U105" s="166">
        <v>2016</v>
      </c>
    </row>
    <row r="106" spans="1:21" x14ac:dyDescent="0.25">
      <c r="A106" s="165">
        <v>105</v>
      </c>
      <c r="B106" s="173">
        <v>3957</v>
      </c>
      <c r="C106" s="174" t="s">
        <v>539</v>
      </c>
      <c r="D106" s="174" t="s">
        <v>710</v>
      </c>
      <c r="E106" s="168" t="s">
        <v>711</v>
      </c>
      <c r="F106" s="186" t="s">
        <v>37</v>
      </c>
      <c r="G106" s="170" t="s">
        <v>39</v>
      </c>
      <c r="H106" s="162" t="s">
        <v>262</v>
      </c>
      <c r="I106" s="162" t="s">
        <v>794</v>
      </c>
      <c r="J106" s="175">
        <v>42464</v>
      </c>
      <c r="K106" s="171" t="s">
        <v>704</v>
      </c>
      <c r="L106" s="187" t="s">
        <v>705</v>
      </c>
      <c r="M106" s="152">
        <v>42551</v>
      </c>
      <c r="N106" s="172">
        <v>0.23835616438356164</v>
      </c>
      <c r="O106" s="149" t="s">
        <v>715</v>
      </c>
      <c r="P106" s="167" t="s">
        <v>777</v>
      </c>
      <c r="Q106" s="166" t="s">
        <v>414</v>
      </c>
      <c r="R106" s="166" t="s">
        <v>684</v>
      </c>
      <c r="S106" s="166">
        <v>7</v>
      </c>
      <c r="T106" s="166"/>
      <c r="U106" s="166">
        <v>2016</v>
      </c>
    </row>
    <row r="107" spans="1:21" x14ac:dyDescent="0.25">
      <c r="A107" s="165">
        <v>106</v>
      </c>
      <c r="B107" s="173">
        <v>2531</v>
      </c>
      <c r="C107" s="174" t="s">
        <v>540</v>
      </c>
      <c r="D107" s="174" t="s">
        <v>726</v>
      </c>
      <c r="E107" s="168">
        <v>15</v>
      </c>
      <c r="F107" s="186" t="s">
        <v>37</v>
      </c>
      <c r="G107" s="170" t="s">
        <v>39</v>
      </c>
      <c r="H107" s="162" t="s">
        <v>230</v>
      </c>
      <c r="I107" s="162" t="s">
        <v>250</v>
      </c>
      <c r="J107" s="175">
        <v>38908</v>
      </c>
      <c r="K107" s="171" t="s">
        <v>45</v>
      </c>
      <c r="L107" s="187" t="s">
        <v>705</v>
      </c>
      <c r="M107" s="152">
        <v>42586</v>
      </c>
      <c r="N107" s="172">
        <v>10.076712328767123</v>
      </c>
      <c r="O107" s="149" t="s">
        <v>709</v>
      </c>
      <c r="P107" s="167" t="s">
        <v>777</v>
      </c>
      <c r="Q107" s="157" t="s">
        <v>416</v>
      </c>
      <c r="R107" s="178" t="s">
        <v>683</v>
      </c>
      <c r="S107" s="166">
        <v>7</v>
      </c>
      <c r="T107" s="166"/>
      <c r="U107" s="166">
        <v>2016</v>
      </c>
    </row>
    <row r="108" spans="1:21" x14ac:dyDescent="0.25">
      <c r="A108" s="165">
        <v>107</v>
      </c>
      <c r="B108" s="173">
        <v>2157</v>
      </c>
      <c r="C108" s="174" t="s">
        <v>541</v>
      </c>
      <c r="D108" s="174" t="s">
        <v>2</v>
      </c>
      <c r="E108" s="168">
        <v>13</v>
      </c>
      <c r="F108" s="186" t="s">
        <v>37</v>
      </c>
      <c r="G108" s="170" t="s">
        <v>39</v>
      </c>
      <c r="H108" s="162" t="s">
        <v>41</v>
      </c>
      <c r="I108" s="162" t="s">
        <v>258</v>
      </c>
      <c r="J108" s="175">
        <v>42022</v>
      </c>
      <c r="K108" s="171" t="s">
        <v>704</v>
      </c>
      <c r="L108" s="187" t="s">
        <v>705</v>
      </c>
      <c r="M108" s="152">
        <v>42575</v>
      </c>
      <c r="N108" s="172">
        <v>1.515068493150685</v>
      </c>
      <c r="O108" s="149" t="s">
        <v>718</v>
      </c>
      <c r="P108" s="167" t="s">
        <v>752</v>
      </c>
      <c r="Q108" s="157" t="s">
        <v>416</v>
      </c>
      <c r="R108" s="178" t="s">
        <v>683</v>
      </c>
      <c r="S108" s="166">
        <v>8</v>
      </c>
      <c r="T108" s="166"/>
      <c r="U108" s="166">
        <v>2016</v>
      </c>
    </row>
    <row r="109" spans="1:21" x14ac:dyDescent="0.25">
      <c r="A109" s="165">
        <v>108</v>
      </c>
      <c r="B109" s="173">
        <v>3658</v>
      </c>
      <c r="C109" s="174" t="s">
        <v>542</v>
      </c>
      <c r="D109" s="174" t="s">
        <v>147</v>
      </c>
      <c r="E109" s="168">
        <v>12</v>
      </c>
      <c r="F109" s="186" t="s">
        <v>44</v>
      </c>
      <c r="G109" s="170" t="s">
        <v>39</v>
      </c>
      <c r="H109" s="162" t="s">
        <v>806</v>
      </c>
      <c r="I109" s="162" t="s">
        <v>807</v>
      </c>
      <c r="J109" s="175">
        <v>42095</v>
      </c>
      <c r="K109" s="171" t="s">
        <v>45</v>
      </c>
      <c r="L109" s="187" t="s">
        <v>705</v>
      </c>
      <c r="M109" s="152">
        <v>42579</v>
      </c>
      <c r="N109" s="172">
        <v>1.3260273972602741</v>
      </c>
      <c r="O109" s="149" t="s">
        <v>718</v>
      </c>
      <c r="P109" s="167" t="s">
        <v>752</v>
      </c>
      <c r="Q109" s="157" t="s">
        <v>416</v>
      </c>
      <c r="R109" s="178" t="s">
        <v>683</v>
      </c>
      <c r="S109" s="166">
        <v>8</v>
      </c>
      <c r="T109" s="166"/>
      <c r="U109" s="166">
        <v>2016</v>
      </c>
    </row>
    <row r="110" spans="1:21" x14ac:dyDescent="0.25">
      <c r="A110" s="165">
        <v>109</v>
      </c>
      <c r="B110" s="173">
        <v>3920</v>
      </c>
      <c r="C110" s="174" t="s">
        <v>543</v>
      </c>
      <c r="D110" s="174" t="s">
        <v>710</v>
      </c>
      <c r="E110" s="168">
        <v>11</v>
      </c>
      <c r="F110" s="186" t="s">
        <v>37</v>
      </c>
      <c r="G110" s="162" t="s">
        <v>39</v>
      </c>
      <c r="H110" s="162" t="s">
        <v>262</v>
      </c>
      <c r="I110" s="162" t="s">
        <v>794</v>
      </c>
      <c r="J110" s="175">
        <v>42413</v>
      </c>
      <c r="K110" s="171" t="s">
        <v>704</v>
      </c>
      <c r="L110" s="187" t="s">
        <v>705</v>
      </c>
      <c r="M110" s="152">
        <v>42580</v>
      </c>
      <c r="N110" s="172">
        <v>0.45753424657534247</v>
      </c>
      <c r="O110" s="149" t="s">
        <v>715</v>
      </c>
      <c r="P110" s="167" t="s">
        <v>752</v>
      </c>
      <c r="Q110" s="166" t="s">
        <v>414</v>
      </c>
      <c r="R110" s="178" t="s">
        <v>683</v>
      </c>
      <c r="S110" s="166">
        <v>8</v>
      </c>
      <c r="T110" s="166"/>
      <c r="U110" s="166">
        <v>2016</v>
      </c>
    </row>
    <row r="111" spans="1:21" x14ac:dyDescent="0.25">
      <c r="A111" s="165">
        <v>110</v>
      </c>
      <c r="B111" s="173">
        <v>3713</v>
      </c>
      <c r="C111" s="174" t="s">
        <v>544</v>
      </c>
      <c r="D111" s="174" t="s">
        <v>2</v>
      </c>
      <c r="E111" s="168">
        <v>13</v>
      </c>
      <c r="F111" s="186" t="s">
        <v>37</v>
      </c>
      <c r="G111" s="170" t="s">
        <v>39</v>
      </c>
      <c r="H111" s="162" t="s">
        <v>41</v>
      </c>
      <c r="I111" s="162" t="s">
        <v>260</v>
      </c>
      <c r="J111" s="175">
        <v>41897</v>
      </c>
      <c r="K111" s="171" t="s">
        <v>704</v>
      </c>
      <c r="L111" s="187" t="s">
        <v>705</v>
      </c>
      <c r="M111" s="152">
        <v>42582</v>
      </c>
      <c r="N111" s="172">
        <v>1.8767123287671232</v>
      </c>
      <c r="O111" s="149" t="s">
        <v>718</v>
      </c>
      <c r="P111" s="167" t="s">
        <v>752</v>
      </c>
      <c r="Q111" s="166" t="s">
        <v>414</v>
      </c>
      <c r="R111" s="178" t="s">
        <v>683</v>
      </c>
      <c r="S111" s="166">
        <v>8</v>
      </c>
      <c r="T111" s="166"/>
      <c r="U111" s="166">
        <v>2016</v>
      </c>
    </row>
    <row r="112" spans="1:21" x14ac:dyDescent="0.25">
      <c r="A112" s="165">
        <v>111</v>
      </c>
      <c r="B112" s="173">
        <v>3499</v>
      </c>
      <c r="C112" s="174" t="s">
        <v>545</v>
      </c>
      <c r="D112" s="174" t="s">
        <v>2</v>
      </c>
      <c r="E112" s="168">
        <v>13</v>
      </c>
      <c r="F112" s="186" t="s">
        <v>37</v>
      </c>
      <c r="G112" s="170" t="s">
        <v>39</v>
      </c>
      <c r="H112" s="162" t="s">
        <v>41</v>
      </c>
      <c r="I112" s="162" t="s">
        <v>259</v>
      </c>
      <c r="J112" s="175">
        <v>42094</v>
      </c>
      <c r="K112" s="171" t="s">
        <v>704</v>
      </c>
      <c r="L112" s="187" t="s">
        <v>705</v>
      </c>
      <c r="M112" s="152">
        <v>42597</v>
      </c>
      <c r="N112" s="172">
        <v>1.3780821917808219</v>
      </c>
      <c r="O112" s="149" t="s">
        <v>718</v>
      </c>
      <c r="P112" s="167" t="s">
        <v>756</v>
      </c>
      <c r="Q112" s="166" t="s">
        <v>414</v>
      </c>
      <c r="R112" s="178" t="s">
        <v>683</v>
      </c>
      <c r="S112" s="166">
        <v>8</v>
      </c>
      <c r="T112" s="166"/>
      <c r="U112" s="166">
        <v>2016</v>
      </c>
    </row>
    <row r="113" spans="1:21" x14ac:dyDescent="0.25">
      <c r="A113" s="165">
        <v>112</v>
      </c>
      <c r="B113" s="173">
        <v>2817</v>
      </c>
      <c r="C113" s="174" t="s">
        <v>546</v>
      </c>
      <c r="D113" s="174" t="s">
        <v>80</v>
      </c>
      <c r="E113" s="168">
        <v>13</v>
      </c>
      <c r="F113" s="186" t="s">
        <v>37</v>
      </c>
      <c r="G113" s="162" t="s">
        <v>59</v>
      </c>
      <c r="H113" s="162" t="s">
        <v>168</v>
      </c>
      <c r="I113" s="162" t="s">
        <v>168</v>
      </c>
      <c r="J113" s="175">
        <v>41804</v>
      </c>
      <c r="K113" s="171" t="s">
        <v>704</v>
      </c>
      <c r="L113" s="187" t="s">
        <v>705</v>
      </c>
      <c r="M113" s="152">
        <v>42591</v>
      </c>
      <c r="N113" s="172">
        <v>2.1561643835616437</v>
      </c>
      <c r="O113" s="149" t="s">
        <v>729</v>
      </c>
      <c r="P113" s="167" t="s">
        <v>808</v>
      </c>
      <c r="Q113" s="166" t="s">
        <v>414</v>
      </c>
      <c r="R113" s="166" t="s">
        <v>684</v>
      </c>
      <c r="S113" s="166">
        <v>8</v>
      </c>
      <c r="T113" s="166"/>
      <c r="U113" s="166">
        <v>2016</v>
      </c>
    </row>
    <row r="114" spans="1:21" x14ac:dyDescent="0.25">
      <c r="A114" s="165">
        <v>113</v>
      </c>
      <c r="B114" s="173">
        <v>3966</v>
      </c>
      <c r="C114" s="174" t="s">
        <v>547</v>
      </c>
      <c r="D114" s="174" t="s">
        <v>85</v>
      </c>
      <c r="E114" s="168">
        <v>12</v>
      </c>
      <c r="F114" s="186" t="s">
        <v>37</v>
      </c>
      <c r="G114" s="162" t="s">
        <v>59</v>
      </c>
      <c r="H114" s="162" t="s">
        <v>809</v>
      </c>
      <c r="I114" s="162" t="s">
        <v>175</v>
      </c>
      <c r="J114" s="175">
        <v>42464</v>
      </c>
      <c r="K114" s="171" t="s">
        <v>704</v>
      </c>
      <c r="L114" s="187" t="s">
        <v>705</v>
      </c>
      <c r="M114" s="152">
        <v>42589</v>
      </c>
      <c r="N114" s="172">
        <v>0.34246575342465752</v>
      </c>
      <c r="O114" s="149" t="s">
        <v>715</v>
      </c>
      <c r="P114" s="167" t="s">
        <v>775</v>
      </c>
      <c r="Q114" s="157" t="s">
        <v>416</v>
      </c>
      <c r="R114" s="166" t="s">
        <v>684</v>
      </c>
      <c r="S114" s="166">
        <v>8</v>
      </c>
      <c r="T114" s="166"/>
      <c r="U114" s="166">
        <v>2016</v>
      </c>
    </row>
    <row r="115" spans="1:21" x14ac:dyDescent="0.25">
      <c r="A115" s="165">
        <v>114</v>
      </c>
      <c r="B115" s="173">
        <v>3964</v>
      </c>
      <c r="C115" s="174" t="s">
        <v>548</v>
      </c>
      <c r="D115" s="174" t="s">
        <v>710</v>
      </c>
      <c r="E115" s="168">
        <v>11</v>
      </c>
      <c r="F115" s="186" t="s">
        <v>37</v>
      </c>
      <c r="G115" s="170" t="s">
        <v>39</v>
      </c>
      <c r="H115" s="162" t="s">
        <v>262</v>
      </c>
      <c r="I115" s="162" t="s">
        <v>712</v>
      </c>
      <c r="J115" s="175">
        <v>42463</v>
      </c>
      <c r="K115" s="171" t="s">
        <v>704</v>
      </c>
      <c r="L115" s="187" t="s">
        <v>705</v>
      </c>
      <c r="M115" s="152">
        <v>42586</v>
      </c>
      <c r="N115" s="172">
        <v>0.33698630136986302</v>
      </c>
      <c r="O115" s="149" t="s">
        <v>715</v>
      </c>
      <c r="P115" s="167" t="s">
        <v>808</v>
      </c>
      <c r="Q115" s="157" t="s">
        <v>416</v>
      </c>
      <c r="R115" s="166" t="s">
        <v>684</v>
      </c>
      <c r="S115" s="166">
        <v>8</v>
      </c>
      <c r="T115" s="166"/>
      <c r="U115" s="166">
        <v>2016</v>
      </c>
    </row>
    <row r="116" spans="1:21" x14ac:dyDescent="0.25">
      <c r="A116" s="165">
        <v>115</v>
      </c>
      <c r="B116" s="173">
        <v>1598</v>
      </c>
      <c r="C116" s="174" t="s">
        <v>549</v>
      </c>
      <c r="D116" s="174" t="s">
        <v>104</v>
      </c>
      <c r="E116" s="168">
        <v>19</v>
      </c>
      <c r="F116" s="186" t="s">
        <v>37</v>
      </c>
      <c r="G116" s="170" t="s">
        <v>736</v>
      </c>
      <c r="H116" s="162" t="s">
        <v>185</v>
      </c>
      <c r="I116" s="162" t="s">
        <v>188</v>
      </c>
      <c r="J116" s="175">
        <v>36079</v>
      </c>
      <c r="K116" s="171" t="s">
        <v>45</v>
      </c>
      <c r="L116" s="187" t="s">
        <v>705</v>
      </c>
      <c r="M116" s="152">
        <v>42586</v>
      </c>
      <c r="N116" s="172">
        <v>17.827397260273973</v>
      </c>
      <c r="O116" s="149" t="s">
        <v>709</v>
      </c>
      <c r="P116" s="167" t="s">
        <v>808</v>
      </c>
      <c r="Q116" s="166" t="s">
        <v>414</v>
      </c>
      <c r="R116" s="166" t="s">
        <v>684</v>
      </c>
      <c r="S116" s="166">
        <v>8</v>
      </c>
      <c r="T116" s="166"/>
      <c r="U116" s="166">
        <v>2016</v>
      </c>
    </row>
    <row r="117" spans="1:21" x14ac:dyDescent="0.25">
      <c r="A117" s="165">
        <v>116</v>
      </c>
      <c r="B117" s="173">
        <v>3871</v>
      </c>
      <c r="C117" s="174" t="s">
        <v>550</v>
      </c>
      <c r="D117" s="174" t="s">
        <v>84</v>
      </c>
      <c r="E117" s="168">
        <v>11</v>
      </c>
      <c r="F117" s="186" t="s">
        <v>37</v>
      </c>
      <c r="G117" s="170" t="s">
        <v>39</v>
      </c>
      <c r="H117" s="162" t="s">
        <v>230</v>
      </c>
      <c r="I117" s="162" t="s">
        <v>250</v>
      </c>
      <c r="J117" s="175">
        <v>42294</v>
      </c>
      <c r="K117" s="171" t="s">
        <v>704</v>
      </c>
      <c r="L117" s="187" t="s">
        <v>705</v>
      </c>
      <c r="M117" s="152">
        <v>42586</v>
      </c>
      <c r="N117" s="172">
        <v>0.8</v>
      </c>
      <c r="O117" s="149" t="s">
        <v>715</v>
      </c>
      <c r="P117" s="167" t="s">
        <v>810</v>
      </c>
      <c r="Q117" s="157" t="s">
        <v>416</v>
      </c>
      <c r="R117" s="166" t="s">
        <v>684</v>
      </c>
      <c r="S117" s="166">
        <v>8</v>
      </c>
      <c r="T117" s="166"/>
      <c r="U117" s="166">
        <v>2016</v>
      </c>
    </row>
    <row r="118" spans="1:21" x14ac:dyDescent="0.25">
      <c r="A118" s="165">
        <v>117</v>
      </c>
      <c r="B118" s="173">
        <v>3290</v>
      </c>
      <c r="C118" s="174" t="s">
        <v>551</v>
      </c>
      <c r="D118" s="174" t="s">
        <v>106</v>
      </c>
      <c r="E118" s="168">
        <v>14</v>
      </c>
      <c r="F118" s="186" t="s">
        <v>37</v>
      </c>
      <c r="G118" s="170" t="s">
        <v>736</v>
      </c>
      <c r="H118" s="162" t="s">
        <v>185</v>
      </c>
      <c r="I118" s="162" t="s">
        <v>187</v>
      </c>
      <c r="J118" s="175">
        <v>41913</v>
      </c>
      <c r="K118" s="171" t="s">
        <v>704</v>
      </c>
      <c r="L118" s="187" t="s">
        <v>705</v>
      </c>
      <c r="M118" s="152">
        <v>42607</v>
      </c>
      <c r="N118" s="172">
        <v>1.9013698630136986</v>
      </c>
      <c r="O118" s="149" t="s">
        <v>718</v>
      </c>
      <c r="P118" s="167" t="s">
        <v>752</v>
      </c>
      <c r="Q118" s="166" t="s">
        <v>414</v>
      </c>
      <c r="R118" s="166" t="s">
        <v>683</v>
      </c>
      <c r="S118" s="166">
        <v>8</v>
      </c>
      <c r="T118" s="166"/>
      <c r="U118" s="166">
        <v>2016</v>
      </c>
    </row>
    <row r="119" spans="1:21" x14ac:dyDescent="0.25">
      <c r="A119" s="165">
        <v>118</v>
      </c>
      <c r="B119" s="173">
        <v>3949</v>
      </c>
      <c r="C119" s="174" t="s">
        <v>552</v>
      </c>
      <c r="D119" s="174" t="s">
        <v>84</v>
      </c>
      <c r="E119" s="168">
        <v>11</v>
      </c>
      <c r="F119" s="186" t="s">
        <v>37</v>
      </c>
      <c r="G119" s="170" t="s">
        <v>39</v>
      </c>
      <c r="H119" s="162" t="s">
        <v>230</v>
      </c>
      <c r="I119" s="162" t="s">
        <v>402</v>
      </c>
      <c r="J119" s="175">
        <v>42462</v>
      </c>
      <c r="K119" s="171" t="s">
        <v>704</v>
      </c>
      <c r="L119" s="187" t="s">
        <v>705</v>
      </c>
      <c r="M119" s="152">
        <v>42611</v>
      </c>
      <c r="N119" s="172">
        <v>0.40821917808219177</v>
      </c>
      <c r="O119" s="149" t="s">
        <v>715</v>
      </c>
      <c r="P119" s="167" t="s">
        <v>808</v>
      </c>
      <c r="Q119" s="157" t="s">
        <v>416</v>
      </c>
      <c r="R119" s="166" t="s">
        <v>684</v>
      </c>
      <c r="S119" s="166">
        <v>8</v>
      </c>
      <c r="T119" s="166"/>
      <c r="U119" s="166">
        <v>2016</v>
      </c>
    </row>
    <row r="120" spans="1:21" x14ac:dyDescent="0.25">
      <c r="A120" s="165">
        <v>119</v>
      </c>
      <c r="B120" s="173">
        <v>3035</v>
      </c>
      <c r="C120" s="174" t="s">
        <v>553</v>
      </c>
      <c r="D120" s="174" t="s">
        <v>2</v>
      </c>
      <c r="E120" s="168">
        <v>13</v>
      </c>
      <c r="F120" s="186" t="s">
        <v>37</v>
      </c>
      <c r="G120" s="170" t="s">
        <v>39</v>
      </c>
      <c r="H120" s="162" t="s">
        <v>41</v>
      </c>
      <c r="I120" s="162" t="s">
        <v>254</v>
      </c>
      <c r="J120" s="175">
        <v>41585</v>
      </c>
      <c r="K120" s="171" t="s">
        <v>704</v>
      </c>
      <c r="L120" s="187" t="s">
        <v>714</v>
      </c>
      <c r="M120" s="152">
        <v>42607</v>
      </c>
      <c r="N120" s="172">
        <v>2.8</v>
      </c>
      <c r="O120" s="149" t="s">
        <v>729</v>
      </c>
      <c r="P120" s="167" t="s">
        <v>743</v>
      </c>
      <c r="Q120" s="157" t="s">
        <v>416</v>
      </c>
      <c r="R120" s="166" t="s">
        <v>685</v>
      </c>
      <c r="S120" s="166">
        <v>8</v>
      </c>
      <c r="T120" s="166"/>
      <c r="U120" s="166">
        <v>2016</v>
      </c>
    </row>
    <row r="121" spans="1:21" x14ac:dyDescent="0.25">
      <c r="A121" s="165">
        <v>120</v>
      </c>
      <c r="B121" s="173">
        <v>3852</v>
      </c>
      <c r="C121" s="174" t="s">
        <v>554</v>
      </c>
      <c r="D121" s="174" t="s">
        <v>87</v>
      </c>
      <c r="E121" s="168">
        <v>15</v>
      </c>
      <c r="F121" s="186" t="s">
        <v>37</v>
      </c>
      <c r="G121" s="170" t="s">
        <v>57</v>
      </c>
      <c r="H121" s="162" t="s">
        <v>223</v>
      </c>
      <c r="I121" s="162" t="s">
        <v>57</v>
      </c>
      <c r="J121" s="175">
        <v>42254</v>
      </c>
      <c r="K121" s="171" t="s">
        <v>704</v>
      </c>
      <c r="L121" s="187" t="s">
        <v>705</v>
      </c>
      <c r="M121" s="152">
        <v>42642</v>
      </c>
      <c r="N121" s="172">
        <v>1.0630136986301371</v>
      </c>
      <c r="O121" s="149" t="s">
        <v>718</v>
      </c>
      <c r="P121" s="167" t="s">
        <v>808</v>
      </c>
      <c r="Q121" s="166" t="s">
        <v>414</v>
      </c>
      <c r="R121" s="166" t="s">
        <v>684</v>
      </c>
      <c r="S121" s="166">
        <v>9</v>
      </c>
      <c r="T121" s="166"/>
      <c r="U121" s="166">
        <v>2016</v>
      </c>
    </row>
    <row r="122" spans="1:21" x14ac:dyDescent="0.25">
      <c r="A122" s="165">
        <v>121</v>
      </c>
      <c r="B122" s="173">
        <v>3770</v>
      </c>
      <c r="C122" s="174" t="s">
        <v>555</v>
      </c>
      <c r="D122" s="174" t="s">
        <v>86</v>
      </c>
      <c r="E122" s="168">
        <v>11</v>
      </c>
      <c r="F122" s="186" t="s">
        <v>37</v>
      </c>
      <c r="G122" s="170" t="s">
        <v>39</v>
      </c>
      <c r="H122" s="162" t="s">
        <v>230</v>
      </c>
      <c r="I122" s="162" t="s">
        <v>249</v>
      </c>
      <c r="J122" s="175">
        <v>41994</v>
      </c>
      <c r="K122" s="171" t="s">
        <v>704</v>
      </c>
      <c r="L122" s="187" t="s">
        <v>705</v>
      </c>
      <c r="M122" s="152">
        <v>42613</v>
      </c>
      <c r="N122" s="172">
        <v>1.6958904109589041</v>
      </c>
      <c r="O122" s="149" t="s">
        <v>718</v>
      </c>
      <c r="P122" s="167" t="s">
        <v>687</v>
      </c>
      <c r="Q122" s="166" t="s">
        <v>414</v>
      </c>
      <c r="R122" s="166" t="s">
        <v>683</v>
      </c>
      <c r="S122" s="166">
        <v>9</v>
      </c>
      <c r="T122" s="166"/>
      <c r="U122" s="166">
        <v>2016</v>
      </c>
    </row>
    <row r="123" spans="1:21" x14ac:dyDescent="0.25">
      <c r="A123" s="165">
        <v>122</v>
      </c>
      <c r="B123" s="173">
        <v>3502</v>
      </c>
      <c r="C123" s="174" t="s">
        <v>556</v>
      </c>
      <c r="D123" s="174" t="s">
        <v>2</v>
      </c>
      <c r="E123" s="168">
        <v>13</v>
      </c>
      <c r="F123" s="186" t="s">
        <v>37</v>
      </c>
      <c r="G123" s="170" t="s">
        <v>39</v>
      </c>
      <c r="H123" s="162" t="s">
        <v>41</v>
      </c>
      <c r="I123" s="162" t="s">
        <v>251</v>
      </c>
      <c r="J123" s="175">
        <v>41365</v>
      </c>
      <c r="K123" s="171" t="s">
        <v>704</v>
      </c>
      <c r="L123" s="187" t="s">
        <v>705</v>
      </c>
      <c r="M123" s="152">
        <v>42613</v>
      </c>
      <c r="N123" s="172">
        <v>3.419178082191781</v>
      </c>
      <c r="O123" s="149" t="s">
        <v>706</v>
      </c>
      <c r="P123" s="167" t="s">
        <v>742</v>
      </c>
      <c r="Q123" s="157" t="s">
        <v>416</v>
      </c>
      <c r="R123" s="166" t="s">
        <v>684</v>
      </c>
      <c r="S123" s="166">
        <v>9</v>
      </c>
      <c r="T123" s="166"/>
      <c r="U123" s="166">
        <v>2016</v>
      </c>
    </row>
    <row r="124" spans="1:21" x14ac:dyDescent="0.25">
      <c r="A124" s="165">
        <v>123</v>
      </c>
      <c r="B124" s="173">
        <v>3285</v>
      </c>
      <c r="C124" s="174" t="s">
        <v>557</v>
      </c>
      <c r="D124" s="174" t="s">
        <v>811</v>
      </c>
      <c r="E124" s="168">
        <v>14</v>
      </c>
      <c r="F124" s="186" t="s">
        <v>37</v>
      </c>
      <c r="G124" s="170" t="s">
        <v>753</v>
      </c>
      <c r="H124" s="162" t="s">
        <v>195</v>
      </c>
      <c r="I124" s="162" t="s">
        <v>195</v>
      </c>
      <c r="J124" s="175">
        <v>40812</v>
      </c>
      <c r="K124" s="171" t="s">
        <v>704</v>
      </c>
      <c r="L124" s="187" t="s">
        <v>705</v>
      </c>
      <c r="M124" s="152">
        <v>42638</v>
      </c>
      <c r="N124" s="172">
        <v>5.0027397260273974</v>
      </c>
      <c r="O124" s="149" t="s">
        <v>728</v>
      </c>
      <c r="P124" s="167" t="s">
        <v>808</v>
      </c>
      <c r="Q124" s="166" t="s">
        <v>414</v>
      </c>
      <c r="R124" s="166" t="s">
        <v>684</v>
      </c>
      <c r="S124" s="166">
        <v>9</v>
      </c>
      <c r="T124" s="166"/>
      <c r="U124" s="166">
        <v>2016</v>
      </c>
    </row>
    <row r="125" spans="1:21" x14ac:dyDescent="0.25">
      <c r="A125" s="165">
        <v>124</v>
      </c>
      <c r="B125" s="173">
        <v>2344</v>
      </c>
      <c r="C125" s="174" t="s">
        <v>558</v>
      </c>
      <c r="D125" s="174" t="s">
        <v>812</v>
      </c>
      <c r="E125" s="168">
        <v>15</v>
      </c>
      <c r="F125" s="186" t="s">
        <v>37</v>
      </c>
      <c r="G125" s="170" t="s">
        <v>39</v>
      </c>
      <c r="H125" s="162" t="s">
        <v>41</v>
      </c>
      <c r="I125" s="162" t="s">
        <v>236</v>
      </c>
      <c r="J125" s="175">
        <v>38523</v>
      </c>
      <c r="K125" s="171" t="s">
        <v>704</v>
      </c>
      <c r="L125" s="187" t="s">
        <v>705</v>
      </c>
      <c r="M125" s="152">
        <v>42613</v>
      </c>
      <c r="N125" s="172">
        <v>11.205479452054794</v>
      </c>
      <c r="O125" s="149" t="s">
        <v>709</v>
      </c>
      <c r="P125" s="167" t="s">
        <v>813</v>
      </c>
      <c r="Q125" s="157" t="s">
        <v>416</v>
      </c>
      <c r="R125" s="166" t="s">
        <v>684</v>
      </c>
      <c r="S125" s="166">
        <v>9</v>
      </c>
      <c r="T125" s="166"/>
      <c r="U125" s="166">
        <v>2016</v>
      </c>
    </row>
    <row r="126" spans="1:21" x14ac:dyDescent="0.25">
      <c r="A126" s="165">
        <v>125</v>
      </c>
      <c r="B126" s="173">
        <v>3125</v>
      </c>
      <c r="C126" s="174" t="s">
        <v>559</v>
      </c>
      <c r="D126" s="174" t="s">
        <v>2</v>
      </c>
      <c r="E126" s="168">
        <v>12</v>
      </c>
      <c r="F126" s="186" t="s">
        <v>37</v>
      </c>
      <c r="G126" s="170" t="s">
        <v>39</v>
      </c>
      <c r="H126" s="162" t="s">
        <v>41</v>
      </c>
      <c r="I126" s="162" t="s">
        <v>260</v>
      </c>
      <c r="J126" s="175">
        <v>40483</v>
      </c>
      <c r="K126" s="171" t="s">
        <v>704</v>
      </c>
      <c r="L126" s="187" t="s">
        <v>705</v>
      </c>
      <c r="M126" s="152">
        <v>42621</v>
      </c>
      <c r="N126" s="172">
        <v>5.8575342465753426</v>
      </c>
      <c r="O126" s="149" t="s">
        <v>728</v>
      </c>
      <c r="P126" s="167" t="s">
        <v>814</v>
      </c>
      <c r="Q126" s="166" t="s">
        <v>414</v>
      </c>
      <c r="R126" s="166" t="s">
        <v>684</v>
      </c>
      <c r="S126" s="166">
        <v>9</v>
      </c>
      <c r="T126" s="166"/>
      <c r="U126" s="166">
        <v>2016</v>
      </c>
    </row>
    <row r="127" spans="1:21" x14ac:dyDescent="0.25">
      <c r="A127" s="165">
        <v>126</v>
      </c>
      <c r="B127" s="173">
        <v>3303</v>
      </c>
      <c r="C127" s="174" t="s">
        <v>560</v>
      </c>
      <c r="D127" s="174" t="s">
        <v>815</v>
      </c>
      <c r="E127" s="168">
        <v>20</v>
      </c>
      <c r="F127" s="186" t="s">
        <v>37</v>
      </c>
      <c r="G127" s="170" t="s">
        <v>816</v>
      </c>
      <c r="H127" s="162" t="s">
        <v>64</v>
      </c>
      <c r="I127" s="162" t="s">
        <v>817</v>
      </c>
      <c r="J127" s="175">
        <v>40862</v>
      </c>
      <c r="K127" s="171" t="s">
        <v>45</v>
      </c>
      <c r="L127" s="187" t="s">
        <v>705</v>
      </c>
      <c r="M127" s="152">
        <v>42614</v>
      </c>
      <c r="N127" s="172">
        <v>4.8</v>
      </c>
      <c r="O127" s="149" t="s">
        <v>706</v>
      </c>
      <c r="P127" s="167" t="s">
        <v>687</v>
      </c>
      <c r="Q127" s="166" t="s">
        <v>414</v>
      </c>
      <c r="R127" s="166" t="s">
        <v>683</v>
      </c>
      <c r="S127" s="166">
        <v>9</v>
      </c>
      <c r="T127" s="166"/>
      <c r="U127" s="166">
        <v>2016</v>
      </c>
    </row>
    <row r="128" spans="1:21" x14ac:dyDescent="0.25">
      <c r="A128" s="165">
        <v>127</v>
      </c>
      <c r="B128" s="173">
        <v>3903</v>
      </c>
      <c r="C128" s="174" t="s">
        <v>561</v>
      </c>
      <c r="D128" s="174" t="s">
        <v>84</v>
      </c>
      <c r="E128" s="168">
        <v>11</v>
      </c>
      <c r="F128" s="186" t="s">
        <v>37</v>
      </c>
      <c r="G128" s="170" t="s">
        <v>39</v>
      </c>
      <c r="H128" s="162" t="s">
        <v>230</v>
      </c>
      <c r="I128" s="162" t="s">
        <v>240</v>
      </c>
      <c r="J128" s="175">
        <v>42353</v>
      </c>
      <c r="K128" s="171" t="s">
        <v>704</v>
      </c>
      <c r="L128" s="187" t="s">
        <v>705</v>
      </c>
      <c r="M128" s="152">
        <v>42635</v>
      </c>
      <c r="N128" s="172">
        <v>0.77260273972602744</v>
      </c>
      <c r="O128" s="149" t="s">
        <v>715</v>
      </c>
      <c r="P128" s="167" t="s">
        <v>808</v>
      </c>
      <c r="Q128" s="166" t="s">
        <v>414</v>
      </c>
      <c r="R128" s="166" t="s">
        <v>684</v>
      </c>
      <c r="S128" s="166">
        <v>9</v>
      </c>
      <c r="T128" s="166"/>
      <c r="U128" s="166">
        <v>2016</v>
      </c>
    </row>
    <row r="129" spans="1:21" x14ac:dyDescent="0.25">
      <c r="A129" s="165">
        <v>128</v>
      </c>
      <c r="B129" s="173">
        <v>3955</v>
      </c>
      <c r="C129" s="174" t="s">
        <v>562</v>
      </c>
      <c r="D129" s="174" t="s">
        <v>84</v>
      </c>
      <c r="E129" s="168">
        <v>11</v>
      </c>
      <c r="F129" s="186" t="s">
        <v>37</v>
      </c>
      <c r="G129" s="170" t="s">
        <v>39</v>
      </c>
      <c r="H129" s="162" t="s">
        <v>402</v>
      </c>
      <c r="I129" s="162" t="s">
        <v>402</v>
      </c>
      <c r="J129" s="175">
        <v>42463</v>
      </c>
      <c r="K129" s="171" t="s">
        <v>704</v>
      </c>
      <c r="L129" s="187" t="s">
        <v>705</v>
      </c>
      <c r="M129" s="152">
        <v>42614</v>
      </c>
      <c r="N129" s="172">
        <v>0.41369863013698632</v>
      </c>
      <c r="O129" s="149" t="s">
        <v>715</v>
      </c>
      <c r="P129" s="167" t="s">
        <v>814</v>
      </c>
      <c r="Q129" s="166" t="s">
        <v>414</v>
      </c>
      <c r="R129" s="166" t="s">
        <v>684</v>
      </c>
      <c r="S129" s="166">
        <v>9</v>
      </c>
      <c r="T129" s="166"/>
      <c r="U129" s="166">
        <v>2016</v>
      </c>
    </row>
    <row r="130" spans="1:21" x14ac:dyDescent="0.25">
      <c r="A130" s="165">
        <v>129</v>
      </c>
      <c r="B130" s="173">
        <v>4013</v>
      </c>
      <c r="C130" s="174" t="s">
        <v>563</v>
      </c>
      <c r="D130" s="174" t="s">
        <v>154</v>
      </c>
      <c r="E130" s="168">
        <v>12</v>
      </c>
      <c r="F130" s="186" t="s">
        <v>37</v>
      </c>
      <c r="G130" s="170" t="s">
        <v>39</v>
      </c>
      <c r="H130" s="162" t="s">
        <v>41</v>
      </c>
      <c r="I130" s="162" t="s">
        <v>252</v>
      </c>
      <c r="J130" s="195">
        <v>42589</v>
      </c>
      <c r="K130" s="171" t="s">
        <v>704</v>
      </c>
      <c r="L130" s="187" t="s">
        <v>705</v>
      </c>
      <c r="M130" s="152">
        <v>42621</v>
      </c>
      <c r="N130" s="172">
        <v>8.7671232876712329E-2</v>
      </c>
      <c r="O130" s="149" t="s">
        <v>715</v>
      </c>
      <c r="P130" s="167" t="s">
        <v>687</v>
      </c>
      <c r="Q130" s="157" t="s">
        <v>416</v>
      </c>
      <c r="R130" s="166" t="s">
        <v>683</v>
      </c>
      <c r="S130" s="166">
        <v>9</v>
      </c>
      <c r="T130" s="166"/>
      <c r="U130" s="166">
        <v>2016</v>
      </c>
    </row>
    <row r="131" spans="1:21" x14ac:dyDescent="0.25">
      <c r="A131" s="165">
        <v>130</v>
      </c>
      <c r="B131" s="173">
        <v>2801</v>
      </c>
      <c r="C131" s="174" t="s">
        <v>564</v>
      </c>
      <c r="D131" s="174" t="s">
        <v>818</v>
      </c>
      <c r="E131" s="168">
        <v>13</v>
      </c>
      <c r="F131" s="186" t="s">
        <v>37</v>
      </c>
      <c r="G131" s="170" t="s">
        <v>39</v>
      </c>
      <c r="H131" s="162" t="s">
        <v>230</v>
      </c>
      <c r="I131" s="162" t="s">
        <v>244</v>
      </c>
      <c r="J131" s="175">
        <v>39600</v>
      </c>
      <c r="K131" s="171" t="s">
        <v>704</v>
      </c>
      <c r="L131" s="187" t="s">
        <v>705</v>
      </c>
      <c r="M131" s="152">
        <v>42634</v>
      </c>
      <c r="N131" s="172">
        <v>8.3123287671232884</v>
      </c>
      <c r="O131" s="149" t="s">
        <v>713</v>
      </c>
      <c r="P131" s="167" t="s">
        <v>808</v>
      </c>
      <c r="Q131" s="157" t="s">
        <v>416</v>
      </c>
      <c r="R131" s="166" t="s">
        <v>684</v>
      </c>
      <c r="S131" s="166">
        <v>9</v>
      </c>
      <c r="T131" s="166"/>
      <c r="U131" s="166">
        <v>2016</v>
      </c>
    </row>
    <row r="132" spans="1:21" x14ac:dyDescent="0.25">
      <c r="A132" s="165">
        <v>131</v>
      </c>
      <c r="B132" s="173">
        <v>3961</v>
      </c>
      <c r="C132" s="174" t="s">
        <v>565</v>
      </c>
      <c r="D132" s="174" t="s">
        <v>710</v>
      </c>
      <c r="E132" s="168">
        <v>11</v>
      </c>
      <c r="F132" s="186" t="s">
        <v>37</v>
      </c>
      <c r="G132" s="170" t="s">
        <v>39</v>
      </c>
      <c r="H132" s="162" t="s">
        <v>262</v>
      </c>
      <c r="I132" s="162" t="s">
        <v>712</v>
      </c>
      <c r="J132" s="175">
        <v>42464</v>
      </c>
      <c r="K132" s="171" t="s">
        <v>704</v>
      </c>
      <c r="L132" s="187" t="s">
        <v>714</v>
      </c>
      <c r="M132" s="152">
        <v>42640</v>
      </c>
      <c r="N132" s="172">
        <v>0.48219178082191783</v>
      </c>
      <c r="O132" s="149" t="s">
        <v>715</v>
      </c>
      <c r="P132" s="167" t="s">
        <v>819</v>
      </c>
      <c r="Q132" s="157" t="s">
        <v>416</v>
      </c>
      <c r="R132" s="166" t="s">
        <v>685</v>
      </c>
      <c r="S132" s="166">
        <v>9</v>
      </c>
      <c r="T132" s="166"/>
      <c r="U132" s="166">
        <v>2016</v>
      </c>
    </row>
    <row r="133" spans="1:21" x14ac:dyDescent="0.25">
      <c r="A133" s="165">
        <v>132</v>
      </c>
      <c r="B133" s="173">
        <v>4006</v>
      </c>
      <c r="C133" s="174" t="s">
        <v>566</v>
      </c>
      <c r="D133" s="174" t="s">
        <v>154</v>
      </c>
      <c r="E133" s="168">
        <v>12</v>
      </c>
      <c r="F133" s="186" t="s">
        <v>37</v>
      </c>
      <c r="G133" s="170" t="s">
        <v>39</v>
      </c>
      <c r="H133" s="162" t="s">
        <v>41</v>
      </c>
      <c r="I133" s="162" t="s">
        <v>234</v>
      </c>
      <c r="J133" s="175">
        <v>42575</v>
      </c>
      <c r="K133" s="171" t="s">
        <v>704</v>
      </c>
      <c r="L133" s="187" t="s">
        <v>705</v>
      </c>
      <c r="M133" s="152">
        <v>42638</v>
      </c>
      <c r="N133" s="172">
        <v>0.17260273972602741</v>
      </c>
      <c r="O133" s="149" t="s">
        <v>715</v>
      </c>
      <c r="P133" s="167" t="s">
        <v>820</v>
      </c>
      <c r="Q133" s="157" t="s">
        <v>416</v>
      </c>
      <c r="R133" s="166" t="s">
        <v>686</v>
      </c>
      <c r="S133" s="166">
        <v>9</v>
      </c>
      <c r="T133" s="166"/>
      <c r="U133" s="166">
        <v>2016</v>
      </c>
    </row>
    <row r="134" spans="1:21" x14ac:dyDescent="0.25">
      <c r="A134" s="165">
        <v>133</v>
      </c>
      <c r="B134" s="173">
        <v>3843</v>
      </c>
      <c r="C134" s="174" t="s">
        <v>567</v>
      </c>
      <c r="D134" s="174" t="s">
        <v>97</v>
      </c>
      <c r="E134" s="168">
        <v>12</v>
      </c>
      <c r="F134" s="186" t="s">
        <v>44</v>
      </c>
      <c r="G134" s="170" t="s">
        <v>731</v>
      </c>
      <c r="H134" s="162" t="s">
        <v>194</v>
      </c>
      <c r="I134" s="162" t="s">
        <v>821</v>
      </c>
      <c r="J134" s="175">
        <v>42218</v>
      </c>
      <c r="K134" s="171" t="s">
        <v>45</v>
      </c>
      <c r="L134" s="187" t="s">
        <v>705</v>
      </c>
      <c r="M134" s="152">
        <v>42641</v>
      </c>
      <c r="N134" s="172">
        <v>1.1589041095890411</v>
      </c>
      <c r="O134" s="149" t="s">
        <v>718</v>
      </c>
      <c r="P134" s="167" t="s">
        <v>813</v>
      </c>
      <c r="Q134" s="157" t="s">
        <v>416</v>
      </c>
      <c r="R134" s="166" t="s">
        <v>684</v>
      </c>
      <c r="S134" s="166">
        <v>9</v>
      </c>
      <c r="T134" s="166"/>
      <c r="U134" s="166">
        <v>2016</v>
      </c>
    </row>
    <row r="135" spans="1:21" x14ac:dyDescent="0.25">
      <c r="A135" s="165">
        <v>134</v>
      </c>
      <c r="B135" s="173">
        <v>4052</v>
      </c>
      <c r="C135" s="174" t="s">
        <v>568</v>
      </c>
      <c r="D135" s="174" t="s">
        <v>84</v>
      </c>
      <c r="E135" s="168">
        <v>11</v>
      </c>
      <c r="F135" s="186" t="s">
        <v>37</v>
      </c>
      <c r="G135" s="170" t="s">
        <v>39</v>
      </c>
      <c r="H135" s="162" t="s">
        <v>230</v>
      </c>
      <c r="I135" s="162" t="s">
        <v>230</v>
      </c>
      <c r="J135" s="175">
        <v>42631</v>
      </c>
      <c r="K135" s="171" t="s">
        <v>704</v>
      </c>
      <c r="L135" s="187" t="s">
        <v>705</v>
      </c>
      <c r="M135" s="152">
        <v>42638</v>
      </c>
      <c r="N135" s="172">
        <v>1.9178082191780823E-2</v>
      </c>
      <c r="O135" s="149" t="s">
        <v>715</v>
      </c>
      <c r="P135" s="167" t="s">
        <v>808</v>
      </c>
      <c r="Q135" s="157" t="s">
        <v>416</v>
      </c>
      <c r="R135" s="166" t="s">
        <v>684</v>
      </c>
      <c r="S135" s="166">
        <v>9</v>
      </c>
      <c r="T135" s="166"/>
      <c r="U135" s="166">
        <v>2016</v>
      </c>
    </row>
    <row r="136" spans="1:21" x14ac:dyDescent="0.25">
      <c r="A136" s="165">
        <v>135</v>
      </c>
      <c r="B136" s="173">
        <v>3850</v>
      </c>
      <c r="C136" s="174" t="s">
        <v>569</v>
      </c>
      <c r="D136" s="174" t="s">
        <v>91</v>
      </c>
      <c r="E136" s="168">
        <v>13</v>
      </c>
      <c r="F136" s="186" t="s">
        <v>37</v>
      </c>
      <c r="G136" s="170" t="s">
        <v>717</v>
      </c>
      <c r="H136" s="162" t="s">
        <v>717</v>
      </c>
      <c r="I136" s="162" t="s">
        <v>208</v>
      </c>
      <c r="J136" s="175">
        <v>42253</v>
      </c>
      <c r="K136" s="171" t="s">
        <v>704</v>
      </c>
      <c r="L136" s="187" t="s">
        <v>705</v>
      </c>
      <c r="M136" s="152">
        <v>42647</v>
      </c>
      <c r="N136" s="172">
        <v>1.0794520547945206</v>
      </c>
      <c r="O136" s="149" t="s">
        <v>718</v>
      </c>
      <c r="P136" s="167" t="s">
        <v>822</v>
      </c>
      <c r="Q136" s="166" t="s">
        <v>414</v>
      </c>
      <c r="R136" s="166" t="s">
        <v>683</v>
      </c>
      <c r="S136" s="166">
        <v>10</v>
      </c>
      <c r="T136" s="166"/>
      <c r="U136" s="166">
        <v>2016</v>
      </c>
    </row>
    <row r="137" spans="1:21" x14ac:dyDescent="0.25">
      <c r="A137" s="165">
        <v>136</v>
      </c>
      <c r="B137" s="173">
        <v>3591</v>
      </c>
      <c r="C137" s="174" t="s">
        <v>570</v>
      </c>
      <c r="D137" s="174" t="s">
        <v>823</v>
      </c>
      <c r="E137" s="168">
        <v>19</v>
      </c>
      <c r="F137" s="186" t="s">
        <v>37</v>
      </c>
      <c r="G137" s="170" t="s">
        <v>753</v>
      </c>
      <c r="H137" s="162" t="s">
        <v>368</v>
      </c>
      <c r="I137" s="162" t="s">
        <v>218</v>
      </c>
      <c r="J137" s="175">
        <v>41569</v>
      </c>
      <c r="K137" s="171" t="s">
        <v>704</v>
      </c>
      <c r="L137" s="187" t="s">
        <v>705</v>
      </c>
      <c r="M137" s="152">
        <v>42643</v>
      </c>
      <c r="N137" s="172">
        <v>2.9424657534246577</v>
      </c>
      <c r="O137" s="149" t="s">
        <v>729</v>
      </c>
      <c r="P137" s="167" t="s">
        <v>824</v>
      </c>
      <c r="Q137" s="157" t="s">
        <v>416</v>
      </c>
      <c r="R137" s="166" t="s">
        <v>685</v>
      </c>
      <c r="S137" s="166">
        <v>10</v>
      </c>
      <c r="T137" s="166"/>
      <c r="U137" s="166">
        <v>2016</v>
      </c>
    </row>
    <row r="138" spans="1:21" x14ac:dyDescent="0.25">
      <c r="A138" s="165">
        <v>137</v>
      </c>
      <c r="B138" s="173">
        <v>3925</v>
      </c>
      <c r="C138" s="174" t="s">
        <v>571</v>
      </c>
      <c r="D138" s="174" t="s">
        <v>84</v>
      </c>
      <c r="E138" s="168">
        <v>11</v>
      </c>
      <c r="F138" s="186" t="s">
        <v>44</v>
      </c>
      <c r="G138" s="170" t="s">
        <v>39</v>
      </c>
      <c r="H138" s="162" t="s">
        <v>230</v>
      </c>
      <c r="I138" s="162" t="s">
        <v>825</v>
      </c>
      <c r="J138" s="175">
        <v>42430</v>
      </c>
      <c r="K138" s="171" t="s">
        <v>45</v>
      </c>
      <c r="L138" s="187" t="s">
        <v>705</v>
      </c>
      <c r="M138" s="152">
        <v>42659</v>
      </c>
      <c r="N138" s="172">
        <v>0.62739726027397258</v>
      </c>
      <c r="O138" s="149" t="s">
        <v>715</v>
      </c>
      <c r="P138" s="167" t="s">
        <v>826</v>
      </c>
      <c r="Q138" s="157" t="s">
        <v>416</v>
      </c>
      <c r="R138" s="166" t="s">
        <v>684</v>
      </c>
      <c r="S138" s="166">
        <v>10</v>
      </c>
      <c r="T138" s="166"/>
      <c r="U138" s="166">
        <v>2016</v>
      </c>
    </row>
    <row r="139" spans="1:21" x14ac:dyDescent="0.25">
      <c r="A139" s="165">
        <v>138</v>
      </c>
      <c r="B139" s="173">
        <v>3433</v>
      </c>
      <c r="C139" s="174" t="s">
        <v>572</v>
      </c>
      <c r="D139" s="174" t="s">
        <v>827</v>
      </c>
      <c r="E139" s="168">
        <v>18</v>
      </c>
      <c r="F139" s="186" t="s">
        <v>37</v>
      </c>
      <c r="G139" s="170" t="s">
        <v>59</v>
      </c>
      <c r="H139" s="162" t="s">
        <v>59</v>
      </c>
      <c r="I139" s="162" t="s">
        <v>176</v>
      </c>
      <c r="J139" s="175">
        <v>41224</v>
      </c>
      <c r="K139" s="171" t="s">
        <v>45</v>
      </c>
      <c r="L139" s="187" t="s">
        <v>705</v>
      </c>
      <c r="M139" s="152">
        <v>42643</v>
      </c>
      <c r="N139" s="172">
        <v>3.8876712328767122</v>
      </c>
      <c r="O139" s="149" t="s">
        <v>706</v>
      </c>
      <c r="P139" s="167" t="s">
        <v>824</v>
      </c>
      <c r="Q139" s="157" t="s">
        <v>416</v>
      </c>
      <c r="R139" s="166" t="s">
        <v>685</v>
      </c>
      <c r="S139" s="166">
        <v>10</v>
      </c>
      <c r="T139" s="166"/>
      <c r="U139" s="166">
        <v>2016</v>
      </c>
    </row>
    <row r="140" spans="1:21" x14ac:dyDescent="0.25">
      <c r="A140" s="165">
        <v>139</v>
      </c>
      <c r="B140" s="173">
        <v>3917</v>
      </c>
      <c r="C140" s="174" t="s">
        <v>573</v>
      </c>
      <c r="D140" s="174" t="s">
        <v>710</v>
      </c>
      <c r="E140" s="168">
        <v>11</v>
      </c>
      <c r="F140" s="186" t="s">
        <v>37</v>
      </c>
      <c r="G140" s="170" t="s">
        <v>39</v>
      </c>
      <c r="H140" s="162" t="s">
        <v>262</v>
      </c>
      <c r="I140" s="162" t="s">
        <v>712</v>
      </c>
      <c r="J140" s="175">
        <v>42401</v>
      </c>
      <c r="K140" s="171" t="s">
        <v>704</v>
      </c>
      <c r="L140" s="187" t="s">
        <v>705</v>
      </c>
      <c r="M140" s="152">
        <v>42648</v>
      </c>
      <c r="N140" s="172">
        <v>0.67671232876712328</v>
      </c>
      <c r="O140" s="149" t="s">
        <v>715</v>
      </c>
      <c r="P140" s="167" t="s">
        <v>828</v>
      </c>
      <c r="Q140" s="157" t="s">
        <v>416</v>
      </c>
      <c r="R140" s="166" t="s">
        <v>684</v>
      </c>
      <c r="S140" s="166">
        <v>10</v>
      </c>
      <c r="T140" s="166"/>
      <c r="U140" s="166">
        <v>2016</v>
      </c>
    </row>
    <row r="141" spans="1:21" x14ac:dyDescent="0.25">
      <c r="A141" s="165">
        <v>140</v>
      </c>
      <c r="B141" s="173">
        <v>3733</v>
      </c>
      <c r="C141" s="174" t="s">
        <v>574</v>
      </c>
      <c r="D141" s="174" t="s">
        <v>153</v>
      </c>
      <c r="E141" s="168">
        <v>16</v>
      </c>
      <c r="F141" s="186" t="s">
        <v>37</v>
      </c>
      <c r="G141" s="170" t="s">
        <v>39</v>
      </c>
      <c r="H141" s="162" t="s">
        <v>41</v>
      </c>
      <c r="I141" s="162" t="s">
        <v>829</v>
      </c>
      <c r="J141" s="175">
        <v>41913</v>
      </c>
      <c r="K141" s="171" t="s">
        <v>704</v>
      </c>
      <c r="L141" s="187" t="s">
        <v>705</v>
      </c>
      <c r="M141" s="152">
        <v>42663</v>
      </c>
      <c r="N141" s="172">
        <v>2.0547945205479454</v>
      </c>
      <c r="O141" s="149" t="s">
        <v>729</v>
      </c>
      <c r="P141" s="167" t="s">
        <v>830</v>
      </c>
      <c r="Q141" s="166" t="s">
        <v>414</v>
      </c>
      <c r="R141" s="166" t="s">
        <v>687</v>
      </c>
      <c r="S141" s="166">
        <v>10</v>
      </c>
      <c r="T141" s="166"/>
      <c r="U141" s="166">
        <v>2016</v>
      </c>
    </row>
    <row r="142" spans="1:21" x14ac:dyDescent="0.25">
      <c r="A142" s="165">
        <v>141</v>
      </c>
      <c r="B142" s="173">
        <v>3724</v>
      </c>
      <c r="C142" s="174" t="s">
        <v>575</v>
      </c>
      <c r="D142" s="174" t="s">
        <v>86</v>
      </c>
      <c r="E142" s="168">
        <v>11</v>
      </c>
      <c r="F142" s="186" t="s">
        <v>37</v>
      </c>
      <c r="G142" s="170" t="s">
        <v>39</v>
      </c>
      <c r="H142" s="162" t="s">
        <v>230</v>
      </c>
      <c r="I142" s="162" t="s">
        <v>249</v>
      </c>
      <c r="J142" s="175">
        <v>41898</v>
      </c>
      <c r="K142" s="171" t="s">
        <v>704</v>
      </c>
      <c r="L142" s="187" t="s">
        <v>705</v>
      </c>
      <c r="M142" s="152">
        <v>42674</v>
      </c>
      <c r="N142" s="172">
        <v>2.1260273972602741</v>
      </c>
      <c r="O142" s="149" t="s">
        <v>729</v>
      </c>
      <c r="P142" s="167" t="s">
        <v>831</v>
      </c>
      <c r="Q142" s="157" t="s">
        <v>416</v>
      </c>
      <c r="R142" s="166" t="s">
        <v>684</v>
      </c>
      <c r="S142" s="166">
        <v>10</v>
      </c>
      <c r="T142" s="166"/>
      <c r="U142" s="166">
        <v>2016</v>
      </c>
    </row>
    <row r="143" spans="1:21" x14ac:dyDescent="0.25">
      <c r="A143" s="165">
        <v>142</v>
      </c>
      <c r="B143" s="173">
        <v>1229</v>
      </c>
      <c r="C143" s="174" t="s">
        <v>576</v>
      </c>
      <c r="D143" s="174" t="s">
        <v>97</v>
      </c>
      <c r="E143" s="168">
        <v>11</v>
      </c>
      <c r="F143" s="186" t="s">
        <v>44</v>
      </c>
      <c r="G143" s="170" t="s">
        <v>753</v>
      </c>
      <c r="H143" s="162" t="s">
        <v>368</v>
      </c>
      <c r="I143" s="162" t="s">
        <v>218</v>
      </c>
      <c r="J143" s="175">
        <v>33824</v>
      </c>
      <c r="K143" s="171" t="s">
        <v>45</v>
      </c>
      <c r="L143" s="187" t="s">
        <v>832</v>
      </c>
      <c r="M143" s="152">
        <v>42656</v>
      </c>
      <c r="N143" s="172">
        <v>24.197260273972603</v>
      </c>
      <c r="O143" s="149" t="s">
        <v>709</v>
      </c>
      <c r="P143" s="167" t="s">
        <v>833</v>
      </c>
      <c r="Q143" s="157" t="s">
        <v>416</v>
      </c>
      <c r="R143" s="166" t="s">
        <v>684</v>
      </c>
      <c r="S143" s="166">
        <v>10</v>
      </c>
      <c r="T143" s="166"/>
      <c r="U143" s="166">
        <v>2016</v>
      </c>
    </row>
    <row r="144" spans="1:21" x14ac:dyDescent="0.25">
      <c r="A144" s="165">
        <v>143</v>
      </c>
      <c r="B144" s="173">
        <v>3239</v>
      </c>
      <c r="C144" s="174" t="s">
        <v>577</v>
      </c>
      <c r="D144" s="174" t="s">
        <v>80</v>
      </c>
      <c r="E144" s="168">
        <v>13</v>
      </c>
      <c r="F144" s="186" t="s">
        <v>37</v>
      </c>
      <c r="G144" s="170" t="s">
        <v>59</v>
      </c>
      <c r="H144" s="162" t="s">
        <v>59</v>
      </c>
      <c r="I144" s="162" t="s">
        <v>168</v>
      </c>
      <c r="J144" s="175">
        <v>40720</v>
      </c>
      <c r="K144" s="171" t="s">
        <v>704</v>
      </c>
      <c r="L144" s="187" t="s">
        <v>705</v>
      </c>
      <c r="M144" s="152">
        <v>42667</v>
      </c>
      <c r="N144" s="172">
        <v>5.3342465753424655</v>
      </c>
      <c r="O144" s="149" t="s">
        <v>728</v>
      </c>
      <c r="P144" s="167" t="s">
        <v>814</v>
      </c>
      <c r="Q144" s="157" t="s">
        <v>416</v>
      </c>
      <c r="R144" s="166" t="s">
        <v>684</v>
      </c>
      <c r="S144" s="166">
        <v>10</v>
      </c>
      <c r="T144" s="166"/>
      <c r="U144" s="166">
        <v>2016</v>
      </c>
    </row>
    <row r="145" spans="1:21" x14ac:dyDescent="0.25">
      <c r="A145" s="165">
        <v>144</v>
      </c>
      <c r="B145" s="173">
        <v>4042</v>
      </c>
      <c r="C145" s="174" t="s">
        <v>578</v>
      </c>
      <c r="D145" s="174" t="s">
        <v>84</v>
      </c>
      <c r="E145" s="168">
        <v>0</v>
      </c>
      <c r="F145" s="186" t="s">
        <v>37</v>
      </c>
      <c r="G145" s="170" t="s">
        <v>39</v>
      </c>
      <c r="H145" s="162" t="s">
        <v>230</v>
      </c>
      <c r="I145" s="162" t="s">
        <v>244</v>
      </c>
      <c r="J145" s="175">
        <v>42631</v>
      </c>
      <c r="K145" s="171" t="s">
        <v>704</v>
      </c>
      <c r="L145" s="187" t="s">
        <v>714</v>
      </c>
      <c r="M145" s="152">
        <v>42667</v>
      </c>
      <c r="N145" s="172">
        <v>9.8630136986301367E-2</v>
      </c>
      <c r="O145" s="149" t="s">
        <v>715</v>
      </c>
      <c r="P145" s="167" t="s">
        <v>834</v>
      </c>
      <c r="Q145" s="157" t="s">
        <v>416</v>
      </c>
      <c r="R145" s="166" t="s">
        <v>685</v>
      </c>
      <c r="S145" s="166">
        <v>10</v>
      </c>
      <c r="T145" s="166"/>
      <c r="U145" s="166">
        <v>2016</v>
      </c>
    </row>
    <row r="146" spans="1:21" x14ac:dyDescent="0.25">
      <c r="A146" s="165">
        <v>145</v>
      </c>
      <c r="B146" s="173">
        <v>2572</v>
      </c>
      <c r="C146" s="174" t="s">
        <v>579</v>
      </c>
      <c r="D146" s="174" t="s">
        <v>724</v>
      </c>
      <c r="E146" s="168">
        <v>17</v>
      </c>
      <c r="F146" s="186" t="s">
        <v>37</v>
      </c>
      <c r="G146" s="170" t="s">
        <v>39</v>
      </c>
      <c r="H146" s="162" t="s">
        <v>41</v>
      </c>
      <c r="I146" s="162" t="s">
        <v>232</v>
      </c>
      <c r="J146" s="175">
        <v>39054</v>
      </c>
      <c r="K146" s="171" t="s">
        <v>45</v>
      </c>
      <c r="L146" s="187" t="s">
        <v>714</v>
      </c>
      <c r="M146" s="152">
        <v>42647</v>
      </c>
      <c r="N146" s="172">
        <v>9.8438356164383567</v>
      </c>
      <c r="O146" s="149" t="s">
        <v>713</v>
      </c>
      <c r="P146" s="167" t="s">
        <v>835</v>
      </c>
      <c r="Q146" s="157" t="s">
        <v>416</v>
      </c>
      <c r="R146" s="166" t="s">
        <v>685</v>
      </c>
      <c r="S146" s="166">
        <v>10</v>
      </c>
      <c r="T146" s="166"/>
      <c r="U146" s="166">
        <v>2016</v>
      </c>
    </row>
    <row r="147" spans="1:21" x14ac:dyDescent="0.25">
      <c r="A147" s="165">
        <v>146</v>
      </c>
      <c r="B147" s="173">
        <v>3990</v>
      </c>
      <c r="C147" s="174" t="s">
        <v>580</v>
      </c>
      <c r="D147" s="174" t="s">
        <v>836</v>
      </c>
      <c r="E147" s="168">
        <v>18</v>
      </c>
      <c r="F147" s="186" t="s">
        <v>37</v>
      </c>
      <c r="G147" s="170" t="s">
        <v>58</v>
      </c>
      <c r="H147" s="162" t="s">
        <v>837</v>
      </c>
      <c r="I147" s="162" t="s">
        <v>712</v>
      </c>
      <c r="J147" s="175">
        <v>42505</v>
      </c>
      <c r="K147" s="171" t="s">
        <v>45</v>
      </c>
      <c r="L147" s="187" t="s">
        <v>714</v>
      </c>
      <c r="M147" s="152">
        <v>42670</v>
      </c>
      <c r="N147" s="172">
        <v>0.45205479452054792</v>
      </c>
      <c r="O147" s="149" t="s">
        <v>715</v>
      </c>
      <c r="P147" s="167" t="s">
        <v>838</v>
      </c>
      <c r="Q147" s="157" t="s">
        <v>416</v>
      </c>
      <c r="R147" s="166" t="s">
        <v>685</v>
      </c>
      <c r="S147" s="166">
        <v>10</v>
      </c>
      <c r="T147" s="166"/>
      <c r="U147" s="166">
        <v>2016</v>
      </c>
    </row>
    <row r="148" spans="1:21" x14ac:dyDescent="0.25">
      <c r="A148" s="165">
        <v>147</v>
      </c>
      <c r="B148" s="173">
        <v>565</v>
      </c>
      <c r="C148" s="174" t="s">
        <v>581</v>
      </c>
      <c r="D148" s="174" t="s">
        <v>839</v>
      </c>
      <c r="E148" s="168">
        <v>16</v>
      </c>
      <c r="F148" s="186" t="s">
        <v>37</v>
      </c>
      <c r="G148" s="170" t="s">
        <v>717</v>
      </c>
      <c r="H148" s="162" t="s">
        <v>840</v>
      </c>
      <c r="I148" s="162" t="s">
        <v>840</v>
      </c>
      <c r="J148" s="175">
        <v>33418</v>
      </c>
      <c r="K148" s="171" t="s">
        <v>45</v>
      </c>
      <c r="L148" s="187" t="s">
        <v>705</v>
      </c>
      <c r="M148" s="152">
        <v>42643</v>
      </c>
      <c r="N148" s="172">
        <v>25.273972602739725</v>
      </c>
      <c r="O148" s="149" t="s">
        <v>709</v>
      </c>
      <c r="P148" s="167" t="s">
        <v>824</v>
      </c>
      <c r="Q148" s="157" t="s">
        <v>416</v>
      </c>
      <c r="R148" s="166" t="s">
        <v>685</v>
      </c>
      <c r="S148" s="166">
        <v>10</v>
      </c>
      <c r="T148" s="166"/>
      <c r="U148" s="166">
        <v>2016</v>
      </c>
    </row>
    <row r="149" spans="1:21" x14ac:dyDescent="0.25">
      <c r="A149" s="165">
        <v>148</v>
      </c>
      <c r="B149" s="173">
        <v>3790</v>
      </c>
      <c r="C149" s="174" t="s">
        <v>582</v>
      </c>
      <c r="D149" s="174" t="s">
        <v>841</v>
      </c>
      <c r="E149" s="168">
        <v>18</v>
      </c>
      <c r="F149" s="186" t="s">
        <v>37</v>
      </c>
      <c r="G149" s="170" t="s">
        <v>717</v>
      </c>
      <c r="H149" s="162" t="s">
        <v>840</v>
      </c>
      <c r="I149" s="162" t="s">
        <v>733</v>
      </c>
      <c r="J149" s="175">
        <v>42064</v>
      </c>
      <c r="K149" s="171" t="s">
        <v>45</v>
      </c>
      <c r="L149" s="187" t="s">
        <v>705</v>
      </c>
      <c r="M149" s="152">
        <v>42704</v>
      </c>
      <c r="N149" s="172">
        <v>1.7534246575342465</v>
      </c>
      <c r="O149" s="149" t="s">
        <v>718</v>
      </c>
      <c r="P149" s="167" t="s">
        <v>842</v>
      </c>
      <c r="Q149" s="166" t="s">
        <v>414</v>
      </c>
      <c r="R149" s="166" t="s">
        <v>684</v>
      </c>
      <c r="S149" s="166">
        <v>11</v>
      </c>
      <c r="T149" s="166"/>
      <c r="U149" s="166">
        <v>2016</v>
      </c>
    </row>
    <row r="150" spans="1:21" x14ac:dyDescent="0.25">
      <c r="A150" s="165">
        <v>149</v>
      </c>
      <c r="B150" s="173">
        <v>3311</v>
      </c>
      <c r="C150" s="174" t="s">
        <v>583</v>
      </c>
      <c r="D150" s="174" t="s">
        <v>843</v>
      </c>
      <c r="E150" s="168">
        <v>13</v>
      </c>
      <c r="F150" s="186" t="s">
        <v>37</v>
      </c>
      <c r="G150" s="170" t="s">
        <v>39</v>
      </c>
      <c r="H150" s="162" t="s">
        <v>785</v>
      </c>
      <c r="I150" s="162" t="s">
        <v>225</v>
      </c>
      <c r="J150" s="175">
        <v>40867</v>
      </c>
      <c r="K150" s="171" t="s">
        <v>704</v>
      </c>
      <c r="L150" s="187" t="s">
        <v>705</v>
      </c>
      <c r="M150" s="152">
        <v>42702</v>
      </c>
      <c r="N150" s="172">
        <v>5.0273972602739727</v>
      </c>
      <c r="O150" s="149" t="s">
        <v>728</v>
      </c>
      <c r="P150" s="167" t="s">
        <v>844</v>
      </c>
      <c r="Q150" s="157" t="s">
        <v>416</v>
      </c>
      <c r="R150" s="166" t="s">
        <v>684</v>
      </c>
      <c r="S150" s="166">
        <v>11</v>
      </c>
      <c r="T150" s="166"/>
      <c r="U150" s="166">
        <v>2016</v>
      </c>
    </row>
    <row r="151" spans="1:21" x14ac:dyDescent="0.25">
      <c r="A151" s="165">
        <v>150</v>
      </c>
      <c r="B151" s="173">
        <v>2814</v>
      </c>
      <c r="C151" s="174" t="s">
        <v>584</v>
      </c>
      <c r="D151" s="174" t="s">
        <v>91</v>
      </c>
      <c r="E151" s="168">
        <v>14</v>
      </c>
      <c r="F151" s="186" t="s">
        <v>37</v>
      </c>
      <c r="G151" s="196" t="s">
        <v>59</v>
      </c>
      <c r="H151" s="196" t="s">
        <v>845</v>
      </c>
      <c r="I151" s="196" t="s">
        <v>790</v>
      </c>
      <c r="J151" s="175">
        <v>39614</v>
      </c>
      <c r="K151" s="171" t="s">
        <v>704</v>
      </c>
      <c r="L151" s="187" t="s">
        <v>714</v>
      </c>
      <c r="M151" s="152">
        <v>42684</v>
      </c>
      <c r="N151" s="172">
        <v>8.4109589041095898</v>
      </c>
      <c r="O151" s="149" t="s">
        <v>713</v>
      </c>
      <c r="P151" s="167" t="s">
        <v>743</v>
      </c>
      <c r="Q151" s="157" t="s">
        <v>416</v>
      </c>
      <c r="R151" s="166" t="s">
        <v>685</v>
      </c>
      <c r="S151" s="166">
        <v>11</v>
      </c>
      <c r="T151" s="166"/>
      <c r="U151" s="166">
        <v>2016</v>
      </c>
    </row>
    <row r="152" spans="1:21" x14ac:dyDescent="0.25">
      <c r="A152" s="165">
        <v>151</v>
      </c>
      <c r="B152" s="173">
        <v>2657</v>
      </c>
      <c r="C152" s="174" t="s">
        <v>585</v>
      </c>
      <c r="D152" s="174" t="s">
        <v>846</v>
      </c>
      <c r="E152" s="168">
        <v>16</v>
      </c>
      <c r="F152" s="186" t="s">
        <v>37</v>
      </c>
      <c r="G152" s="170" t="s">
        <v>847</v>
      </c>
      <c r="H152" s="162" t="s">
        <v>848</v>
      </c>
      <c r="I152" s="162" t="s">
        <v>849</v>
      </c>
      <c r="J152" s="175">
        <v>39187</v>
      </c>
      <c r="K152" s="171" t="s">
        <v>45</v>
      </c>
      <c r="L152" s="187" t="s">
        <v>705</v>
      </c>
      <c r="M152" s="152">
        <v>42704</v>
      </c>
      <c r="N152" s="172">
        <v>9.6356164383561644</v>
      </c>
      <c r="O152" s="149" t="s">
        <v>713</v>
      </c>
      <c r="P152" s="167" t="s">
        <v>850</v>
      </c>
      <c r="Q152" s="166" t="s">
        <v>414</v>
      </c>
      <c r="R152" s="166" t="s">
        <v>687</v>
      </c>
      <c r="S152" s="166">
        <v>11</v>
      </c>
      <c r="T152" s="166"/>
      <c r="U152" s="166">
        <v>2016</v>
      </c>
    </row>
    <row r="153" spans="1:21" x14ac:dyDescent="0.25">
      <c r="A153" s="165">
        <v>152</v>
      </c>
      <c r="B153" s="173">
        <v>4057</v>
      </c>
      <c r="C153" s="174" t="s">
        <v>586</v>
      </c>
      <c r="D153" s="174" t="s">
        <v>851</v>
      </c>
      <c r="E153" s="168">
        <v>11</v>
      </c>
      <c r="F153" s="186" t="s">
        <v>37</v>
      </c>
      <c r="G153" s="170" t="s">
        <v>753</v>
      </c>
      <c r="H153" s="162" t="s">
        <v>61</v>
      </c>
      <c r="I153" s="162" t="s">
        <v>219</v>
      </c>
      <c r="J153" s="175">
        <v>42646</v>
      </c>
      <c r="K153" s="171" t="s">
        <v>704</v>
      </c>
      <c r="L153" s="187" t="s">
        <v>705</v>
      </c>
      <c r="M153" s="152">
        <v>42687</v>
      </c>
      <c r="N153" s="172">
        <v>0.11232876712328767</v>
      </c>
      <c r="O153" s="149" t="s">
        <v>715</v>
      </c>
      <c r="P153" s="167" t="s">
        <v>852</v>
      </c>
      <c r="Q153" s="157" t="s">
        <v>416</v>
      </c>
      <c r="R153" s="166" t="s">
        <v>684</v>
      </c>
      <c r="S153" s="166">
        <v>11</v>
      </c>
      <c r="T153" s="166"/>
      <c r="U153" s="166">
        <v>2016</v>
      </c>
    </row>
    <row r="154" spans="1:21" x14ac:dyDescent="0.25">
      <c r="A154" s="165">
        <v>153</v>
      </c>
      <c r="B154" s="173">
        <v>3377</v>
      </c>
      <c r="C154" s="174" t="s">
        <v>587</v>
      </c>
      <c r="D154" s="174" t="s">
        <v>94</v>
      </c>
      <c r="E154" s="168">
        <v>15</v>
      </c>
      <c r="F154" s="186" t="s">
        <v>37</v>
      </c>
      <c r="G154" s="170" t="s">
        <v>59</v>
      </c>
      <c r="H154" s="162" t="s">
        <v>176</v>
      </c>
      <c r="I154" s="162" t="s">
        <v>176</v>
      </c>
      <c r="J154" s="175">
        <v>41091</v>
      </c>
      <c r="K154" s="171" t="s">
        <v>704</v>
      </c>
      <c r="L154" s="187" t="s">
        <v>705</v>
      </c>
      <c r="M154" s="152">
        <v>42698</v>
      </c>
      <c r="N154" s="172">
        <v>4.4027397260273968</v>
      </c>
      <c r="O154" s="149" t="s">
        <v>706</v>
      </c>
      <c r="P154" s="167" t="s">
        <v>853</v>
      </c>
      <c r="Q154" s="157" t="s">
        <v>416</v>
      </c>
      <c r="R154" s="166" t="s">
        <v>687</v>
      </c>
      <c r="S154" s="166">
        <v>11</v>
      </c>
      <c r="T154" s="166"/>
      <c r="U154" s="166">
        <v>2016</v>
      </c>
    </row>
    <row r="155" spans="1:21" x14ac:dyDescent="0.25">
      <c r="A155" s="165">
        <v>154</v>
      </c>
      <c r="B155" s="173">
        <v>4049</v>
      </c>
      <c r="C155" s="174" t="s">
        <v>588</v>
      </c>
      <c r="D155" s="174" t="s">
        <v>84</v>
      </c>
      <c r="E155" s="168">
        <v>11</v>
      </c>
      <c r="F155" s="186" t="s">
        <v>37</v>
      </c>
      <c r="G155" s="170" t="s">
        <v>39</v>
      </c>
      <c r="H155" s="162" t="s">
        <v>230</v>
      </c>
      <c r="I155" s="162" t="s">
        <v>402</v>
      </c>
      <c r="J155" s="175">
        <v>42631</v>
      </c>
      <c r="K155" s="171" t="s">
        <v>704</v>
      </c>
      <c r="L155" s="187" t="s">
        <v>705</v>
      </c>
      <c r="M155" s="152">
        <v>42676</v>
      </c>
      <c r="N155" s="172">
        <v>0.12328767123287671</v>
      </c>
      <c r="O155" s="149" t="s">
        <v>715</v>
      </c>
      <c r="P155" s="167" t="s">
        <v>854</v>
      </c>
      <c r="Q155" s="157" t="s">
        <v>416</v>
      </c>
      <c r="R155" s="166" t="s">
        <v>684</v>
      </c>
      <c r="S155" s="166">
        <v>11</v>
      </c>
      <c r="T155" s="166"/>
      <c r="U155" s="166">
        <v>2016</v>
      </c>
    </row>
    <row r="156" spans="1:21" x14ac:dyDescent="0.25">
      <c r="A156" s="165">
        <v>155</v>
      </c>
      <c r="B156" s="173">
        <v>3496</v>
      </c>
      <c r="C156" s="174" t="s">
        <v>589</v>
      </c>
      <c r="D156" s="174" t="s">
        <v>80</v>
      </c>
      <c r="E156" s="168">
        <v>12</v>
      </c>
      <c r="F156" s="186" t="s">
        <v>37</v>
      </c>
      <c r="G156" s="170" t="s">
        <v>39</v>
      </c>
      <c r="H156" s="162" t="s">
        <v>230</v>
      </c>
      <c r="I156" s="162" t="s">
        <v>233</v>
      </c>
      <c r="J156" s="175">
        <v>41365</v>
      </c>
      <c r="K156" s="171" t="s">
        <v>704</v>
      </c>
      <c r="L156" s="187" t="s">
        <v>705</v>
      </c>
      <c r="M156" s="152">
        <v>42680</v>
      </c>
      <c r="N156" s="172">
        <v>3.6027397260273974</v>
      </c>
      <c r="O156" s="149" t="s">
        <v>706</v>
      </c>
      <c r="P156" s="167" t="s">
        <v>855</v>
      </c>
      <c r="Q156" s="166" t="s">
        <v>414</v>
      </c>
      <c r="R156" s="166" t="s">
        <v>687</v>
      </c>
      <c r="S156" s="166">
        <v>11</v>
      </c>
      <c r="T156" s="166"/>
      <c r="U156" s="166">
        <v>2016</v>
      </c>
    </row>
    <row r="157" spans="1:21" x14ac:dyDescent="0.25">
      <c r="A157" s="165">
        <v>156</v>
      </c>
      <c r="B157" s="173">
        <v>3896</v>
      </c>
      <c r="C157" s="174" t="s">
        <v>590</v>
      </c>
      <c r="D157" s="174" t="s">
        <v>84</v>
      </c>
      <c r="E157" s="168">
        <v>11</v>
      </c>
      <c r="F157" s="186" t="s">
        <v>37</v>
      </c>
      <c r="G157" s="170" t="s">
        <v>39</v>
      </c>
      <c r="H157" s="162" t="s">
        <v>230</v>
      </c>
      <c r="I157" s="162" t="s">
        <v>231</v>
      </c>
      <c r="J157" s="175">
        <v>42339</v>
      </c>
      <c r="K157" s="171" t="s">
        <v>704</v>
      </c>
      <c r="L157" s="187" t="s">
        <v>705</v>
      </c>
      <c r="M157" s="152">
        <v>42704</v>
      </c>
      <c r="N157" s="172">
        <v>1</v>
      </c>
      <c r="O157" s="149" t="s">
        <v>718</v>
      </c>
      <c r="P157" s="167" t="s">
        <v>814</v>
      </c>
      <c r="Q157" s="157" t="s">
        <v>416</v>
      </c>
      <c r="R157" s="166" t="s">
        <v>684</v>
      </c>
      <c r="S157" s="166">
        <v>11</v>
      </c>
      <c r="T157" s="166"/>
      <c r="U157" s="166">
        <v>2016</v>
      </c>
    </row>
    <row r="158" spans="1:21" x14ac:dyDescent="0.25">
      <c r="A158" s="165">
        <v>157</v>
      </c>
      <c r="B158" s="173">
        <v>2702</v>
      </c>
      <c r="C158" s="174" t="s">
        <v>591</v>
      </c>
      <c r="D158" s="174" t="s">
        <v>856</v>
      </c>
      <c r="E158" s="168">
        <v>17</v>
      </c>
      <c r="F158" s="186" t="s">
        <v>37</v>
      </c>
      <c r="G158" s="170" t="s">
        <v>39</v>
      </c>
      <c r="H158" s="162" t="s">
        <v>785</v>
      </c>
      <c r="I158" s="162" t="s">
        <v>225</v>
      </c>
      <c r="J158" s="175">
        <v>39218</v>
      </c>
      <c r="K158" s="171" t="s">
        <v>704</v>
      </c>
      <c r="L158" s="187" t="s">
        <v>705</v>
      </c>
      <c r="M158" s="152">
        <v>42697</v>
      </c>
      <c r="N158" s="172">
        <v>9.5315068493150683</v>
      </c>
      <c r="O158" s="149" t="s">
        <v>713</v>
      </c>
      <c r="P158" s="167" t="s">
        <v>824</v>
      </c>
      <c r="Q158" s="157" t="s">
        <v>416</v>
      </c>
      <c r="R158" s="166" t="s">
        <v>685</v>
      </c>
      <c r="S158" s="166">
        <v>11</v>
      </c>
      <c r="T158" s="166"/>
      <c r="U158" s="166">
        <v>2016</v>
      </c>
    </row>
    <row r="159" spans="1:21" x14ac:dyDescent="0.25">
      <c r="A159" s="165">
        <v>158</v>
      </c>
      <c r="B159" s="173">
        <v>3915</v>
      </c>
      <c r="C159" s="174" t="s">
        <v>592</v>
      </c>
      <c r="D159" s="174" t="s">
        <v>710</v>
      </c>
      <c r="E159" s="168">
        <v>12</v>
      </c>
      <c r="F159" s="186" t="s">
        <v>37</v>
      </c>
      <c r="G159" s="170" t="s">
        <v>39</v>
      </c>
      <c r="H159" s="162" t="s">
        <v>794</v>
      </c>
      <c r="I159" s="162" t="s">
        <v>712</v>
      </c>
      <c r="J159" s="197">
        <v>42386</v>
      </c>
      <c r="K159" s="171" t="s">
        <v>704</v>
      </c>
      <c r="L159" s="187" t="s">
        <v>705</v>
      </c>
      <c r="M159" s="152">
        <v>42705</v>
      </c>
      <c r="N159" s="172">
        <v>0.88</v>
      </c>
      <c r="O159" s="149" t="s">
        <v>715</v>
      </c>
      <c r="P159" s="167" t="s">
        <v>752</v>
      </c>
      <c r="Q159" s="157" t="s">
        <v>416</v>
      </c>
      <c r="R159" s="167" t="s">
        <v>683</v>
      </c>
      <c r="S159" s="166">
        <v>12</v>
      </c>
      <c r="T159" s="167" t="s">
        <v>922</v>
      </c>
      <c r="U159" s="166">
        <v>2016</v>
      </c>
    </row>
    <row r="160" spans="1:21" x14ac:dyDescent="0.25">
      <c r="A160" s="165">
        <v>159</v>
      </c>
      <c r="B160" s="173">
        <v>3506</v>
      </c>
      <c r="C160" s="174" t="s">
        <v>593</v>
      </c>
      <c r="D160" s="174" t="s">
        <v>2</v>
      </c>
      <c r="E160" s="168">
        <v>13</v>
      </c>
      <c r="F160" s="186" t="s">
        <v>37</v>
      </c>
      <c r="G160" s="170" t="s">
        <v>39</v>
      </c>
      <c r="H160" s="162" t="s">
        <v>41</v>
      </c>
      <c r="I160" s="162" t="s">
        <v>232</v>
      </c>
      <c r="J160" s="197">
        <v>41365</v>
      </c>
      <c r="K160" s="171" t="s">
        <v>704</v>
      </c>
      <c r="L160" s="187" t="s">
        <v>705</v>
      </c>
      <c r="M160" s="152">
        <v>42705</v>
      </c>
      <c r="N160" s="172">
        <v>3.67</v>
      </c>
      <c r="O160" s="149" t="s">
        <v>729</v>
      </c>
      <c r="P160" s="167" t="s">
        <v>734</v>
      </c>
      <c r="Q160" s="166" t="s">
        <v>414</v>
      </c>
      <c r="R160" s="167" t="s">
        <v>684</v>
      </c>
      <c r="S160" s="166">
        <v>12</v>
      </c>
      <c r="T160" s="167" t="s">
        <v>922</v>
      </c>
      <c r="U160" s="166">
        <v>2016</v>
      </c>
    </row>
    <row r="161" spans="1:21" x14ac:dyDescent="0.25">
      <c r="A161" s="165">
        <v>160</v>
      </c>
      <c r="B161" s="173">
        <v>3993</v>
      </c>
      <c r="C161" s="174" t="s">
        <v>594</v>
      </c>
      <c r="D161" s="174" t="s">
        <v>857</v>
      </c>
      <c r="E161" s="168">
        <v>17</v>
      </c>
      <c r="F161" s="186" t="s">
        <v>37</v>
      </c>
      <c r="G161" s="170" t="s">
        <v>57</v>
      </c>
      <c r="H161" s="162" t="s">
        <v>57</v>
      </c>
      <c r="I161" s="162" t="s">
        <v>223</v>
      </c>
      <c r="J161" s="197">
        <v>42548</v>
      </c>
      <c r="K161" s="171" t="s">
        <v>704</v>
      </c>
      <c r="L161" s="187" t="s">
        <v>705</v>
      </c>
      <c r="M161" s="152">
        <v>42708</v>
      </c>
      <c r="N161" s="172">
        <v>0.44</v>
      </c>
      <c r="O161" s="149" t="s">
        <v>715</v>
      </c>
      <c r="P161" s="167" t="s">
        <v>808</v>
      </c>
      <c r="Q161" s="157" t="s">
        <v>416</v>
      </c>
      <c r="R161" s="167" t="s">
        <v>684</v>
      </c>
      <c r="S161" s="166">
        <v>12</v>
      </c>
      <c r="T161" s="167" t="s">
        <v>923</v>
      </c>
      <c r="U161" s="166">
        <v>2016</v>
      </c>
    </row>
    <row r="162" spans="1:21" x14ac:dyDescent="0.25">
      <c r="A162" s="165">
        <v>161</v>
      </c>
      <c r="B162" s="173">
        <v>3476</v>
      </c>
      <c r="C162" s="174" t="s">
        <v>595</v>
      </c>
      <c r="D162" s="174" t="s">
        <v>109</v>
      </c>
      <c r="E162" s="168">
        <v>14</v>
      </c>
      <c r="F162" s="186" t="s">
        <v>37</v>
      </c>
      <c r="G162" s="170" t="s">
        <v>56</v>
      </c>
      <c r="H162" s="162" t="s">
        <v>56</v>
      </c>
      <c r="I162" s="162" t="s">
        <v>191</v>
      </c>
      <c r="J162" s="197">
        <v>41322</v>
      </c>
      <c r="K162" s="171" t="s">
        <v>704</v>
      </c>
      <c r="L162" s="187" t="s">
        <v>705</v>
      </c>
      <c r="M162" s="152">
        <v>42714</v>
      </c>
      <c r="N162" s="172">
        <v>3.81</v>
      </c>
      <c r="O162" s="149" t="s">
        <v>729</v>
      </c>
      <c r="P162" s="167" t="s">
        <v>808</v>
      </c>
      <c r="Q162" s="166" t="s">
        <v>414</v>
      </c>
      <c r="R162" s="167" t="s">
        <v>684</v>
      </c>
      <c r="S162" s="166">
        <v>12</v>
      </c>
      <c r="T162" s="167" t="s">
        <v>922</v>
      </c>
      <c r="U162" s="166">
        <v>2016</v>
      </c>
    </row>
    <row r="163" spans="1:21" x14ac:dyDescent="0.25">
      <c r="A163" s="165">
        <v>162</v>
      </c>
      <c r="B163" s="173">
        <v>3799</v>
      </c>
      <c r="C163" s="174" t="s">
        <v>596</v>
      </c>
      <c r="D163" s="174" t="s">
        <v>111</v>
      </c>
      <c r="E163" s="168">
        <v>11</v>
      </c>
      <c r="F163" s="186" t="s">
        <v>37</v>
      </c>
      <c r="G163" s="170" t="s">
        <v>56</v>
      </c>
      <c r="H163" s="162" t="s">
        <v>56</v>
      </c>
      <c r="I163" s="162" t="s">
        <v>191</v>
      </c>
      <c r="J163" s="197">
        <v>42109</v>
      </c>
      <c r="K163" s="171" t="s">
        <v>704</v>
      </c>
      <c r="L163" s="187" t="s">
        <v>705</v>
      </c>
      <c r="M163" s="152">
        <v>42714</v>
      </c>
      <c r="N163" s="172">
        <v>1.66</v>
      </c>
      <c r="O163" s="149" t="s">
        <v>718</v>
      </c>
      <c r="P163" s="167" t="s">
        <v>734</v>
      </c>
      <c r="Q163" s="157" t="s">
        <v>416</v>
      </c>
      <c r="R163" s="167" t="s">
        <v>684</v>
      </c>
      <c r="S163" s="166">
        <v>12</v>
      </c>
      <c r="T163" s="167" t="s">
        <v>922</v>
      </c>
      <c r="U163" s="166">
        <v>2016</v>
      </c>
    </row>
    <row r="164" spans="1:21" x14ac:dyDescent="0.25">
      <c r="A164" s="165">
        <v>163</v>
      </c>
      <c r="B164" s="173">
        <v>3929</v>
      </c>
      <c r="C164" s="174" t="s">
        <v>597</v>
      </c>
      <c r="D164" s="174" t="s">
        <v>858</v>
      </c>
      <c r="E164" s="168">
        <v>11</v>
      </c>
      <c r="F164" s="186" t="s">
        <v>37</v>
      </c>
      <c r="G164" s="170" t="s">
        <v>39</v>
      </c>
      <c r="H164" s="162" t="s">
        <v>41</v>
      </c>
      <c r="I164" s="162" t="s">
        <v>235</v>
      </c>
      <c r="J164" s="197">
        <v>42430</v>
      </c>
      <c r="K164" s="171" t="s">
        <v>45</v>
      </c>
      <c r="L164" s="187" t="s">
        <v>705</v>
      </c>
      <c r="M164" s="152">
        <v>42719</v>
      </c>
      <c r="N164" s="172">
        <v>0.79</v>
      </c>
      <c r="O164" s="149" t="s">
        <v>715</v>
      </c>
      <c r="P164" s="167" t="s">
        <v>752</v>
      </c>
      <c r="Q164" s="157" t="s">
        <v>416</v>
      </c>
      <c r="R164" s="167" t="s">
        <v>683</v>
      </c>
      <c r="S164" s="166">
        <v>12</v>
      </c>
      <c r="T164" s="167" t="s">
        <v>922</v>
      </c>
      <c r="U164" s="166">
        <v>2016</v>
      </c>
    </row>
    <row r="165" spans="1:21" x14ac:dyDescent="0.25">
      <c r="A165" s="165">
        <v>164</v>
      </c>
      <c r="B165" s="173">
        <v>3797</v>
      </c>
      <c r="C165" s="174" t="s">
        <v>598</v>
      </c>
      <c r="D165" s="174" t="s">
        <v>86</v>
      </c>
      <c r="E165" s="168">
        <v>11</v>
      </c>
      <c r="F165" s="186" t="s">
        <v>37</v>
      </c>
      <c r="G165" s="170" t="s">
        <v>39</v>
      </c>
      <c r="H165" s="162" t="s">
        <v>230</v>
      </c>
      <c r="I165" s="162" t="s">
        <v>243</v>
      </c>
      <c r="J165" s="197">
        <v>42109</v>
      </c>
      <c r="K165" s="171" t="s">
        <v>704</v>
      </c>
      <c r="L165" s="187" t="s">
        <v>705</v>
      </c>
      <c r="M165" s="152">
        <v>42723</v>
      </c>
      <c r="N165" s="172">
        <v>1.68</v>
      </c>
      <c r="O165" s="149" t="s">
        <v>718</v>
      </c>
      <c r="P165" s="167" t="s">
        <v>808</v>
      </c>
      <c r="Q165" s="166" t="s">
        <v>414</v>
      </c>
      <c r="R165" s="167" t="s">
        <v>684</v>
      </c>
      <c r="S165" s="166">
        <v>12</v>
      </c>
      <c r="T165" s="167" t="s">
        <v>922</v>
      </c>
      <c r="U165" s="166">
        <v>2016</v>
      </c>
    </row>
    <row r="166" spans="1:21" x14ac:dyDescent="0.25">
      <c r="A166" s="165">
        <v>165</v>
      </c>
      <c r="B166" s="173">
        <v>3886</v>
      </c>
      <c r="C166" s="174" t="s">
        <v>599</v>
      </c>
      <c r="D166" s="174" t="s">
        <v>859</v>
      </c>
      <c r="E166" s="168">
        <v>12</v>
      </c>
      <c r="F166" s="186" t="s">
        <v>37</v>
      </c>
      <c r="G166" s="170" t="s">
        <v>736</v>
      </c>
      <c r="H166" s="162" t="s">
        <v>185</v>
      </c>
      <c r="I166" s="162" t="s">
        <v>186</v>
      </c>
      <c r="J166" s="197">
        <v>42323</v>
      </c>
      <c r="K166" s="171" t="s">
        <v>704</v>
      </c>
      <c r="L166" s="187" t="s">
        <v>705</v>
      </c>
      <c r="M166" s="152">
        <v>42719</v>
      </c>
      <c r="N166" s="172">
        <v>1.0900000000000001</v>
      </c>
      <c r="O166" s="149" t="s">
        <v>718</v>
      </c>
      <c r="P166" s="167" t="s">
        <v>808</v>
      </c>
      <c r="Q166" s="157" t="s">
        <v>416</v>
      </c>
      <c r="R166" s="167" t="s">
        <v>684</v>
      </c>
      <c r="S166" s="166">
        <v>12</v>
      </c>
      <c r="T166" s="167" t="s">
        <v>923</v>
      </c>
      <c r="U166" s="166">
        <v>2016</v>
      </c>
    </row>
    <row r="167" spans="1:21" x14ac:dyDescent="0.25">
      <c r="A167" s="165">
        <v>166</v>
      </c>
      <c r="B167" s="173">
        <v>4066</v>
      </c>
      <c r="C167" s="174" t="s">
        <v>600</v>
      </c>
      <c r="D167" s="174" t="s">
        <v>147</v>
      </c>
      <c r="E167" s="168">
        <v>12</v>
      </c>
      <c r="F167" s="186" t="s">
        <v>44</v>
      </c>
      <c r="G167" s="170" t="s">
        <v>39</v>
      </c>
      <c r="H167" s="162" t="s">
        <v>806</v>
      </c>
      <c r="I167" s="162" t="s">
        <v>807</v>
      </c>
      <c r="J167" s="197">
        <v>42680</v>
      </c>
      <c r="K167" s="171" t="s">
        <v>45</v>
      </c>
      <c r="L167" s="187" t="s">
        <v>705</v>
      </c>
      <c r="M167" s="152">
        <v>42723</v>
      </c>
      <c r="N167" s="172">
        <v>0.12</v>
      </c>
      <c r="O167" s="149" t="s">
        <v>715</v>
      </c>
      <c r="P167" s="167" t="s">
        <v>808</v>
      </c>
      <c r="Q167" s="157" t="s">
        <v>416</v>
      </c>
      <c r="R167" s="167" t="s">
        <v>684</v>
      </c>
      <c r="S167" s="166">
        <v>12</v>
      </c>
      <c r="T167" s="167" t="s">
        <v>922</v>
      </c>
      <c r="U167" s="166">
        <v>2016</v>
      </c>
    </row>
    <row r="168" spans="1:21" x14ac:dyDescent="0.25">
      <c r="A168" s="165">
        <v>167</v>
      </c>
      <c r="B168" s="173">
        <v>3683</v>
      </c>
      <c r="C168" s="174" t="s">
        <v>601</v>
      </c>
      <c r="D168" s="174" t="s">
        <v>102</v>
      </c>
      <c r="E168" s="168">
        <v>16</v>
      </c>
      <c r="F168" s="186" t="s">
        <v>37</v>
      </c>
      <c r="G168" s="170" t="s">
        <v>55</v>
      </c>
      <c r="H168" s="162" t="s">
        <v>860</v>
      </c>
      <c r="I168" s="162" t="s">
        <v>55</v>
      </c>
      <c r="J168" s="197">
        <v>41798</v>
      </c>
      <c r="K168" s="171" t="s">
        <v>45</v>
      </c>
      <c r="L168" s="187" t="s">
        <v>705</v>
      </c>
      <c r="M168" s="152">
        <v>42732</v>
      </c>
      <c r="N168" s="172">
        <v>2.56</v>
      </c>
      <c r="O168" s="149" t="s">
        <v>729</v>
      </c>
      <c r="P168" s="167" t="s">
        <v>808</v>
      </c>
      <c r="Q168" s="157" t="s">
        <v>416</v>
      </c>
      <c r="R168" s="167" t="s">
        <v>684</v>
      </c>
      <c r="S168" s="166">
        <v>12</v>
      </c>
      <c r="T168" s="167" t="s">
        <v>923</v>
      </c>
      <c r="U168" s="166">
        <v>2016</v>
      </c>
    </row>
    <row r="169" spans="1:21" x14ac:dyDescent="0.25">
      <c r="A169" s="165">
        <v>168</v>
      </c>
      <c r="B169" s="173">
        <v>3270</v>
      </c>
      <c r="C169" s="174" t="s">
        <v>602</v>
      </c>
      <c r="D169" s="174" t="s">
        <v>2</v>
      </c>
      <c r="E169" s="168">
        <v>12</v>
      </c>
      <c r="F169" s="186" t="s">
        <v>37</v>
      </c>
      <c r="G169" s="170" t="s">
        <v>39</v>
      </c>
      <c r="H169" s="162" t="s">
        <v>41</v>
      </c>
      <c r="I169" s="162" t="s">
        <v>260</v>
      </c>
      <c r="J169" s="197">
        <v>40812</v>
      </c>
      <c r="K169" s="171" t="s">
        <v>704</v>
      </c>
      <c r="L169" s="187" t="s">
        <v>705</v>
      </c>
      <c r="M169" s="152">
        <v>42733</v>
      </c>
      <c r="N169" s="172">
        <v>5.26</v>
      </c>
      <c r="O169" s="149" t="s">
        <v>728</v>
      </c>
      <c r="P169" s="167" t="s">
        <v>808</v>
      </c>
      <c r="Q169" s="166" t="s">
        <v>414</v>
      </c>
      <c r="R169" s="167" t="s">
        <v>684</v>
      </c>
      <c r="S169" s="166">
        <v>12</v>
      </c>
      <c r="T169" s="167" t="s">
        <v>922</v>
      </c>
      <c r="U169" s="166">
        <v>2016</v>
      </c>
    </row>
    <row r="170" spans="1:21" x14ac:dyDescent="0.25">
      <c r="A170" s="165">
        <v>1</v>
      </c>
      <c r="B170" s="173">
        <v>4047</v>
      </c>
      <c r="C170" s="174" t="s">
        <v>289</v>
      </c>
      <c r="D170" s="174" t="s">
        <v>84</v>
      </c>
      <c r="E170" s="168">
        <v>11</v>
      </c>
      <c r="F170" s="186" t="s">
        <v>37</v>
      </c>
      <c r="G170" s="170" t="s">
        <v>39</v>
      </c>
      <c r="H170" s="162" t="s">
        <v>230</v>
      </c>
      <c r="I170" s="162" t="s">
        <v>230</v>
      </c>
      <c r="J170" s="197">
        <v>42631</v>
      </c>
      <c r="K170" s="171" t="s">
        <v>704</v>
      </c>
      <c r="L170" s="187" t="s">
        <v>705</v>
      </c>
      <c r="M170" s="152">
        <v>42738</v>
      </c>
      <c r="N170" s="172">
        <v>0.3</v>
      </c>
      <c r="O170" s="149" t="s">
        <v>715</v>
      </c>
      <c r="P170" s="167" t="s">
        <v>734</v>
      </c>
      <c r="Q170" s="157" t="s">
        <v>416</v>
      </c>
      <c r="R170" s="167" t="s">
        <v>684</v>
      </c>
      <c r="S170" s="166">
        <v>1</v>
      </c>
      <c r="T170" s="167"/>
      <c r="U170" s="166">
        <v>2017</v>
      </c>
    </row>
    <row r="171" spans="1:21" x14ac:dyDescent="0.25">
      <c r="A171" s="165">
        <v>2</v>
      </c>
      <c r="B171" s="173">
        <v>3861</v>
      </c>
      <c r="C171" s="174" t="s">
        <v>603</v>
      </c>
      <c r="D171" s="174" t="s">
        <v>138</v>
      </c>
      <c r="E171" s="168">
        <v>11</v>
      </c>
      <c r="F171" s="186" t="s">
        <v>37</v>
      </c>
      <c r="G171" s="170" t="s">
        <v>753</v>
      </c>
      <c r="H171" s="170" t="s">
        <v>753</v>
      </c>
      <c r="I171" s="162" t="s">
        <v>61</v>
      </c>
      <c r="J171" s="197">
        <v>42281</v>
      </c>
      <c r="K171" s="171" t="s">
        <v>704</v>
      </c>
      <c r="L171" s="187" t="s">
        <v>705</v>
      </c>
      <c r="M171" s="152">
        <v>42736</v>
      </c>
      <c r="N171" s="172">
        <v>1.25</v>
      </c>
      <c r="O171" s="149" t="s">
        <v>718</v>
      </c>
      <c r="P171" s="167" t="s">
        <v>734</v>
      </c>
      <c r="Q171" s="157" t="s">
        <v>414</v>
      </c>
      <c r="R171" s="167" t="s">
        <v>684</v>
      </c>
      <c r="S171" s="166">
        <v>1</v>
      </c>
      <c r="T171" s="167"/>
      <c r="U171" s="166">
        <v>2017</v>
      </c>
    </row>
    <row r="172" spans="1:21" x14ac:dyDescent="0.25">
      <c r="A172" s="165">
        <v>3</v>
      </c>
      <c r="B172" s="173">
        <v>4087</v>
      </c>
      <c r="C172" s="174" t="s">
        <v>290</v>
      </c>
      <c r="D172" s="174" t="s">
        <v>84</v>
      </c>
      <c r="E172" s="168">
        <v>11</v>
      </c>
      <c r="F172" s="186" t="s">
        <v>37</v>
      </c>
      <c r="G172" s="170" t="s">
        <v>39</v>
      </c>
      <c r="H172" s="162" t="s">
        <v>230</v>
      </c>
      <c r="I172" s="162" t="s">
        <v>230</v>
      </c>
      <c r="J172" s="197">
        <v>42716</v>
      </c>
      <c r="K172" s="171" t="s">
        <v>704</v>
      </c>
      <c r="L172" s="187" t="s">
        <v>705</v>
      </c>
      <c r="M172" s="152">
        <v>42745</v>
      </c>
      <c r="N172" s="172">
        <v>0.08</v>
      </c>
      <c r="O172" s="149" t="s">
        <v>715</v>
      </c>
      <c r="P172" s="167" t="s">
        <v>861</v>
      </c>
      <c r="Q172" s="157" t="s">
        <v>416</v>
      </c>
      <c r="R172" s="167" t="s">
        <v>683</v>
      </c>
      <c r="S172" s="166">
        <v>1</v>
      </c>
      <c r="T172" s="167"/>
      <c r="U172" s="166">
        <v>2017</v>
      </c>
    </row>
    <row r="173" spans="1:21" x14ac:dyDescent="0.25">
      <c r="A173" s="165">
        <v>4</v>
      </c>
      <c r="B173" s="173">
        <v>4070</v>
      </c>
      <c r="C173" s="174" t="s">
        <v>604</v>
      </c>
      <c r="D173" s="174" t="s">
        <v>156</v>
      </c>
      <c r="E173" s="168">
        <v>12</v>
      </c>
      <c r="F173" s="186" t="s">
        <v>37</v>
      </c>
      <c r="G173" s="170" t="s">
        <v>39</v>
      </c>
      <c r="H173" s="162" t="s">
        <v>794</v>
      </c>
      <c r="I173" s="162" t="s">
        <v>794</v>
      </c>
      <c r="J173" s="197">
        <v>42705</v>
      </c>
      <c r="K173" s="171" t="s">
        <v>704</v>
      </c>
      <c r="L173" s="187" t="s">
        <v>714</v>
      </c>
      <c r="M173" s="152">
        <v>42754</v>
      </c>
      <c r="N173" s="172">
        <v>0.14000000000000001</v>
      </c>
      <c r="O173" s="149" t="s">
        <v>715</v>
      </c>
      <c r="P173" s="167" t="s">
        <v>743</v>
      </c>
      <c r="Q173" s="157" t="s">
        <v>416</v>
      </c>
      <c r="R173" s="167" t="s">
        <v>685</v>
      </c>
      <c r="S173" s="166">
        <v>1</v>
      </c>
      <c r="T173" s="167"/>
      <c r="U173" s="166">
        <v>2017</v>
      </c>
    </row>
    <row r="174" spans="1:21" x14ac:dyDescent="0.25">
      <c r="A174" s="165">
        <v>5</v>
      </c>
      <c r="B174" s="173">
        <v>4028</v>
      </c>
      <c r="C174" s="174" t="s">
        <v>292</v>
      </c>
      <c r="D174" s="174" t="s">
        <v>146</v>
      </c>
      <c r="E174" s="168">
        <v>11</v>
      </c>
      <c r="F174" s="186" t="s">
        <v>37</v>
      </c>
      <c r="G174" s="170" t="s">
        <v>39</v>
      </c>
      <c r="H174" s="162" t="s">
        <v>785</v>
      </c>
      <c r="I174" s="162" t="s">
        <v>785</v>
      </c>
      <c r="J174" s="197">
        <v>42619</v>
      </c>
      <c r="K174" s="171" t="s">
        <v>704</v>
      </c>
      <c r="L174" s="187" t="s">
        <v>705</v>
      </c>
      <c r="M174" s="152">
        <v>42759</v>
      </c>
      <c r="N174" s="172">
        <v>0.39</v>
      </c>
      <c r="O174" s="149" t="s">
        <v>715</v>
      </c>
      <c r="P174" s="167" t="s">
        <v>820</v>
      </c>
      <c r="Q174" s="157" t="s">
        <v>416</v>
      </c>
      <c r="R174" s="167" t="s">
        <v>686</v>
      </c>
      <c r="S174" s="166">
        <v>1</v>
      </c>
      <c r="T174" s="167"/>
      <c r="U174" s="166">
        <v>2017</v>
      </c>
    </row>
    <row r="175" spans="1:21" x14ac:dyDescent="0.25">
      <c r="A175" s="165">
        <v>6</v>
      </c>
      <c r="B175" s="173">
        <v>3782</v>
      </c>
      <c r="C175" s="174" t="s">
        <v>293</v>
      </c>
      <c r="D175" s="174" t="s">
        <v>862</v>
      </c>
      <c r="E175" s="168">
        <v>12</v>
      </c>
      <c r="F175" s="186" t="s">
        <v>37</v>
      </c>
      <c r="G175" s="170" t="s">
        <v>58</v>
      </c>
      <c r="H175" s="162" t="s">
        <v>202</v>
      </c>
      <c r="I175" s="162" t="s">
        <v>202</v>
      </c>
      <c r="J175" s="197">
        <v>42064</v>
      </c>
      <c r="K175" s="171" t="s">
        <v>704</v>
      </c>
      <c r="L175" s="187" t="s">
        <v>705</v>
      </c>
      <c r="M175" s="152">
        <v>42761</v>
      </c>
      <c r="N175" s="172">
        <v>1.91</v>
      </c>
      <c r="O175" s="149" t="s">
        <v>718</v>
      </c>
      <c r="P175" s="167" t="s">
        <v>861</v>
      </c>
      <c r="Q175" s="157" t="s">
        <v>414</v>
      </c>
      <c r="R175" s="167" t="s">
        <v>683</v>
      </c>
      <c r="S175" s="166">
        <v>1</v>
      </c>
      <c r="T175" s="167"/>
      <c r="U175" s="166">
        <v>2017</v>
      </c>
    </row>
    <row r="176" spans="1:21" x14ac:dyDescent="0.25">
      <c r="A176" s="165">
        <v>7</v>
      </c>
      <c r="B176" s="173">
        <v>3453</v>
      </c>
      <c r="C176" s="174" t="s">
        <v>605</v>
      </c>
      <c r="D176" s="174" t="s">
        <v>2</v>
      </c>
      <c r="E176" s="168">
        <v>13</v>
      </c>
      <c r="F176" s="186" t="s">
        <v>37</v>
      </c>
      <c r="G176" s="170" t="s">
        <v>39</v>
      </c>
      <c r="H176" s="162" t="s">
        <v>41</v>
      </c>
      <c r="I176" s="162" t="s">
        <v>41</v>
      </c>
      <c r="J176" s="197">
        <v>41261</v>
      </c>
      <c r="K176" s="171" t="s">
        <v>704</v>
      </c>
      <c r="L176" s="187" t="s">
        <v>705</v>
      </c>
      <c r="M176" s="152">
        <v>42765</v>
      </c>
      <c r="N176" s="172">
        <v>4.12</v>
      </c>
      <c r="O176" s="149" t="s">
        <v>706</v>
      </c>
      <c r="P176" s="167" t="s">
        <v>861</v>
      </c>
      <c r="Q176" s="157" t="s">
        <v>416</v>
      </c>
      <c r="R176" s="167" t="s">
        <v>683</v>
      </c>
      <c r="S176" s="166">
        <v>1</v>
      </c>
      <c r="T176" s="167"/>
      <c r="U176" s="166">
        <v>2017</v>
      </c>
    </row>
    <row r="177" spans="1:21" x14ac:dyDescent="0.25">
      <c r="A177" s="165">
        <v>8</v>
      </c>
      <c r="B177" s="173">
        <v>2779</v>
      </c>
      <c r="C177" s="174" t="s">
        <v>287</v>
      </c>
      <c r="D177" s="174" t="s">
        <v>863</v>
      </c>
      <c r="E177" s="168">
        <v>19</v>
      </c>
      <c r="F177" s="186" t="s">
        <v>37</v>
      </c>
      <c r="G177" s="170" t="s">
        <v>39</v>
      </c>
      <c r="H177" s="162" t="s">
        <v>39</v>
      </c>
      <c r="I177" s="162" t="s">
        <v>39</v>
      </c>
      <c r="J177" s="197">
        <v>39554</v>
      </c>
      <c r="K177" s="171" t="s">
        <v>704</v>
      </c>
      <c r="L177" s="187" t="s">
        <v>705</v>
      </c>
      <c r="M177" s="152">
        <v>42737</v>
      </c>
      <c r="N177" s="172">
        <v>8.7200000000000006</v>
      </c>
      <c r="O177" s="149" t="s">
        <v>713</v>
      </c>
      <c r="P177" s="167" t="s">
        <v>864</v>
      </c>
      <c r="Q177" s="157" t="s">
        <v>416</v>
      </c>
      <c r="R177" s="167" t="s">
        <v>685</v>
      </c>
      <c r="S177" s="166">
        <v>1</v>
      </c>
      <c r="T177" s="167"/>
      <c r="U177" s="166">
        <v>2017</v>
      </c>
    </row>
    <row r="178" spans="1:21" x14ac:dyDescent="0.25">
      <c r="A178" s="165">
        <v>9</v>
      </c>
      <c r="B178" s="173">
        <v>3846</v>
      </c>
      <c r="C178" s="174" t="s">
        <v>606</v>
      </c>
      <c r="D178" s="174" t="s">
        <v>130</v>
      </c>
      <c r="E178" s="168">
        <v>12</v>
      </c>
      <c r="F178" s="186" t="s">
        <v>44</v>
      </c>
      <c r="G178" s="170" t="s">
        <v>34</v>
      </c>
      <c r="H178" s="162" t="s">
        <v>34</v>
      </c>
      <c r="I178" s="162" t="s">
        <v>34</v>
      </c>
      <c r="J178" s="197">
        <v>42249</v>
      </c>
      <c r="K178" s="171" t="s">
        <v>45</v>
      </c>
      <c r="L178" s="187" t="s">
        <v>705</v>
      </c>
      <c r="M178" s="152">
        <v>42766</v>
      </c>
      <c r="N178" s="172">
        <v>1.42</v>
      </c>
      <c r="O178" s="149" t="s">
        <v>718</v>
      </c>
      <c r="P178" s="167" t="s">
        <v>808</v>
      </c>
      <c r="Q178" s="157" t="s">
        <v>416</v>
      </c>
      <c r="R178" s="167" t="s">
        <v>684</v>
      </c>
      <c r="S178" s="166">
        <v>2</v>
      </c>
      <c r="T178" s="167"/>
      <c r="U178" s="166">
        <v>2017</v>
      </c>
    </row>
    <row r="179" spans="1:21" x14ac:dyDescent="0.25">
      <c r="A179" s="165">
        <v>10</v>
      </c>
      <c r="B179" s="173">
        <v>3747</v>
      </c>
      <c r="C179" s="174" t="s">
        <v>607</v>
      </c>
      <c r="D179" s="174" t="s">
        <v>81</v>
      </c>
      <c r="E179" s="168">
        <v>12</v>
      </c>
      <c r="F179" s="186" t="s">
        <v>44</v>
      </c>
      <c r="G179" s="170" t="s">
        <v>59</v>
      </c>
      <c r="H179" s="162" t="s">
        <v>59</v>
      </c>
      <c r="I179" s="162" t="s">
        <v>168</v>
      </c>
      <c r="J179" s="197">
        <v>41974</v>
      </c>
      <c r="K179" s="171" t="s">
        <v>45</v>
      </c>
      <c r="L179" s="187" t="s">
        <v>705</v>
      </c>
      <c r="M179" s="152">
        <v>42766</v>
      </c>
      <c r="N179" s="172">
        <v>2.17</v>
      </c>
      <c r="O179" s="149" t="s">
        <v>729</v>
      </c>
      <c r="P179" s="167" t="s">
        <v>861</v>
      </c>
      <c r="Q179" s="157" t="s">
        <v>414</v>
      </c>
      <c r="R179" s="167" t="s">
        <v>683</v>
      </c>
      <c r="S179" s="166">
        <v>2</v>
      </c>
      <c r="T179" s="167"/>
      <c r="U179" s="166">
        <v>2017</v>
      </c>
    </row>
    <row r="180" spans="1:21" x14ac:dyDescent="0.25">
      <c r="A180" s="165">
        <v>11</v>
      </c>
      <c r="B180" s="173">
        <v>3431</v>
      </c>
      <c r="C180" s="174" t="s">
        <v>608</v>
      </c>
      <c r="D180" s="174" t="s">
        <v>152</v>
      </c>
      <c r="E180" s="168">
        <v>11</v>
      </c>
      <c r="F180" s="186" t="s">
        <v>37</v>
      </c>
      <c r="G180" s="170" t="s">
        <v>39</v>
      </c>
      <c r="H180" s="162" t="s">
        <v>39</v>
      </c>
      <c r="I180" s="162" t="s">
        <v>794</v>
      </c>
      <c r="J180" s="197">
        <v>41196</v>
      </c>
      <c r="K180" s="171" t="s">
        <v>704</v>
      </c>
      <c r="L180" s="187" t="s">
        <v>705</v>
      </c>
      <c r="M180" s="152">
        <v>42766</v>
      </c>
      <c r="N180" s="172">
        <v>4.3</v>
      </c>
      <c r="O180" s="149" t="s">
        <v>706</v>
      </c>
      <c r="P180" s="167" t="s">
        <v>808</v>
      </c>
      <c r="Q180" s="157" t="s">
        <v>416</v>
      </c>
      <c r="R180" s="167" t="s">
        <v>684</v>
      </c>
      <c r="S180" s="166">
        <v>2</v>
      </c>
      <c r="T180" s="167"/>
      <c r="U180" s="166">
        <v>2017</v>
      </c>
    </row>
    <row r="181" spans="1:21" x14ac:dyDescent="0.25">
      <c r="A181" s="165">
        <v>12</v>
      </c>
      <c r="B181" s="173">
        <v>3168</v>
      </c>
      <c r="C181" s="174" t="s">
        <v>297</v>
      </c>
      <c r="D181" s="174" t="s">
        <v>115</v>
      </c>
      <c r="E181" s="168">
        <v>14</v>
      </c>
      <c r="F181" s="186" t="s">
        <v>37</v>
      </c>
      <c r="G181" s="170" t="s">
        <v>731</v>
      </c>
      <c r="H181" s="162" t="s">
        <v>731</v>
      </c>
      <c r="I181" s="162" t="s">
        <v>803</v>
      </c>
      <c r="J181" s="197">
        <v>40580</v>
      </c>
      <c r="K181" s="171" t="s">
        <v>704</v>
      </c>
      <c r="L181" s="187" t="s">
        <v>705</v>
      </c>
      <c r="M181" s="152">
        <v>42766</v>
      </c>
      <c r="N181" s="172">
        <v>5.99</v>
      </c>
      <c r="O181" s="149" t="s">
        <v>728</v>
      </c>
      <c r="P181" s="167" t="s">
        <v>861</v>
      </c>
      <c r="Q181" s="157" t="s">
        <v>414</v>
      </c>
      <c r="R181" s="167" t="s">
        <v>683</v>
      </c>
      <c r="S181" s="166">
        <v>2</v>
      </c>
      <c r="T181" s="167"/>
      <c r="U181" s="166">
        <v>2017</v>
      </c>
    </row>
    <row r="182" spans="1:21" x14ac:dyDescent="0.25">
      <c r="A182" s="165">
        <v>13</v>
      </c>
      <c r="B182" s="173">
        <v>3870</v>
      </c>
      <c r="C182" s="174" t="s">
        <v>609</v>
      </c>
      <c r="D182" s="174" t="s">
        <v>86</v>
      </c>
      <c r="E182" s="168">
        <v>11</v>
      </c>
      <c r="F182" s="186" t="s">
        <v>37</v>
      </c>
      <c r="G182" s="170" t="s">
        <v>39</v>
      </c>
      <c r="H182" s="162" t="s">
        <v>39</v>
      </c>
      <c r="I182" s="162" t="s">
        <v>230</v>
      </c>
      <c r="J182" s="197">
        <v>42295</v>
      </c>
      <c r="K182" s="171" t="s">
        <v>704</v>
      </c>
      <c r="L182" s="187" t="s">
        <v>705</v>
      </c>
      <c r="M182" s="152">
        <v>42775</v>
      </c>
      <c r="N182" s="172">
        <v>1.32</v>
      </c>
      <c r="O182" s="149" t="s">
        <v>718</v>
      </c>
      <c r="P182" s="167" t="s">
        <v>734</v>
      </c>
      <c r="Q182" s="157" t="s">
        <v>416</v>
      </c>
      <c r="R182" s="167" t="s">
        <v>684</v>
      </c>
      <c r="S182" s="166">
        <v>2</v>
      </c>
      <c r="T182" s="167"/>
      <c r="U182" s="166">
        <v>2017</v>
      </c>
    </row>
    <row r="183" spans="1:21" x14ac:dyDescent="0.25">
      <c r="A183" s="165">
        <v>14</v>
      </c>
      <c r="B183" s="173">
        <v>3791</v>
      </c>
      <c r="C183" s="174" t="s">
        <v>610</v>
      </c>
      <c r="D183" s="174" t="s">
        <v>138</v>
      </c>
      <c r="E183" s="168">
        <v>12</v>
      </c>
      <c r="F183" s="186" t="s">
        <v>44</v>
      </c>
      <c r="G183" s="170" t="s">
        <v>753</v>
      </c>
      <c r="H183" s="162" t="s">
        <v>61</v>
      </c>
      <c r="I183" s="162" t="s">
        <v>61</v>
      </c>
      <c r="J183" s="197">
        <v>42099</v>
      </c>
      <c r="K183" s="171" t="s">
        <v>45</v>
      </c>
      <c r="L183" s="187" t="s">
        <v>705</v>
      </c>
      <c r="M183" s="152">
        <v>42771</v>
      </c>
      <c r="N183" s="172">
        <v>1.84</v>
      </c>
      <c r="O183" s="149" t="s">
        <v>718</v>
      </c>
      <c r="P183" s="167" t="s">
        <v>734</v>
      </c>
      <c r="Q183" s="157" t="s">
        <v>414</v>
      </c>
      <c r="R183" s="167" t="s">
        <v>684</v>
      </c>
      <c r="S183" s="166">
        <v>2</v>
      </c>
      <c r="T183" s="167"/>
      <c r="U183" s="166">
        <v>2017</v>
      </c>
    </row>
    <row r="184" spans="1:21" x14ac:dyDescent="0.25">
      <c r="A184" s="165">
        <v>15</v>
      </c>
      <c r="B184" s="173">
        <v>4050</v>
      </c>
      <c r="C184" s="174" t="s">
        <v>611</v>
      </c>
      <c r="D184" s="174" t="s">
        <v>84</v>
      </c>
      <c r="E184" s="168">
        <v>11</v>
      </c>
      <c r="F184" s="186" t="s">
        <v>37</v>
      </c>
      <c r="G184" s="170" t="s">
        <v>39</v>
      </c>
      <c r="H184" s="162" t="s">
        <v>39</v>
      </c>
      <c r="I184" s="162" t="s">
        <v>230</v>
      </c>
      <c r="J184" s="197">
        <v>42632</v>
      </c>
      <c r="K184" s="171" t="s">
        <v>704</v>
      </c>
      <c r="L184" s="187" t="s">
        <v>705</v>
      </c>
      <c r="M184" s="152">
        <v>42774</v>
      </c>
      <c r="N184" s="172">
        <v>0.39</v>
      </c>
      <c r="O184" s="149" t="s">
        <v>715</v>
      </c>
      <c r="P184" s="167" t="s">
        <v>743</v>
      </c>
      <c r="Q184" s="157" t="s">
        <v>416</v>
      </c>
      <c r="R184" s="167" t="s">
        <v>685</v>
      </c>
      <c r="S184" s="166">
        <v>2</v>
      </c>
      <c r="T184" s="167"/>
      <c r="U184" s="166">
        <v>2017</v>
      </c>
    </row>
    <row r="185" spans="1:21" x14ac:dyDescent="0.25">
      <c r="A185" s="165">
        <v>16</v>
      </c>
      <c r="B185" s="173">
        <v>3563</v>
      </c>
      <c r="C185" s="174" t="s">
        <v>612</v>
      </c>
      <c r="D185" s="174" t="s">
        <v>86</v>
      </c>
      <c r="E185" s="168">
        <v>11</v>
      </c>
      <c r="F185" s="186" t="s">
        <v>37</v>
      </c>
      <c r="G185" s="170" t="s">
        <v>59</v>
      </c>
      <c r="H185" s="162" t="s">
        <v>59</v>
      </c>
      <c r="I185" s="162" t="s">
        <v>168</v>
      </c>
      <c r="J185" s="197">
        <v>41527</v>
      </c>
      <c r="K185" s="171" t="s">
        <v>704</v>
      </c>
      <c r="L185" s="187" t="s">
        <v>705</v>
      </c>
      <c r="M185" s="152">
        <v>42794</v>
      </c>
      <c r="N185" s="172">
        <v>3.47</v>
      </c>
      <c r="O185" s="149" t="s">
        <v>706</v>
      </c>
      <c r="P185" s="167" t="s">
        <v>808</v>
      </c>
      <c r="Q185" s="157" t="s">
        <v>416</v>
      </c>
      <c r="R185" s="167" t="s">
        <v>684</v>
      </c>
      <c r="S185" s="166">
        <v>2</v>
      </c>
      <c r="T185" s="167"/>
      <c r="U185" s="166">
        <v>2017</v>
      </c>
    </row>
    <row r="186" spans="1:21" x14ac:dyDescent="0.25">
      <c r="A186" s="165">
        <v>17</v>
      </c>
      <c r="B186" s="173">
        <v>1276</v>
      </c>
      <c r="C186" s="174" t="s">
        <v>613</v>
      </c>
      <c r="D186" s="174" t="s">
        <v>865</v>
      </c>
      <c r="E186" s="168">
        <v>19</v>
      </c>
      <c r="F186" s="186" t="s">
        <v>37</v>
      </c>
      <c r="G186" s="170" t="s">
        <v>816</v>
      </c>
      <c r="H186" s="162" t="s">
        <v>65</v>
      </c>
      <c r="I186" s="162" t="s">
        <v>817</v>
      </c>
      <c r="J186" s="197">
        <v>36163</v>
      </c>
      <c r="K186" s="171" t="s">
        <v>45</v>
      </c>
      <c r="L186" s="187" t="s">
        <v>705</v>
      </c>
      <c r="M186" s="152">
        <v>42740</v>
      </c>
      <c r="N186" s="172">
        <v>18.010000000000002</v>
      </c>
      <c r="O186" s="149" t="s">
        <v>709</v>
      </c>
      <c r="P186" s="167" t="s">
        <v>824</v>
      </c>
      <c r="Q186" s="157" t="s">
        <v>416</v>
      </c>
      <c r="R186" s="167" t="s">
        <v>685</v>
      </c>
      <c r="S186" s="166">
        <v>2</v>
      </c>
      <c r="T186" s="167"/>
      <c r="U186" s="166">
        <v>2017</v>
      </c>
    </row>
    <row r="187" spans="1:21" x14ac:dyDescent="0.25">
      <c r="A187" s="165">
        <v>18</v>
      </c>
      <c r="B187" s="173">
        <v>2782</v>
      </c>
      <c r="C187" s="174" t="s">
        <v>614</v>
      </c>
      <c r="D187" s="174" t="s">
        <v>866</v>
      </c>
      <c r="E187" s="168">
        <v>17</v>
      </c>
      <c r="F187" s="186" t="s">
        <v>37</v>
      </c>
      <c r="G187" s="170" t="s">
        <v>34</v>
      </c>
      <c r="H187" s="162" t="s">
        <v>34</v>
      </c>
      <c r="I187" s="162" t="s">
        <v>34</v>
      </c>
      <c r="J187" s="197">
        <v>39558</v>
      </c>
      <c r="K187" s="171" t="s">
        <v>45</v>
      </c>
      <c r="L187" s="187" t="s">
        <v>705</v>
      </c>
      <c r="M187" s="152">
        <v>42766</v>
      </c>
      <c r="N187" s="172">
        <v>8.7899999999999991</v>
      </c>
      <c r="O187" s="149" t="s">
        <v>713</v>
      </c>
      <c r="P187" s="167" t="s">
        <v>824</v>
      </c>
      <c r="Q187" s="157" t="s">
        <v>416</v>
      </c>
      <c r="R187" s="167" t="s">
        <v>685</v>
      </c>
      <c r="S187" s="166">
        <v>2</v>
      </c>
      <c r="T187" s="167"/>
      <c r="U187" s="166">
        <v>2017</v>
      </c>
    </row>
    <row r="188" spans="1:21" x14ac:dyDescent="0.25">
      <c r="A188" s="165">
        <v>19</v>
      </c>
      <c r="B188" s="173">
        <v>2944</v>
      </c>
      <c r="C188" s="174" t="s">
        <v>615</v>
      </c>
      <c r="D188" s="174" t="s">
        <v>867</v>
      </c>
      <c r="E188" s="168">
        <v>12</v>
      </c>
      <c r="F188" s="186" t="s">
        <v>37</v>
      </c>
      <c r="G188" s="170" t="s">
        <v>753</v>
      </c>
      <c r="H188" s="162" t="s">
        <v>62</v>
      </c>
      <c r="I188" s="162" t="s">
        <v>62</v>
      </c>
      <c r="J188" s="197">
        <v>39958</v>
      </c>
      <c r="K188" s="171" t="s">
        <v>704</v>
      </c>
      <c r="L188" s="187" t="s">
        <v>714</v>
      </c>
      <c r="M188" s="152">
        <v>42780</v>
      </c>
      <c r="N188" s="172">
        <v>7.73</v>
      </c>
      <c r="O188" s="149" t="s">
        <v>713</v>
      </c>
      <c r="P188" s="167" t="s">
        <v>743</v>
      </c>
      <c r="Q188" s="157" t="s">
        <v>416</v>
      </c>
      <c r="R188" s="167" t="s">
        <v>685</v>
      </c>
      <c r="S188" s="166">
        <v>2</v>
      </c>
      <c r="T188" s="167"/>
      <c r="U188" s="166">
        <v>2017</v>
      </c>
    </row>
    <row r="189" spans="1:21" x14ac:dyDescent="0.25">
      <c r="A189" s="165">
        <v>20</v>
      </c>
      <c r="B189" s="173">
        <v>2797</v>
      </c>
      <c r="C189" s="174" t="s">
        <v>616</v>
      </c>
      <c r="D189" s="174" t="s">
        <v>147</v>
      </c>
      <c r="E189" s="168">
        <v>12</v>
      </c>
      <c r="F189" s="186" t="s">
        <v>44</v>
      </c>
      <c r="G189" s="170" t="s">
        <v>39</v>
      </c>
      <c r="H189" s="162" t="s">
        <v>39</v>
      </c>
      <c r="I189" s="162" t="s">
        <v>806</v>
      </c>
      <c r="J189" s="197">
        <v>39857</v>
      </c>
      <c r="K189" s="171" t="s">
        <v>45</v>
      </c>
      <c r="L189" s="187" t="s">
        <v>705</v>
      </c>
      <c r="M189" s="152">
        <v>42788</v>
      </c>
      <c r="N189" s="172">
        <v>8.0299999999999994</v>
      </c>
      <c r="O189" s="149" t="s">
        <v>713</v>
      </c>
      <c r="P189" s="167" t="s">
        <v>743</v>
      </c>
      <c r="Q189" s="157" t="s">
        <v>416</v>
      </c>
      <c r="R189" s="167" t="s">
        <v>685</v>
      </c>
      <c r="S189" s="166">
        <v>2</v>
      </c>
      <c r="T189" s="167"/>
      <c r="U189" s="166">
        <v>2017</v>
      </c>
    </row>
    <row r="190" spans="1:21" x14ac:dyDescent="0.25">
      <c r="A190" s="165">
        <v>21</v>
      </c>
      <c r="B190" s="173">
        <v>3709</v>
      </c>
      <c r="C190" s="174" t="s">
        <v>617</v>
      </c>
      <c r="D190" s="174" t="s">
        <v>139</v>
      </c>
      <c r="E190" s="168">
        <v>13</v>
      </c>
      <c r="F190" s="186" t="s">
        <v>44</v>
      </c>
      <c r="G190" s="170" t="s">
        <v>753</v>
      </c>
      <c r="H190" s="162" t="s">
        <v>61</v>
      </c>
      <c r="I190" s="162" t="s">
        <v>61</v>
      </c>
      <c r="J190" s="197">
        <v>41883</v>
      </c>
      <c r="K190" s="171" t="s">
        <v>45</v>
      </c>
      <c r="L190" s="187" t="s">
        <v>705</v>
      </c>
      <c r="M190" s="152">
        <v>42788</v>
      </c>
      <c r="N190" s="172">
        <v>2.48</v>
      </c>
      <c r="O190" s="149" t="s">
        <v>729</v>
      </c>
      <c r="P190" s="167" t="s">
        <v>743</v>
      </c>
      <c r="Q190" s="157" t="s">
        <v>416</v>
      </c>
      <c r="R190" s="167" t="s">
        <v>685</v>
      </c>
      <c r="S190" s="166">
        <v>2</v>
      </c>
      <c r="T190" s="167"/>
      <c r="U190" s="166">
        <v>2017</v>
      </c>
    </row>
    <row r="191" spans="1:21" x14ac:dyDescent="0.25">
      <c r="A191" s="165">
        <v>22</v>
      </c>
      <c r="B191" s="173">
        <v>3706</v>
      </c>
      <c r="C191" s="174" t="s">
        <v>618</v>
      </c>
      <c r="D191" s="174" t="s">
        <v>148</v>
      </c>
      <c r="E191" s="168">
        <v>13</v>
      </c>
      <c r="F191" s="186" t="s">
        <v>37</v>
      </c>
      <c r="G191" s="170" t="s">
        <v>39</v>
      </c>
      <c r="H191" s="162" t="s">
        <v>39</v>
      </c>
      <c r="I191" s="162" t="s">
        <v>868</v>
      </c>
      <c r="J191" s="197">
        <v>41861</v>
      </c>
      <c r="K191" s="171" t="s">
        <v>704</v>
      </c>
      <c r="L191" s="187" t="s">
        <v>705</v>
      </c>
      <c r="M191" s="152">
        <v>42789</v>
      </c>
      <c r="N191" s="172">
        <v>2.54</v>
      </c>
      <c r="O191" s="149" t="s">
        <v>729</v>
      </c>
      <c r="P191" s="167" t="s">
        <v>861</v>
      </c>
      <c r="Q191" s="157" t="s">
        <v>416</v>
      </c>
      <c r="R191" s="167" t="s">
        <v>683</v>
      </c>
      <c r="S191" s="166">
        <v>2</v>
      </c>
      <c r="T191" s="167"/>
      <c r="U191" s="166">
        <v>2017</v>
      </c>
    </row>
    <row r="192" spans="1:21" x14ac:dyDescent="0.25">
      <c r="A192" s="165">
        <v>23</v>
      </c>
      <c r="B192" s="173">
        <v>3715</v>
      </c>
      <c r="C192" s="174" t="s">
        <v>313</v>
      </c>
      <c r="D192" s="174" t="s">
        <v>80</v>
      </c>
      <c r="E192" s="168">
        <v>11</v>
      </c>
      <c r="F192" s="186" t="s">
        <v>37</v>
      </c>
      <c r="G192" s="170" t="s">
        <v>39</v>
      </c>
      <c r="H192" s="162" t="s">
        <v>39</v>
      </c>
      <c r="I192" s="162" t="s">
        <v>230</v>
      </c>
      <c r="J192" s="197">
        <v>41898</v>
      </c>
      <c r="K192" s="171" t="s">
        <v>704</v>
      </c>
      <c r="L192" s="187" t="s">
        <v>705</v>
      </c>
      <c r="M192" s="152">
        <v>42793</v>
      </c>
      <c r="N192" s="172">
        <v>2.4500000000000002</v>
      </c>
      <c r="O192" s="149" t="s">
        <v>729</v>
      </c>
      <c r="P192" s="167" t="s">
        <v>808</v>
      </c>
      <c r="Q192" s="157" t="s">
        <v>416</v>
      </c>
      <c r="R192" s="167" t="s">
        <v>684</v>
      </c>
      <c r="S192" s="166">
        <v>2</v>
      </c>
      <c r="T192" s="167"/>
      <c r="U192" s="166">
        <v>2017</v>
      </c>
    </row>
    <row r="193" spans="1:21" x14ac:dyDescent="0.25">
      <c r="A193" s="165">
        <v>24</v>
      </c>
      <c r="B193" s="173">
        <v>4004</v>
      </c>
      <c r="C193" s="174" t="s">
        <v>619</v>
      </c>
      <c r="D193" s="174" t="s">
        <v>80</v>
      </c>
      <c r="E193" s="168">
        <v>12</v>
      </c>
      <c r="F193" s="186" t="s">
        <v>37</v>
      </c>
      <c r="G193" s="170" t="s">
        <v>39</v>
      </c>
      <c r="H193" s="162" t="s">
        <v>39</v>
      </c>
      <c r="I193" s="162" t="s">
        <v>230</v>
      </c>
      <c r="J193" s="197">
        <v>42569</v>
      </c>
      <c r="K193" s="171" t="s">
        <v>704</v>
      </c>
      <c r="L193" s="187" t="s">
        <v>705</v>
      </c>
      <c r="M193" s="152">
        <v>42794</v>
      </c>
      <c r="N193" s="172">
        <v>0.62</v>
      </c>
      <c r="O193" s="149" t="s">
        <v>715</v>
      </c>
      <c r="P193" s="198" t="s">
        <v>734</v>
      </c>
      <c r="Q193" s="157" t="s">
        <v>416</v>
      </c>
      <c r="R193" s="167" t="s">
        <v>683</v>
      </c>
      <c r="S193" s="166">
        <v>3</v>
      </c>
      <c r="T193" s="167"/>
      <c r="U193" s="166">
        <v>2017</v>
      </c>
    </row>
    <row r="194" spans="1:21" x14ac:dyDescent="0.25">
      <c r="A194" s="165">
        <v>25</v>
      </c>
      <c r="B194" s="173">
        <v>2904</v>
      </c>
      <c r="C194" s="174" t="s">
        <v>620</v>
      </c>
      <c r="D194" s="174" t="s">
        <v>160</v>
      </c>
      <c r="E194" s="168">
        <v>14</v>
      </c>
      <c r="F194" s="186" t="s">
        <v>37</v>
      </c>
      <c r="G194" s="170" t="s">
        <v>39</v>
      </c>
      <c r="H194" s="162" t="s">
        <v>39</v>
      </c>
      <c r="I194" s="162" t="s">
        <v>41</v>
      </c>
      <c r="J194" s="197">
        <v>39831</v>
      </c>
      <c r="K194" s="171" t="s">
        <v>704</v>
      </c>
      <c r="L194" s="187" t="s">
        <v>705</v>
      </c>
      <c r="M194" s="152">
        <v>42794</v>
      </c>
      <c r="N194" s="172">
        <v>8.11</v>
      </c>
      <c r="O194" s="149" t="s">
        <v>713</v>
      </c>
      <c r="P194" s="167" t="s">
        <v>869</v>
      </c>
      <c r="Q194" s="157" t="s">
        <v>416</v>
      </c>
      <c r="R194" s="167" t="s">
        <v>683</v>
      </c>
      <c r="S194" s="166">
        <v>3</v>
      </c>
      <c r="T194" s="167"/>
      <c r="U194" s="166">
        <v>2017</v>
      </c>
    </row>
    <row r="195" spans="1:21" x14ac:dyDescent="0.25">
      <c r="A195" s="165">
        <v>26</v>
      </c>
      <c r="B195" s="173">
        <v>3781</v>
      </c>
      <c r="C195" s="174" t="s">
        <v>621</v>
      </c>
      <c r="D195" s="174" t="s">
        <v>89</v>
      </c>
      <c r="E195" s="168">
        <v>12</v>
      </c>
      <c r="F195" s="186" t="s">
        <v>37</v>
      </c>
      <c r="G195" s="170" t="s">
        <v>847</v>
      </c>
      <c r="H195" s="162" t="s">
        <v>847</v>
      </c>
      <c r="I195" s="162" t="s">
        <v>848</v>
      </c>
      <c r="J195" s="197">
        <v>42064</v>
      </c>
      <c r="K195" s="171" t="s">
        <v>704</v>
      </c>
      <c r="L195" s="187" t="s">
        <v>705</v>
      </c>
      <c r="M195" s="152">
        <v>42794</v>
      </c>
      <c r="N195" s="172">
        <v>2</v>
      </c>
      <c r="O195" s="149" t="s">
        <v>718</v>
      </c>
      <c r="P195" s="167" t="s">
        <v>870</v>
      </c>
      <c r="Q195" s="157" t="s">
        <v>416</v>
      </c>
      <c r="R195" s="167" t="s">
        <v>683</v>
      </c>
      <c r="S195" s="166">
        <v>3</v>
      </c>
      <c r="T195" s="167"/>
      <c r="U195" s="166">
        <v>2017</v>
      </c>
    </row>
    <row r="196" spans="1:21" x14ac:dyDescent="0.25">
      <c r="A196" s="165">
        <v>27</v>
      </c>
      <c r="B196" s="173">
        <v>4040</v>
      </c>
      <c r="C196" s="174" t="s">
        <v>622</v>
      </c>
      <c r="D196" s="174" t="s">
        <v>84</v>
      </c>
      <c r="E196" s="168">
        <v>11</v>
      </c>
      <c r="F196" s="186" t="s">
        <v>37</v>
      </c>
      <c r="G196" s="170" t="s">
        <v>39</v>
      </c>
      <c r="H196" s="162" t="s">
        <v>39</v>
      </c>
      <c r="I196" s="162" t="s">
        <v>230</v>
      </c>
      <c r="J196" s="197">
        <v>42631</v>
      </c>
      <c r="K196" s="171" t="s">
        <v>704</v>
      </c>
      <c r="L196" s="187" t="s">
        <v>705</v>
      </c>
      <c r="M196" s="152">
        <v>42796</v>
      </c>
      <c r="N196" s="172">
        <v>0.45</v>
      </c>
      <c r="O196" s="149" t="s">
        <v>715</v>
      </c>
      <c r="P196" s="198" t="s">
        <v>734</v>
      </c>
      <c r="Q196" s="157" t="s">
        <v>416</v>
      </c>
      <c r="R196" s="167" t="s">
        <v>683</v>
      </c>
      <c r="S196" s="166">
        <v>3</v>
      </c>
      <c r="T196" s="167"/>
      <c r="U196" s="166">
        <v>2017</v>
      </c>
    </row>
    <row r="197" spans="1:21" x14ac:dyDescent="0.25">
      <c r="A197" s="165">
        <v>28</v>
      </c>
      <c r="B197" s="173">
        <v>4090</v>
      </c>
      <c r="C197" s="174" t="s">
        <v>319</v>
      </c>
      <c r="D197" s="174" t="s">
        <v>105</v>
      </c>
      <c r="E197" s="168">
        <v>12</v>
      </c>
      <c r="F197" s="186" t="s">
        <v>37</v>
      </c>
      <c r="G197" s="170" t="s">
        <v>736</v>
      </c>
      <c r="H197" s="162" t="s">
        <v>871</v>
      </c>
      <c r="I197" s="162" t="s">
        <v>185</v>
      </c>
      <c r="J197" s="197">
        <v>42716</v>
      </c>
      <c r="K197" s="171" t="s">
        <v>704</v>
      </c>
      <c r="L197" s="187" t="s">
        <v>705</v>
      </c>
      <c r="M197" s="152">
        <v>42799</v>
      </c>
      <c r="N197" s="172">
        <v>0.23</v>
      </c>
      <c r="O197" s="149" t="s">
        <v>715</v>
      </c>
      <c r="P197" s="167" t="s">
        <v>872</v>
      </c>
      <c r="Q197" s="157" t="s">
        <v>416</v>
      </c>
      <c r="R197" s="167" t="s">
        <v>684</v>
      </c>
      <c r="S197" s="166">
        <v>3</v>
      </c>
      <c r="T197" s="167"/>
      <c r="U197" s="166">
        <v>2017</v>
      </c>
    </row>
    <row r="198" spans="1:21" x14ac:dyDescent="0.25">
      <c r="A198" s="165">
        <v>29</v>
      </c>
      <c r="B198" s="173">
        <v>4076</v>
      </c>
      <c r="C198" s="174" t="s">
        <v>320</v>
      </c>
      <c r="D198" s="174" t="s">
        <v>84</v>
      </c>
      <c r="E198" s="168">
        <v>11</v>
      </c>
      <c r="F198" s="186" t="s">
        <v>37</v>
      </c>
      <c r="G198" s="170" t="s">
        <v>59</v>
      </c>
      <c r="H198" s="162" t="s">
        <v>59</v>
      </c>
      <c r="I198" s="162" t="s">
        <v>168</v>
      </c>
      <c r="J198" s="197">
        <v>42716</v>
      </c>
      <c r="K198" s="171" t="s">
        <v>704</v>
      </c>
      <c r="L198" s="187" t="s">
        <v>705</v>
      </c>
      <c r="M198" s="152">
        <v>42800</v>
      </c>
      <c r="N198" s="172">
        <v>0.23</v>
      </c>
      <c r="O198" s="149" t="s">
        <v>715</v>
      </c>
      <c r="P198" s="198" t="s">
        <v>734</v>
      </c>
      <c r="Q198" s="157" t="s">
        <v>414</v>
      </c>
      <c r="R198" s="167" t="s">
        <v>683</v>
      </c>
      <c r="S198" s="166">
        <v>3</v>
      </c>
      <c r="T198" s="167"/>
      <c r="U198" s="166">
        <v>2017</v>
      </c>
    </row>
    <row r="199" spans="1:21" x14ac:dyDescent="0.25">
      <c r="A199" s="165">
        <v>30</v>
      </c>
      <c r="B199" s="173">
        <v>3408</v>
      </c>
      <c r="C199" s="174" t="s">
        <v>623</v>
      </c>
      <c r="D199" s="174" t="s">
        <v>80</v>
      </c>
      <c r="E199" s="168">
        <v>11</v>
      </c>
      <c r="F199" s="186" t="s">
        <v>37</v>
      </c>
      <c r="G199" s="170" t="s">
        <v>39</v>
      </c>
      <c r="H199" s="162" t="s">
        <v>39</v>
      </c>
      <c r="I199" s="162" t="s">
        <v>230</v>
      </c>
      <c r="J199" s="197">
        <v>41171</v>
      </c>
      <c r="K199" s="171" t="s">
        <v>704</v>
      </c>
      <c r="L199" s="187" t="s">
        <v>705</v>
      </c>
      <c r="M199" s="152">
        <v>42803</v>
      </c>
      <c r="N199" s="172">
        <v>4.47</v>
      </c>
      <c r="O199" s="149" t="s">
        <v>706</v>
      </c>
      <c r="P199" s="167" t="s">
        <v>743</v>
      </c>
      <c r="Q199" s="157" t="s">
        <v>416</v>
      </c>
      <c r="R199" s="167" t="s">
        <v>685</v>
      </c>
      <c r="S199" s="166">
        <v>3</v>
      </c>
      <c r="T199" s="167"/>
      <c r="U199" s="166">
        <v>2017</v>
      </c>
    </row>
    <row r="200" spans="1:21" x14ac:dyDescent="0.25">
      <c r="A200" s="165">
        <v>31</v>
      </c>
      <c r="B200" s="173">
        <v>3980</v>
      </c>
      <c r="C200" s="174" t="s">
        <v>624</v>
      </c>
      <c r="D200" s="174" t="s">
        <v>152</v>
      </c>
      <c r="E200" s="168">
        <v>11</v>
      </c>
      <c r="F200" s="186" t="s">
        <v>37</v>
      </c>
      <c r="G200" s="170" t="s">
        <v>39</v>
      </c>
      <c r="H200" s="162" t="s">
        <v>39</v>
      </c>
      <c r="I200" s="162" t="s">
        <v>794</v>
      </c>
      <c r="J200" s="197">
        <v>42505</v>
      </c>
      <c r="K200" s="171" t="s">
        <v>704</v>
      </c>
      <c r="L200" s="187" t="s">
        <v>705</v>
      </c>
      <c r="M200" s="152">
        <v>42813</v>
      </c>
      <c r="N200" s="172">
        <v>0.85</v>
      </c>
      <c r="O200" s="149" t="s">
        <v>715</v>
      </c>
      <c r="P200" s="167" t="s">
        <v>743</v>
      </c>
      <c r="Q200" s="157" t="s">
        <v>416</v>
      </c>
      <c r="R200" s="167" t="s">
        <v>685</v>
      </c>
      <c r="S200" s="166">
        <v>3</v>
      </c>
      <c r="T200" s="167"/>
      <c r="U200" s="166">
        <v>2017</v>
      </c>
    </row>
    <row r="201" spans="1:21" x14ac:dyDescent="0.25">
      <c r="A201" s="165">
        <v>32</v>
      </c>
      <c r="B201" s="173">
        <v>4078</v>
      </c>
      <c r="C201" s="174" t="s">
        <v>625</v>
      </c>
      <c r="D201" s="174" t="s">
        <v>84</v>
      </c>
      <c r="E201" s="168">
        <v>11</v>
      </c>
      <c r="F201" s="186" t="s">
        <v>37</v>
      </c>
      <c r="G201" s="170" t="s">
        <v>39</v>
      </c>
      <c r="H201" s="162" t="s">
        <v>39</v>
      </c>
      <c r="I201" s="162" t="s">
        <v>230</v>
      </c>
      <c r="J201" s="197">
        <v>42716</v>
      </c>
      <c r="K201" s="171" t="s">
        <v>704</v>
      </c>
      <c r="L201" s="187" t="s">
        <v>705</v>
      </c>
      <c r="M201" s="152">
        <v>42813</v>
      </c>
      <c r="N201" s="172">
        <v>0.27</v>
      </c>
      <c r="O201" s="149" t="s">
        <v>715</v>
      </c>
      <c r="P201" s="167" t="s">
        <v>872</v>
      </c>
      <c r="Q201" s="157" t="s">
        <v>414</v>
      </c>
      <c r="R201" s="167" t="s">
        <v>684</v>
      </c>
      <c r="S201" s="166">
        <v>3</v>
      </c>
      <c r="T201" s="167"/>
      <c r="U201" s="166">
        <v>2017</v>
      </c>
    </row>
    <row r="202" spans="1:21" x14ac:dyDescent="0.25">
      <c r="A202" s="165">
        <v>33</v>
      </c>
      <c r="B202" s="173">
        <v>3565</v>
      </c>
      <c r="C202" s="174" t="s">
        <v>626</v>
      </c>
      <c r="D202" s="174" t="s">
        <v>80</v>
      </c>
      <c r="E202" s="168">
        <v>11</v>
      </c>
      <c r="F202" s="186" t="s">
        <v>37</v>
      </c>
      <c r="G202" s="170" t="s">
        <v>39</v>
      </c>
      <c r="H202" s="162" t="s">
        <v>39</v>
      </c>
      <c r="I202" s="162" t="s">
        <v>230</v>
      </c>
      <c r="J202" s="197">
        <v>41527</v>
      </c>
      <c r="K202" s="171" t="s">
        <v>704</v>
      </c>
      <c r="L202" s="187" t="s">
        <v>705</v>
      </c>
      <c r="M202" s="152">
        <v>42817</v>
      </c>
      <c r="N202" s="172">
        <v>3.53</v>
      </c>
      <c r="O202" s="149" t="s">
        <v>706</v>
      </c>
      <c r="P202" s="167" t="s">
        <v>870</v>
      </c>
      <c r="Q202" s="157" t="s">
        <v>414</v>
      </c>
      <c r="R202" s="167" t="s">
        <v>683</v>
      </c>
      <c r="S202" s="166">
        <v>3</v>
      </c>
      <c r="T202" s="167"/>
      <c r="U202" s="166">
        <v>2017</v>
      </c>
    </row>
    <row r="203" spans="1:21" x14ac:dyDescent="0.25">
      <c r="A203" s="165">
        <v>34</v>
      </c>
      <c r="B203" s="173">
        <v>2875</v>
      </c>
      <c r="C203" s="174" t="s">
        <v>627</v>
      </c>
      <c r="D203" s="174" t="s">
        <v>128</v>
      </c>
      <c r="E203" s="168">
        <v>18</v>
      </c>
      <c r="F203" s="186" t="s">
        <v>37</v>
      </c>
      <c r="G203" s="170" t="s">
        <v>717</v>
      </c>
      <c r="H203" s="162" t="s">
        <v>717</v>
      </c>
      <c r="I203" s="162" t="s">
        <v>840</v>
      </c>
      <c r="J203" s="197">
        <v>39783</v>
      </c>
      <c r="K203" s="171" t="s">
        <v>45</v>
      </c>
      <c r="L203" s="187" t="s">
        <v>705</v>
      </c>
      <c r="M203" s="152">
        <v>42852</v>
      </c>
      <c r="N203" s="172">
        <v>8.41</v>
      </c>
      <c r="O203" s="149" t="s">
        <v>713</v>
      </c>
      <c r="P203" s="167" t="s">
        <v>873</v>
      </c>
      <c r="Q203" s="157" t="s">
        <v>414</v>
      </c>
      <c r="R203" s="167" t="s">
        <v>684</v>
      </c>
      <c r="S203" s="166">
        <v>4</v>
      </c>
      <c r="T203" s="167"/>
      <c r="U203" s="166">
        <v>2017</v>
      </c>
    </row>
    <row r="204" spans="1:21" x14ac:dyDescent="0.25">
      <c r="A204" s="165">
        <v>35</v>
      </c>
      <c r="B204" s="173">
        <v>3908</v>
      </c>
      <c r="C204" s="174" t="s">
        <v>628</v>
      </c>
      <c r="D204" s="174" t="s">
        <v>86</v>
      </c>
      <c r="E204" s="168">
        <v>11</v>
      </c>
      <c r="F204" s="186" t="s">
        <v>37</v>
      </c>
      <c r="G204" s="170" t="s">
        <v>39</v>
      </c>
      <c r="H204" s="162" t="s">
        <v>39</v>
      </c>
      <c r="I204" s="162" t="s">
        <v>230</v>
      </c>
      <c r="J204" s="197">
        <v>42353</v>
      </c>
      <c r="K204" s="171" t="s">
        <v>704</v>
      </c>
      <c r="L204" s="187" t="s">
        <v>705</v>
      </c>
      <c r="M204" s="152">
        <v>42845</v>
      </c>
      <c r="N204" s="172">
        <v>1.35</v>
      </c>
      <c r="O204" s="149" t="s">
        <v>718</v>
      </c>
      <c r="P204" s="167" t="s">
        <v>773</v>
      </c>
      <c r="Q204" s="157" t="s">
        <v>415</v>
      </c>
      <c r="R204" s="167" t="s">
        <v>684</v>
      </c>
      <c r="S204" s="166">
        <v>4</v>
      </c>
      <c r="T204" s="167"/>
      <c r="U204" s="166">
        <v>2017</v>
      </c>
    </row>
    <row r="205" spans="1:21" x14ac:dyDescent="0.25">
      <c r="A205" s="165">
        <v>36</v>
      </c>
      <c r="B205" s="173">
        <v>4067</v>
      </c>
      <c r="C205" s="174" t="s">
        <v>629</v>
      </c>
      <c r="D205" s="174" t="s">
        <v>152</v>
      </c>
      <c r="E205" s="168" t="s">
        <v>711</v>
      </c>
      <c r="F205" s="186" t="s">
        <v>37</v>
      </c>
      <c r="G205" s="170" t="s">
        <v>39</v>
      </c>
      <c r="H205" s="162" t="s">
        <v>39</v>
      </c>
      <c r="I205" s="162" t="s">
        <v>794</v>
      </c>
      <c r="J205" s="197">
        <v>42680</v>
      </c>
      <c r="K205" s="171" t="s">
        <v>704</v>
      </c>
      <c r="L205" s="187" t="s">
        <v>705</v>
      </c>
      <c r="M205" s="152">
        <v>42845</v>
      </c>
      <c r="N205" s="172">
        <v>0.45</v>
      </c>
      <c r="O205" s="149" t="s">
        <v>715</v>
      </c>
      <c r="P205" s="167" t="s">
        <v>773</v>
      </c>
      <c r="Q205" s="157" t="s">
        <v>415</v>
      </c>
      <c r="R205" s="167" t="s">
        <v>684</v>
      </c>
      <c r="S205" s="166">
        <v>4</v>
      </c>
      <c r="T205" s="167"/>
      <c r="U205" s="166">
        <v>2017</v>
      </c>
    </row>
    <row r="206" spans="1:21" x14ac:dyDescent="0.25">
      <c r="A206" s="165">
        <v>37</v>
      </c>
      <c r="B206" s="173">
        <v>1693</v>
      </c>
      <c r="C206" s="174" t="s">
        <v>630</v>
      </c>
      <c r="D206" s="174" t="s">
        <v>99</v>
      </c>
      <c r="E206" s="168">
        <v>18</v>
      </c>
      <c r="F206" s="186" t="s">
        <v>37</v>
      </c>
      <c r="G206" s="170" t="s">
        <v>72</v>
      </c>
      <c r="H206" s="162" t="s">
        <v>66</v>
      </c>
      <c r="I206" s="162" t="s">
        <v>799</v>
      </c>
      <c r="J206" s="197">
        <v>38354</v>
      </c>
      <c r="K206" s="171" t="s">
        <v>704</v>
      </c>
      <c r="L206" s="187" t="s">
        <v>705</v>
      </c>
      <c r="M206" s="152">
        <v>42845</v>
      </c>
      <c r="N206" s="172">
        <v>12.3</v>
      </c>
      <c r="O206" s="149" t="s">
        <v>709</v>
      </c>
      <c r="P206" s="167" t="s">
        <v>824</v>
      </c>
      <c r="Q206" s="157" t="s">
        <v>415</v>
      </c>
      <c r="R206" s="167" t="s">
        <v>684</v>
      </c>
      <c r="S206" s="166">
        <v>4</v>
      </c>
      <c r="T206" s="167"/>
      <c r="U206" s="166">
        <v>2017</v>
      </c>
    </row>
    <row r="207" spans="1:21" x14ac:dyDescent="0.25">
      <c r="A207" s="165">
        <v>38</v>
      </c>
      <c r="B207" s="173">
        <v>3956</v>
      </c>
      <c r="C207" s="174" t="s">
        <v>631</v>
      </c>
      <c r="D207" s="174" t="s">
        <v>84</v>
      </c>
      <c r="E207" s="168">
        <v>11</v>
      </c>
      <c r="F207" s="186" t="s">
        <v>37</v>
      </c>
      <c r="G207" s="162" t="s">
        <v>39</v>
      </c>
      <c r="H207" s="162" t="s">
        <v>39</v>
      </c>
      <c r="I207" s="162" t="s">
        <v>230</v>
      </c>
      <c r="J207" s="197">
        <v>42463</v>
      </c>
      <c r="K207" s="171" t="s">
        <v>704</v>
      </c>
      <c r="L207" s="187" t="s">
        <v>705</v>
      </c>
      <c r="M207" s="152">
        <v>42845</v>
      </c>
      <c r="N207" s="172">
        <v>1.05</v>
      </c>
      <c r="O207" s="149" t="s">
        <v>718</v>
      </c>
      <c r="P207" s="167" t="s">
        <v>874</v>
      </c>
      <c r="Q207" s="157" t="s">
        <v>415</v>
      </c>
      <c r="R207" s="167" t="s">
        <v>684</v>
      </c>
      <c r="S207" s="166">
        <v>4</v>
      </c>
      <c r="T207" s="167"/>
      <c r="U207" s="166">
        <v>2017</v>
      </c>
    </row>
    <row r="208" spans="1:21" x14ac:dyDescent="0.25">
      <c r="A208" s="165">
        <v>39</v>
      </c>
      <c r="B208" s="173">
        <v>4094</v>
      </c>
      <c r="C208" s="174" t="s">
        <v>632</v>
      </c>
      <c r="D208" s="174" t="s">
        <v>875</v>
      </c>
      <c r="E208" s="168">
        <v>16</v>
      </c>
      <c r="F208" s="186" t="s">
        <v>37</v>
      </c>
      <c r="G208" s="170" t="s">
        <v>753</v>
      </c>
      <c r="H208" s="162" t="s">
        <v>197</v>
      </c>
      <c r="I208" s="162" t="s">
        <v>876</v>
      </c>
      <c r="J208" s="197">
        <v>42737</v>
      </c>
      <c r="K208" s="171" t="s">
        <v>704</v>
      </c>
      <c r="L208" s="187" t="s">
        <v>705</v>
      </c>
      <c r="M208" s="152">
        <v>42845</v>
      </c>
      <c r="N208" s="172">
        <v>0.3</v>
      </c>
      <c r="O208" s="149" t="s">
        <v>715</v>
      </c>
      <c r="P208" s="167" t="s">
        <v>877</v>
      </c>
      <c r="Q208" s="157" t="s">
        <v>415</v>
      </c>
      <c r="R208" s="167" t="s">
        <v>684</v>
      </c>
      <c r="S208" s="166">
        <v>4</v>
      </c>
      <c r="T208" s="167"/>
      <c r="U208" s="166">
        <v>2017</v>
      </c>
    </row>
    <row r="209" spans="1:21" x14ac:dyDescent="0.25">
      <c r="A209" s="165">
        <v>40</v>
      </c>
      <c r="B209" s="173">
        <v>1951</v>
      </c>
      <c r="C209" s="174" t="s">
        <v>633</v>
      </c>
      <c r="D209" s="174" t="s">
        <v>82</v>
      </c>
      <c r="E209" s="168">
        <v>17</v>
      </c>
      <c r="F209" s="186" t="s">
        <v>37</v>
      </c>
      <c r="G209" s="170" t="s">
        <v>59</v>
      </c>
      <c r="H209" s="162" t="s">
        <v>59</v>
      </c>
      <c r="I209" s="162" t="s">
        <v>845</v>
      </c>
      <c r="J209" s="197">
        <v>39217</v>
      </c>
      <c r="K209" s="171" t="s">
        <v>45</v>
      </c>
      <c r="L209" s="187" t="s">
        <v>705</v>
      </c>
      <c r="M209" s="152">
        <v>42846</v>
      </c>
      <c r="N209" s="172">
        <v>9.94</v>
      </c>
      <c r="O209" s="149" t="s">
        <v>713</v>
      </c>
      <c r="P209" s="167" t="s">
        <v>824</v>
      </c>
      <c r="Q209" s="157" t="s">
        <v>415</v>
      </c>
      <c r="R209" s="167" t="s">
        <v>685</v>
      </c>
      <c r="S209" s="166">
        <v>4</v>
      </c>
      <c r="T209" s="167"/>
      <c r="U209" s="166">
        <v>2017</v>
      </c>
    </row>
    <row r="210" spans="1:21" x14ac:dyDescent="0.25">
      <c r="A210" s="165">
        <v>41</v>
      </c>
      <c r="B210" s="173">
        <v>1727</v>
      </c>
      <c r="C210" s="174" t="s">
        <v>634</v>
      </c>
      <c r="D210" s="174" t="s">
        <v>878</v>
      </c>
      <c r="E210" s="168">
        <v>19</v>
      </c>
      <c r="F210" s="186" t="s">
        <v>37</v>
      </c>
      <c r="G210" s="170" t="s">
        <v>717</v>
      </c>
      <c r="H210" s="162" t="s">
        <v>717</v>
      </c>
      <c r="I210" s="162" t="s">
        <v>840</v>
      </c>
      <c r="J210" s="197">
        <v>38749</v>
      </c>
      <c r="K210" s="171" t="s">
        <v>45</v>
      </c>
      <c r="L210" s="187" t="s">
        <v>705</v>
      </c>
      <c r="M210" s="152">
        <v>42830</v>
      </c>
      <c r="N210" s="172">
        <v>11.18</v>
      </c>
      <c r="O210" s="149" t="s">
        <v>709</v>
      </c>
      <c r="P210" s="167" t="s">
        <v>873</v>
      </c>
      <c r="Q210" s="157" t="s">
        <v>414</v>
      </c>
      <c r="R210" s="167" t="s">
        <v>684</v>
      </c>
      <c r="S210" s="166">
        <v>4</v>
      </c>
      <c r="T210" s="167"/>
      <c r="U210" s="166">
        <v>2017</v>
      </c>
    </row>
    <row r="211" spans="1:21" x14ac:dyDescent="0.25">
      <c r="A211" s="165">
        <v>42</v>
      </c>
      <c r="B211" s="173">
        <v>3308</v>
      </c>
      <c r="C211" s="174" t="s">
        <v>635</v>
      </c>
      <c r="D211" s="174" t="s">
        <v>129</v>
      </c>
      <c r="E211" s="168">
        <v>14</v>
      </c>
      <c r="F211" s="186" t="s">
        <v>37</v>
      </c>
      <c r="G211" s="170" t="s">
        <v>717</v>
      </c>
      <c r="H211" s="162" t="s">
        <v>717</v>
      </c>
      <c r="I211" s="162" t="s">
        <v>840</v>
      </c>
      <c r="J211" s="197">
        <v>40870</v>
      </c>
      <c r="K211" s="171" t="s">
        <v>704</v>
      </c>
      <c r="L211" s="187" t="s">
        <v>705</v>
      </c>
      <c r="M211" s="152">
        <v>42837</v>
      </c>
      <c r="N211" s="172">
        <v>5.39</v>
      </c>
      <c r="O211" s="149" t="s">
        <v>728</v>
      </c>
      <c r="P211" s="167" t="s">
        <v>687</v>
      </c>
      <c r="Q211" s="157" t="s">
        <v>414</v>
      </c>
      <c r="R211" s="167" t="s">
        <v>683</v>
      </c>
      <c r="S211" s="166">
        <v>4</v>
      </c>
      <c r="T211" s="167"/>
      <c r="U211" s="166">
        <v>2017</v>
      </c>
    </row>
    <row r="212" spans="1:21" x14ac:dyDescent="0.25">
      <c r="A212" s="165">
        <v>43</v>
      </c>
      <c r="B212" s="173">
        <v>3474</v>
      </c>
      <c r="C212" s="174" t="s">
        <v>636</v>
      </c>
      <c r="D212" s="174" t="s">
        <v>879</v>
      </c>
      <c r="E212" s="168">
        <v>14</v>
      </c>
      <c r="F212" s="186" t="s">
        <v>37</v>
      </c>
      <c r="G212" s="170" t="s">
        <v>745</v>
      </c>
      <c r="H212" s="162" t="s">
        <v>745</v>
      </c>
      <c r="I212" s="162" t="s">
        <v>880</v>
      </c>
      <c r="J212" s="197">
        <v>41308</v>
      </c>
      <c r="K212" s="171" t="s">
        <v>704</v>
      </c>
      <c r="L212" s="187" t="s">
        <v>705</v>
      </c>
      <c r="M212" s="152">
        <v>42854</v>
      </c>
      <c r="N212" s="172">
        <v>4.24</v>
      </c>
      <c r="O212" s="149" t="s">
        <v>706</v>
      </c>
      <c r="P212" s="167" t="s">
        <v>881</v>
      </c>
      <c r="Q212" s="157" t="s">
        <v>415</v>
      </c>
      <c r="R212" s="167" t="s">
        <v>684</v>
      </c>
      <c r="S212" s="166">
        <v>4</v>
      </c>
      <c r="T212" s="167"/>
      <c r="U212" s="166">
        <v>2017</v>
      </c>
    </row>
    <row r="213" spans="1:21" x14ac:dyDescent="0.25">
      <c r="A213" s="165">
        <v>44</v>
      </c>
      <c r="B213" s="173">
        <v>3484</v>
      </c>
      <c r="C213" s="174" t="s">
        <v>322</v>
      </c>
      <c r="D213" s="174" t="s">
        <v>138</v>
      </c>
      <c r="E213" s="168">
        <v>13</v>
      </c>
      <c r="F213" s="186" t="s">
        <v>37</v>
      </c>
      <c r="G213" s="170" t="s">
        <v>753</v>
      </c>
      <c r="H213" s="162" t="s">
        <v>61</v>
      </c>
      <c r="I213" s="162" t="s">
        <v>61</v>
      </c>
      <c r="J213" s="197">
        <v>41350</v>
      </c>
      <c r="K213" s="171" t="s">
        <v>704</v>
      </c>
      <c r="L213" s="187" t="s">
        <v>705</v>
      </c>
      <c r="M213" s="152">
        <v>42840</v>
      </c>
      <c r="N213" s="172">
        <v>4.08</v>
      </c>
      <c r="O213" s="149" t="s">
        <v>706</v>
      </c>
      <c r="P213" s="167" t="s">
        <v>687</v>
      </c>
      <c r="Q213" s="157" t="s">
        <v>415</v>
      </c>
      <c r="R213" s="167" t="s">
        <v>683</v>
      </c>
      <c r="S213" s="166">
        <v>4</v>
      </c>
      <c r="T213" s="167"/>
      <c r="U213" s="166">
        <v>2017</v>
      </c>
    </row>
    <row r="214" spans="1:21" x14ac:dyDescent="0.25">
      <c r="A214" s="165">
        <v>45</v>
      </c>
      <c r="B214" s="173">
        <v>3774</v>
      </c>
      <c r="C214" s="174" t="s">
        <v>637</v>
      </c>
      <c r="D214" s="174" t="s">
        <v>151</v>
      </c>
      <c r="E214" s="168">
        <v>12</v>
      </c>
      <c r="F214" s="186" t="s">
        <v>37</v>
      </c>
      <c r="G214" s="170" t="s">
        <v>39</v>
      </c>
      <c r="H214" s="162" t="s">
        <v>39</v>
      </c>
      <c r="I214" s="162" t="s">
        <v>785</v>
      </c>
      <c r="J214" s="197">
        <v>42022</v>
      </c>
      <c r="K214" s="171" t="s">
        <v>704</v>
      </c>
      <c r="L214" s="187" t="s">
        <v>705</v>
      </c>
      <c r="M214" s="152">
        <v>42824</v>
      </c>
      <c r="N214" s="172">
        <v>2.2000000000000002</v>
      </c>
      <c r="O214" s="149" t="s">
        <v>729</v>
      </c>
      <c r="P214" s="167" t="s">
        <v>687</v>
      </c>
      <c r="Q214" s="157" t="s">
        <v>415</v>
      </c>
      <c r="R214" s="167" t="s">
        <v>683</v>
      </c>
      <c r="S214" s="166">
        <v>4</v>
      </c>
      <c r="T214" s="167"/>
      <c r="U214" s="166">
        <v>2017</v>
      </c>
    </row>
    <row r="215" spans="1:21" x14ac:dyDescent="0.25">
      <c r="A215" s="165">
        <v>46</v>
      </c>
      <c r="B215" s="173">
        <v>3897</v>
      </c>
      <c r="C215" s="174" t="s">
        <v>638</v>
      </c>
      <c r="D215" s="174" t="s">
        <v>86</v>
      </c>
      <c r="E215" s="168">
        <v>11</v>
      </c>
      <c r="F215" s="186" t="s">
        <v>37</v>
      </c>
      <c r="G215" s="170" t="s">
        <v>39</v>
      </c>
      <c r="H215" s="162" t="s">
        <v>39</v>
      </c>
      <c r="I215" s="162" t="s">
        <v>230</v>
      </c>
      <c r="J215" s="197">
        <v>42353</v>
      </c>
      <c r="K215" s="171" t="s">
        <v>704</v>
      </c>
      <c r="L215" s="187" t="s">
        <v>705</v>
      </c>
      <c r="M215" s="152">
        <v>42838</v>
      </c>
      <c r="N215" s="172">
        <v>1.33</v>
      </c>
      <c r="O215" s="149" t="s">
        <v>718</v>
      </c>
      <c r="P215" s="167" t="s">
        <v>872</v>
      </c>
      <c r="Q215" s="157" t="s">
        <v>414</v>
      </c>
      <c r="R215" s="167" t="s">
        <v>684</v>
      </c>
      <c r="S215" s="166">
        <v>4</v>
      </c>
      <c r="T215" s="167"/>
      <c r="U215" s="166">
        <v>2017</v>
      </c>
    </row>
    <row r="216" spans="1:21" x14ac:dyDescent="0.25">
      <c r="A216" s="165">
        <v>47</v>
      </c>
      <c r="B216" s="173">
        <v>4083</v>
      </c>
      <c r="C216" s="174" t="s">
        <v>639</v>
      </c>
      <c r="D216" s="174" t="s">
        <v>84</v>
      </c>
      <c r="E216" s="168">
        <v>11</v>
      </c>
      <c r="F216" s="186" t="s">
        <v>37</v>
      </c>
      <c r="G216" s="170" t="s">
        <v>39</v>
      </c>
      <c r="H216" s="162" t="s">
        <v>39</v>
      </c>
      <c r="I216" s="162" t="s">
        <v>230</v>
      </c>
      <c r="J216" s="197">
        <v>42716</v>
      </c>
      <c r="K216" s="171" t="s">
        <v>704</v>
      </c>
      <c r="L216" s="187" t="s">
        <v>714</v>
      </c>
      <c r="M216" s="152">
        <v>42841</v>
      </c>
      <c r="N216" s="172">
        <v>0.34</v>
      </c>
      <c r="O216" s="149" t="s">
        <v>715</v>
      </c>
      <c r="P216" s="167" t="s">
        <v>882</v>
      </c>
      <c r="Q216" s="157" t="s">
        <v>415</v>
      </c>
      <c r="R216" s="167" t="s">
        <v>685</v>
      </c>
      <c r="S216" s="166">
        <v>4</v>
      </c>
      <c r="T216" s="167"/>
      <c r="U216" s="166">
        <v>2017</v>
      </c>
    </row>
    <row r="217" spans="1:21" x14ac:dyDescent="0.25">
      <c r="A217" s="165">
        <v>48</v>
      </c>
      <c r="B217" s="173">
        <v>4026</v>
      </c>
      <c r="C217" s="174" t="s">
        <v>640</v>
      </c>
      <c r="D217" s="174" t="s">
        <v>883</v>
      </c>
      <c r="E217" s="168">
        <v>14</v>
      </c>
      <c r="F217" s="186" t="s">
        <v>37</v>
      </c>
      <c r="G217" s="170" t="s">
        <v>736</v>
      </c>
      <c r="H217" s="162" t="s">
        <v>736</v>
      </c>
      <c r="I217" s="162" t="s">
        <v>185</v>
      </c>
      <c r="J217" s="197">
        <v>42617</v>
      </c>
      <c r="K217" s="171" t="s">
        <v>704</v>
      </c>
      <c r="L217" s="187" t="s">
        <v>705</v>
      </c>
      <c r="M217" s="152">
        <v>42843</v>
      </c>
      <c r="N217" s="172">
        <v>0.62</v>
      </c>
      <c r="O217" s="149" t="s">
        <v>715</v>
      </c>
      <c r="P217" s="167" t="s">
        <v>687</v>
      </c>
      <c r="Q217" s="157" t="s">
        <v>415</v>
      </c>
      <c r="R217" s="167" t="s">
        <v>683</v>
      </c>
      <c r="S217" s="166">
        <v>4</v>
      </c>
      <c r="T217" s="167"/>
      <c r="U217" s="166">
        <v>2017</v>
      </c>
    </row>
    <row r="218" spans="1:21" x14ac:dyDescent="0.25">
      <c r="A218" s="165">
        <v>49</v>
      </c>
      <c r="B218" s="173">
        <v>3376</v>
      </c>
      <c r="C218" s="174" t="s">
        <v>641</v>
      </c>
      <c r="D218" s="174" t="s">
        <v>126</v>
      </c>
      <c r="E218" s="168">
        <v>13</v>
      </c>
      <c r="F218" s="186" t="s">
        <v>37</v>
      </c>
      <c r="G218" s="170" t="s">
        <v>717</v>
      </c>
      <c r="H218" s="162" t="s">
        <v>717</v>
      </c>
      <c r="I218" s="162" t="s">
        <v>840</v>
      </c>
      <c r="J218" s="197">
        <v>41084</v>
      </c>
      <c r="K218" s="171" t="s">
        <v>704</v>
      </c>
      <c r="L218" s="187" t="s">
        <v>705</v>
      </c>
      <c r="M218" s="152">
        <v>42855</v>
      </c>
      <c r="N218" s="172">
        <v>4.8499999999999996</v>
      </c>
      <c r="O218" s="149" t="s">
        <v>706</v>
      </c>
      <c r="P218" s="167" t="s">
        <v>884</v>
      </c>
      <c r="Q218" s="157" t="s">
        <v>414</v>
      </c>
      <c r="R218" s="167" t="s">
        <v>683</v>
      </c>
      <c r="S218" s="166">
        <v>4</v>
      </c>
      <c r="T218" s="167"/>
      <c r="U218" s="166">
        <v>2017</v>
      </c>
    </row>
    <row r="219" spans="1:21" x14ac:dyDescent="0.25">
      <c r="A219" s="165">
        <v>50</v>
      </c>
      <c r="B219" s="173">
        <v>4111</v>
      </c>
      <c r="C219" s="174" t="s">
        <v>642</v>
      </c>
      <c r="D219" s="174" t="s">
        <v>885</v>
      </c>
      <c r="E219" s="168">
        <v>15</v>
      </c>
      <c r="F219" s="186" t="s">
        <v>37</v>
      </c>
      <c r="G219" s="170" t="s">
        <v>39</v>
      </c>
      <c r="H219" s="162" t="s">
        <v>39</v>
      </c>
      <c r="I219" s="162" t="s">
        <v>41</v>
      </c>
      <c r="J219" s="197">
        <v>42795</v>
      </c>
      <c r="K219" s="171" t="s">
        <v>704</v>
      </c>
      <c r="L219" s="187" t="s">
        <v>705</v>
      </c>
      <c r="M219" s="152">
        <v>42851</v>
      </c>
      <c r="N219" s="172">
        <v>0.16</v>
      </c>
      <c r="O219" s="149" t="s">
        <v>715</v>
      </c>
      <c r="P219" s="167" t="s">
        <v>886</v>
      </c>
      <c r="Q219" s="157" t="s">
        <v>415</v>
      </c>
      <c r="R219" s="167" t="s">
        <v>683</v>
      </c>
      <c r="S219" s="166">
        <v>4</v>
      </c>
      <c r="T219" s="167"/>
      <c r="U219" s="166">
        <v>2017</v>
      </c>
    </row>
    <row r="220" spans="1:21" x14ac:dyDescent="0.25">
      <c r="A220" s="165">
        <v>51</v>
      </c>
      <c r="B220" s="173">
        <v>3395</v>
      </c>
      <c r="C220" s="174" t="s">
        <v>643</v>
      </c>
      <c r="D220" s="174" t="s">
        <v>2</v>
      </c>
      <c r="E220" s="168">
        <v>13</v>
      </c>
      <c r="F220" s="186" t="s">
        <v>37</v>
      </c>
      <c r="G220" s="170" t="s">
        <v>39</v>
      </c>
      <c r="H220" s="162" t="s">
        <v>39</v>
      </c>
      <c r="I220" s="162" t="s">
        <v>41</v>
      </c>
      <c r="J220" s="197">
        <v>41162</v>
      </c>
      <c r="K220" s="171" t="s">
        <v>704</v>
      </c>
      <c r="L220" s="187" t="s">
        <v>705</v>
      </c>
      <c r="M220" s="152">
        <v>42851</v>
      </c>
      <c r="N220" s="172">
        <v>4.63</v>
      </c>
      <c r="O220" s="149" t="s">
        <v>706</v>
      </c>
      <c r="P220" s="167" t="s">
        <v>687</v>
      </c>
      <c r="Q220" s="157" t="s">
        <v>415</v>
      </c>
      <c r="R220" s="167" t="s">
        <v>683</v>
      </c>
      <c r="S220" s="166">
        <v>4</v>
      </c>
      <c r="T220" s="167"/>
      <c r="U220" s="166">
        <v>2017</v>
      </c>
    </row>
    <row r="221" spans="1:21" x14ac:dyDescent="0.25">
      <c r="A221" s="165">
        <v>52</v>
      </c>
      <c r="B221" s="173">
        <v>1936</v>
      </c>
      <c r="C221" s="174" t="s">
        <v>644</v>
      </c>
      <c r="D221" s="174" t="s">
        <v>161</v>
      </c>
      <c r="E221" s="168">
        <v>17</v>
      </c>
      <c r="F221" s="186" t="s">
        <v>37</v>
      </c>
      <c r="G221" s="170" t="s">
        <v>39</v>
      </c>
      <c r="H221" s="162" t="s">
        <v>39</v>
      </c>
      <c r="I221" s="162" t="s">
        <v>41</v>
      </c>
      <c r="J221" s="197">
        <v>37012</v>
      </c>
      <c r="K221" s="171" t="s">
        <v>45</v>
      </c>
      <c r="L221" s="187" t="s">
        <v>705</v>
      </c>
      <c r="M221" s="152">
        <v>42855</v>
      </c>
      <c r="N221" s="172">
        <v>16</v>
      </c>
      <c r="O221" s="149" t="s">
        <v>709</v>
      </c>
      <c r="P221" s="167" t="s">
        <v>887</v>
      </c>
      <c r="Q221" s="157" t="s">
        <v>415</v>
      </c>
      <c r="R221" s="167" t="s">
        <v>684</v>
      </c>
      <c r="S221" s="166">
        <v>4</v>
      </c>
      <c r="T221" s="167"/>
      <c r="U221" s="166">
        <v>2017</v>
      </c>
    </row>
    <row r="222" spans="1:21" x14ac:dyDescent="0.25">
      <c r="A222" s="165">
        <v>53</v>
      </c>
      <c r="B222" s="173">
        <v>3901</v>
      </c>
      <c r="C222" s="174" t="s">
        <v>645</v>
      </c>
      <c r="D222" s="174" t="s">
        <v>84</v>
      </c>
      <c r="E222" s="168">
        <v>11</v>
      </c>
      <c r="F222" s="186" t="s">
        <v>37</v>
      </c>
      <c r="G222" s="170" t="s">
        <v>39</v>
      </c>
      <c r="H222" s="162" t="s">
        <v>39</v>
      </c>
      <c r="I222" s="162" t="s">
        <v>230</v>
      </c>
      <c r="J222" s="197">
        <v>42353</v>
      </c>
      <c r="K222" s="171" t="s">
        <v>704</v>
      </c>
      <c r="L222" s="187" t="s">
        <v>705</v>
      </c>
      <c r="M222" s="152">
        <v>42855</v>
      </c>
      <c r="N222" s="172">
        <v>1.38</v>
      </c>
      <c r="O222" s="149" t="s">
        <v>718</v>
      </c>
      <c r="P222" s="167" t="s">
        <v>888</v>
      </c>
      <c r="Q222" s="157" t="s">
        <v>415</v>
      </c>
      <c r="R222" s="167" t="s">
        <v>684</v>
      </c>
      <c r="S222" s="166">
        <v>5</v>
      </c>
      <c r="T222" s="167"/>
      <c r="U222" s="166">
        <v>2017</v>
      </c>
    </row>
    <row r="223" spans="1:21" x14ac:dyDescent="0.25">
      <c r="A223" s="165">
        <v>54</v>
      </c>
      <c r="B223" s="173">
        <v>3637</v>
      </c>
      <c r="C223" s="174" t="s">
        <v>646</v>
      </c>
      <c r="D223" s="174" t="s">
        <v>86</v>
      </c>
      <c r="E223" s="168">
        <v>11</v>
      </c>
      <c r="F223" s="186" t="s">
        <v>37</v>
      </c>
      <c r="G223" s="170" t="s">
        <v>39</v>
      </c>
      <c r="H223" s="162" t="s">
        <v>39</v>
      </c>
      <c r="I223" s="162" t="s">
        <v>230</v>
      </c>
      <c r="J223" s="197">
        <v>41730</v>
      </c>
      <c r="K223" s="171" t="s">
        <v>704</v>
      </c>
      <c r="L223" s="187" t="s">
        <v>705</v>
      </c>
      <c r="M223" s="152">
        <v>42855</v>
      </c>
      <c r="N223" s="172">
        <v>3.08</v>
      </c>
      <c r="O223" s="149" t="s">
        <v>706</v>
      </c>
      <c r="P223" s="167" t="s">
        <v>773</v>
      </c>
      <c r="Q223" s="157" t="s">
        <v>415</v>
      </c>
      <c r="R223" s="167" t="s">
        <v>684</v>
      </c>
      <c r="S223" s="166">
        <v>5</v>
      </c>
      <c r="T223" s="167"/>
      <c r="U223" s="166">
        <v>2017</v>
      </c>
    </row>
    <row r="224" spans="1:21" x14ac:dyDescent="0.25">
      <c r="A224" s="165">
        <v>55</v>
      </c>
      <c r="B224" s="173">
        <v>3844</v>
      </c>
      <c r="C224" s="174" t="s">
        <v>647</v>
      </c>
      <c r="D224" s="174" t="s">
        <v>2</v>
      </c>
      <c r="E224" s="168">
        <v>12</v>
      </c>
      <c r="F224" s="186" t="s">
        <v>37</v>
      </c>
      <c r="G224" s="170" t="s">
        <v>39</v>
      </c>
      <c r="H224" s="162" t="s">
        <v>39</v>
      </c>
      <c r="I224" s="162" t="s">
        <v>41</v>
      </c>
      <c r="J224" s="197">
        <v>42218</v>
      </c>
      <c r="K224" s="171" t="s">
        <v>704</v>
      </c>
      <c r="L224" s="187" t="s">
        <v>705</v>
      </c>
      <c r="M224" s="152">
        <v>42855</v>
      </c>
      <c r="N224" s="172">
        <v>1.75</v>
      </c>
      <c r="O224" s="149" t="s">
        <v>718</v>
      </c>
      <c r="P224" s="167" t="s">
        <v>889</v>
      </c>
      <c r="Q224" s="157" t="s">
        <v>414</v>
      </c>
      <c r="R224" s="167" t="s">
        <v>687</v>
      </c>
      <c r="S224" s="166">
        <v>5</v>
      </c>
      <c r="T224" s="167"/>
      <c r="U224" s="166">
        <v>2017</v>
      </c>
    </row>
    <row r="225" spans="1:21" x14ac:dyDescent="0.25">
      <c r="A225" s="165">
        <v>56</v>
      </c>
      <c r="B225" s="173">
        <v>3627</v>
      </c>
      <c r="C225" s="174" t="s">
        <v>648</v>
      </c>
      <c r="D225" s="174" t="s">
        <v>746</v>
      </c>
      <c r="E225" s="168">
        <v>13</v>
      </c>
      <c r="F225" s="186" t="s">
        <v>37</v>
      </c>
      <c r="G225" s="170" t="s">
        <v>59</v>
      </c>
      <c r="H225" s="162" t="s">
        <v>59</v>
      </c>
      <c r="I225" s="162" t="s">
        <v>890</v>
      </c>
      <c r="J225" s="197">
        <v>41707</v>
      </c>
      <c r="K225" s="171" t="s">
        <v>704</v>
      </c>
      <c r="L225" s="187" t="s">
        <v>705</v>
      </c>
      <c r="M225" s="152">
        <v>42855</v>
      </c>
      <c r="N225" s="172">
        <v>3.15</v>
      </c>
      <c r="O225" s="149" t="s">
        <v>706</v>
      </c>
      <c r="P225" s="167" t="s">
        <v>891</v>
      </c>
      <c r="Q225" s="157" t="s">
        <v>414</v>
      </c>
      <c r="R225" s="167" t="s">
        <v>687</v>
      </c>
      <c r="S225" s="166">
        <v>5</v>
      </c>
      <c r="T225" s="167"/>
      <c r="U225" s="166">
        <v>2017</v>
      </c>
    </row>
    <row r="226" spans="1:21" x14ac:dyDescent="0.25">
      <c r="A226" s="165">
        <v>57</v>
      </c>
      <c r="B226" s="173">
        <v>3662</v>
      </c>
      <c r="C226" s="174" t="s">
        <v>649</v>
      </c>
      <c r="D226" s="174" t="s">
        <v>710</v>
      </c>
      <c r="E226" s="168" t="s">
        <v>711</v>
      </c>
      <c r="F226" s="186" t="s">
        <v>37</v>
      </c>
      <c r="G226" s="170" t="s">
        <v>39</v>
      </c>
      <c r="H226" s="162" t="s">
        <v>39</v>
      </c>
      <c r="I226" s="162" t="s">
        <v>794</v>
      </c>
      <c r="J226" s="197">
        <v>41742</v>
      </c>
      <c r="K226" s="171" t="s">
        <v>704</v>
      </c>
      <c r="L226" s="187" t="s">
        <v>705</v>
      </c>
      <c r="M226" s="152">
        <v>42855</v>
      </c>
      <c r="N226" s="172">
        <v>3.05</v>
      </c>
      <c r="O226" s="149" t="s">
        <v>706</v>
      </c>
      <c r="P226" s="167" t="s">
        <v>892</v>
      </c>
      <c r="Q226" s="157" t="s">
        <v>415</v>
      </c>
      <c r="R226" s="167" t="s">
        <v>684</v>
      </c>
      <c r="S226" s="166">
        <v>5</v>
      </c>
      <c r="T226" s="167"/>
      <c r="U226" s="166">
        <v>2017</v>
      </c>
    </row>
    <row r="227" spans="1:21" x14ac:dyDescent="0.25">
      <c r="A227" s="165">
        <v>58</v>
      </c>
      <c r="B227" s="173">
        <v>3755</v>
      </c>
      <c r="C227" s="174" t="s">
        <v>650</v>
      </c>
      <c r="D227" s="174" t="s">
        <v>86</v>
      </c>
      <c r="E227" s="168">
        <v>11</v>
      </c>
      <c r="F227" s="186" t="s">
        <v>37</v>
      </c>
      <c r="G227" s="170" t="s">
        <v>39</v>
      </c>
      <c r="H227" s="162" t="s">
        <v>39</v>
      </c>
      <c r="I227" s="162" t="s">
        <v>230</v>
      </c>
      <c r="J227" s="197">
        <v>41994</v>
      </c>
      <c r="K227" s="171" t="s">
        <v>704</v>
      </c>
      <c r="L227" s="187" t="s">
        <v>705</v>
      </c>
      <c r="M227" s="152">
        <v>42855</v>
      </c>
      <c r="N227" s="172">
        <v>2.36</v>
      </c>
      <c r="O227" s="149" t="s">
        <v>729</v>
      </c>
      <c r="P227" s="167" t="s">
        <v>893</v>
      </c>
      <c r="Q227" s="157" t="s">
        <v>414</v>
      </c>
      <c r="R227" s="167" t="s">
        <v>687</v>
      </c>
      <c r="S227" s="166">
        <v>5</v>
      </c>
      <c r="T227" s="167"/>
      <c r="U227" s="166">
        <v>2017</v>
      </c>
    </row>
    <row r="228" spans="1:21" x14ac:dyDescent="0.25">
      <c r="A228" s="165">
        <v>59</v>
      </c>
      <c r="B228" s="173">
        <v>3264</v>
      </c>
      <c r="C228" s="174" t="s">
        <v>651</v>
      </c>
      <c r="D228" s="174" t="s">
        <v>98</v>
      </c>
      <c r="E228" s="168">
        <v>14</v>
      </c>
      <c r="F228" s="186" t="s">
        <v>37</v>
      </c>
      <c r="G228" s="170" t="s">
        <v>72</v>
      </c>
      <c r="H228" s="162" t="s">
        <v>177</v>
      </c>
      <c r="I228" s="162" t="s">
        <v>177</v>
      </c>
      <c r="J228" s="197">
        <v>40790</v>
      </c>
      <c r="K228" s="171" t="s">
        <v>704</v>
      </c>
      <c r="L228" s="187" t="s">
        <v>705</v>
      </c>
      <c r="M228" s="152">
        <v>42856</v>
      </c>
      <c r="N228" s="172">
        <v>5.66</v>
      </c>
      <c r="O228" s="149" t="s">
        <v>728</v>
      </c>
      <c r="P228" s="167" t="s">
        <v>894</v>
      </c>
      <c r="Q228" s="157" t="s">
        <v>415</v>
      </c>
      <c r="R228" s="167" t="s">
        <v>684</v>
      </c>
      <c r="S228" s="166">
        <v>5</v>
      </c>
      <c r="T228" s="167"/>
      <c r="U228" s="166">
        <v>2017</v>
      </c>
    </row>
    <row r="229" spans="1:21" x14ac:dyDescent="0.25">
      <c r="A229" s="165">
        <v>60</v>
      </c>
      <c r="B229" s="173">
        <v>3435</v>
      </c>
      <c r="C229" s="174" t="s">
        <v>652</v>
      </c>
      <c r="D229" s="174" t="s">
        <v>2</v>
      </c>
      <c r="E229" s="168">
        <v>12</v>
      </c>
      <c r="F229" s="186" t="s">
        <v>37</v>
      </c>
      <c r="G229" s="170" t="s">
        <v>39</v>
      </c>
      <c r="H229" s="162" t="s">
        <v>39</v>
      </c>
      <c r="I229" s="162" t="s">
        <v>41</v>
      </c>
      <c r="J229" s="197">
        <v>41218</v>
      </c>
      <c r="K229" s="171" t="s">
        <v>704</v>
      </c>
      <c r="L229" s="187" t="s">
        <v>705</v>
      </c>
      <c r="M229" s="152">
        <v>42859</v>
      </c>
      <c r="N229" s="172">
        <v>4.5</v>
      </c>
      <c r="O229" s="149" t="s">
        <v>706</v>
      </c>
      <c r="P229" s="167" t="s">
        <v>687</v>
      </c>
      <c r="Q229" s="157" t="s">
        <v>415</v>
      </c>
      <c r="R229" s="167" t="s">
        <v>687</v>
      </c>
      <c r="S229" s="166">
        <v>5</v>
      </c>
      <c r="T229" s="167"/>
      <c r="U229" s="166">
        <v>2017</v>
      </c>
    </row>
    <row r="230" spans="1:21" x14ac:dyDescent="0.25">
      <c r="A230" s="165">
        <v>61</v>
      </c>
      <c r="B230" s="173">
        <v>3857</v>
      </c>
      <c r="C230" s="174" t="s">
        <v>653</v>
      </c>
      <c r="D230" s="174" t="s">
        <v>710</v>
      </c>
      <c r="E230" s="168">
        <v>11</v>
      </c>
      <c r="F230" s="186" t="s">
        <v>37</v>
      </c>
      <c r="G230" s="170" t="s">
        <v>39</v>
      </c>
      <c r="H230" s="162" t="s">
        <v>39</v>
      </c>
      <c r="I230" s="162" t="s">
        <v>794</v>
      </c>
      <c r="J230" s="197">
        <v>42278</v>
      </c>
      <c r="K230" s="171" t="s">
        <v>704</v>
      </c>
      <c r="L230" s="187" t="s">
        <v>705</v>
      </c>
      <c r="M230" s="152">
        <v>42862</v>
      </c>
      <c r="N230" s="172">
        <v>1.6</v>
      </c>
      <c r="O230" s="149" t="s">
        <v>718</v>
      </c>
      <c r="P230" s="167" t="s">
        <v>895</v>
      </c>
      <c r="Q230" s="157" t="s">
        <v>415</v>
      </c>
      <c r="R230" s="167" t="s">
        <v>684</v>
      </c>
      <c r="S230" s="166">
        <v>5</v>
      </c>
      <c r="T230" s="167"/>
      <c r="U230" s="166">
        <v>2017</v>
      </c>
    </row>
    <row r="231" spans="1:21" x14ac:dyDescent="0.25">
      <c r="A231" s="165">
        <v>62</v>
      </c>
      <c r="B231" s="173">
        <v>4063</v>
      </c>
      <c r="C231" s="174" t="s">
        <v>654</v>
      </c>
      <c r="D231" s="174" t="s">
        <v>84</v>
      </c>
      <c r="E231" s="168">
        <v>11</v>
      </c>
      <c r="F231" s="186" t="s">
        <v>37</v>
      </c>
      <c r="G231" s="170" t="s">
        <v>39</v>
      </c>
      <c r="H231" s="162" t="s">
        <v>39</v>
      </c>
      <c r="I231" s="162" t="s">
        <v>230</v>
      </c>
      <c r="J231" s="197">
        <v>42660</v>
      </c>
      <c r="K231" s="171" t="s">
        <v>704</v>
      </c>
      <c r="L231" s="187" t="s">
        <v>705</v>
      </c>
      <c r="M231" s="152">
        <v>42864</v>
      </c>
      <c r="N231" s="172">
        <v>0.56000000000000005</v>
      </c>
      <c r="O231" s="149" t="s">
        <v>715</v>
      </c>
      <c r="P231" s="167" t="s">
        <v>896</v>
      </c>
      <c r="Q231" s="157" t="s">
        <v>415</v>
      </c>
      <c r="R231" s="167" t="s">
        <v>685</v>
      </c>
      <c r="S231" s="166">
        <v>5</v>
      </c>
      <c r="T231" s="167"/>
      <c r="U231" s="166">
        <v>2017</v>
      </c>
    </row>
    <row r="232" spans="1:21" x14ac:dyDescent="0.25">
      <c r="A232" s="165">
        <v>63</v>
      </c>
      <c r="B232" s="173">
        <v>4119</v>
      </c>
      <c r="C232" s="174" t="s">
        <v>361</v>
      </c>
      <c r="D232" s="174" t="s">
        <v>897</v>
      </c>
      <c r="E232" s="168">
        <v>11</v>
      </c>
      <c r="F232" s="186" t="s">
        <v>37</v>
      </c>
      <c r="G232" s="170" t="s">
        <v>57</v>
      </c>
      <c r="H232" s="162" t="s">
        <v>57</v>
      </c>
      <c r="I232" s="162" t="s">
        <v>57</v>
      </c>
      <c r="J232" s="197">
        <v>42799</v>
      </c>
      <c r="K232" s="171" t="s">
        <v>704</v>
      </c>
      <c r="L232" s="187" t="s">
        <v>705</v>
      </c>
      <c r="M232" s="152">
        <v>42869</v>
      </c>
      <c r="N232" s="172">
        <v>0.19</v>
      </c>
      <c r="O232" s="149" t="s">
        <v>715</v>
      </c>
      <c r="P232" s="167" t="s">
        <v>898</v>
      </c>
      <c r="Q232" s="157" t="s">
        <v>415</v>
      </c>
      <c r="R232" s="167" t="s">
        <v>687</v>
      </c>
      <c r="S232" s="166">
        <v>5</v>
      </c>
      <c r="T232" s="167"/>
      <c r="U232" s="166">
        <v>2017</v>
      </c>
    </row>
    <row r="233" spans="1:21" x14ac:dyDescent="0.25">
      <c r="A233" s="165">
        <v>64</v>
      </c>
      <c r="B233" s="173">
        <v>3677</v>
      </c>
      <c r="C233" s="174" t="s">
        <v>655</v>
      </c>
      <c r="D233" s="174" t="s">
        <v>86</v>
      </c>
      <c r="E233" s="168">
        <v>11</v>
      </c>
      <c r="F233" s="186" t="s">
        <v>37</v>
      </c>
      <c r="G233" s="170" t="s">
        <v>39</v>
      </c>
      <c r="H233" s="162" t="s">
        <v>39</v>
      </c>
      <c r="I233" s="162" t="s">
        <v>230</v>
      </c>
      <c r="J233" s="197">
        <v>41777</v>
      </c>
      <c r="K233" s="171" t="s">
        <v>704</v>
      </c>
      <c r="L233" s="187" t="s">
        <v>705</v>
      </c>
      <c r="M233" s="152">
        <v>42873</v>
      </c>
      <c r="N233" s="172">
        <v>3</v>
      </c>
      <c r="O233" s="149" t="s">
        <v>706</v>
      </c>
      <c r="P233" s="167" t="s">
        <v>899</v>
      </c>
      <c r="Q233" s="157" t="s">
        <v>414</v>
      </c>
      <c r="R233" s="167" t="s">
        <v>684</v>
      </c>
      <c r="S233" s="166">
        <v>5</v>
      </c>
      <c r="T233" s="167"/>
      <c r="U233" s="166">
        <v>2017</v>
      </c>
    </row>
    <row r="234" spans="1:21" x14ac:dyDescent="0.25">
      <c r="A234" s="165">
        <v>65</v>
      </c>
      <c r="B234" s="173">
        <v>3674</v>
      </c>
      <c r="C234" s="174" t="s">
        <v>656</v>
      </c>
      <c r="D234" s="174" t="s">
        <v>900</v>
      </c>
      <c r="E234" s="168">
        <v>14</v>
      </c>
      <c r="F234" s="186" t="s">
        <v>37</v>
      </c>
      <c r="G234" s="170" t="s">
        <v>847</v>
      </c>
      <c r="H234" s="162" t="s">
        <v>847</v>
      </c>
      <c r="I234" s="162" t="s">
        <v>848</v>
      </c>
      <c r="J234" s="197">
        <v>41763</v>
      </c>
      <c r="K234" s="171" t="s">
        <v>704</v>
      </c>
      <c r="L234" s="187" t="s">
        <v>705</v>
      </c>
      <c r="M234" s="152">
        <v>42880</v>
      </c>
      <c r="N234" s="172">
        <v>3.06</v>
      </c>
      <c r="O234" s="149" t="s">
        <v>706</v>
      </c>
      <c r="P234" s="167" t="s">
        <v>901</v>
      </c>
      <c r="Q234" s="157" t="s">
        <v>415</v>
      </c>
      <c r="R234" s="167" t="s">
        <v>687</v>
      </c>
      <c r="S234" s="166">
        <v>5</v>
      </c>
      <c r="T234" s="167"/>
      <c r="U234" s="166">
        <v>2017</v>
      </c>
    </row>
    <row r="235" spans="1:21" x14ac:dyDescent="0.25">
      <c r="A235" s="165">
        <v>66</v>
      </c>
      <c r="B235" s="173">
        <v>4102</v>
      </c>
      <c r="C235" s="174" t="s">
        <v>657</v>
      </c>
      <c r="D235" s="174" t="s">
        <v>138</v>
      </c>
      <c r="E235" s="168">
        <v>12</v>
      </c>
      <c r="F235" s="186" t="s">
        <v>37</v>
      </c>
      <c r="G235" s="170" t="s">
        <v>753</v>
      </c>
      <c r="H235" s="162" t="s">
        <v>61</v>
      </c>
      <c r="I235" s="162" t="s">
        <v>61</v>
      </c>
      <c r="J235" s="197">
        <v>42767</v>
      </c>
      <c r="K235" s="171" t="s">
        <v>704</v>
      </c>
      <c r="L235" s="187" t="s">
        <v>705</v>
      </c>
      <c r="M235" s="152">
        <v>42878</v>
      </c>
      <c r="N235" s="172">
        <v>0.31</v>
      </c>
      <c r="O235" s="149" t="s">
        <v>715</v>
      </c>
      <c r="P235" s="167" t="s">
        <v>902</v>
      </c>
      <c r="Q235" s="157" t="s">
        <v>415</v>
      </c>
      <c r="R235" s="167" t="s">
        <v>684</v>
      </c>
      <c r="S235" s="166">
        <v>5</v>
      </c>
      <c r="T235" s="167"/>
      <c r="U235" s="166">
        <v>2017</v>
      </c>
    </row>
    <row r="236" spans="1:21" x14ac:dyDescent="0.25">
      <c r="A236" s="165">
        <v>67</v>
      </c>
      <c r="B236" s="173">
        <v>1136</v>
      </c>
      <c r="C236" s="174" t="s">
        <v>658</v>
      </c>
      <c r="D236" s="174" t="s">
        <v>163</v>
      </c>
      <c r="E236" s="168">
        <v>16</v>
      </c>
      <c r="F236" s="186" t="s">
        <v>37</v>
      </c>
      <c r="G236" s="170" t="s">
        <v>39</v>
      </c>
      <c r="H236" s="162" t="s">
        <v>39</v>
      </c>
      <c r="I236" s="162" t="s">
        <v>230</v>
      </c>
      <c r="J236" s="197">
        <v>33441</v>
      </c>
      <c r="K236" s="171" t="s">
        <v>704</v>
      </c>
      <c r="L236" s="187" t="s">
        <v>705</v>
      </c>
      <c r="M236" s="152">
        <v>42866</v>
      </c>
      <c r="N236" s="172">
        <v>25.81</v>
      </c>
      <c r="O236" s="149" t="s">
        <v>709</v>
      </c>
      <c r="P236" s="167" t="s">
        <v>824</v>
      </c>
      <c r="Q236" s="157" t="s">
        <v>415</v>
      </c>
      <c r="R236" s="167" t="s">
        <v>685</v>
      </c>
      <c r="S236" s="166">
        <v>5</v>
      </c>
      <c r="T236" s="167"/>
      <c r="U236" s="166">
        <v>2017</v>
      </c>
    </row>
    <row r="237" spans="1:21" x14ac:dyDescent="0.25">
      <c r="A237" s="165">
        <v>68</v>
      </c>
      <c r="B237" s="173">
        <v>4054</v>
      </c>
      <c r="C237" s="174" t="s">
        <v>659</v>
      </c>
      <c r="D237" s="174" t="s">
        <v>110</v>
      </c>
      <c r="E237" s="168">
        <v>15</v>
      </c>
      <c r="F237" s="186" t="s">
        <v>37</v>
      </c>
      <c r="G237" s="170" t="s">
        <v>56</v>
      </c>
      <c r="H237" s="162" t="s">
        <v>56</v>
      </c>
      <c r="I237" s="162" t="s">
        <v>56</v>
      </c>
      <c r="J237" s="197">
        <v>42646</v>
      </c>
      <c r="K237" s="171" t="s">
        <v>704</v>
      </c>
      <c r="L237" s="187" t="s">
        <v>705</v>
      </c>
      <c r="M237" s="152">
        <v>42863</v>
      </c>
      <c r="N237" s="172">
        <v>0.6</v>
      </c>
      <c r="O237" s="149" t="s">
        <v>715</v>
      </c>
      <c r="P237" s="167" t="s">
        <v>903</v>
      </c>
      <c r="Q237" s="157" t="s">
        <v>415</v>
      </c>
      <c r="R237" s="167" t="s">
        <v>684</v>
      </c>
      <c r="S237" s="166">
        <v>5</v>
      </c>
      <c r="T237" s="167"/>
      <c r="U237" s="166">
        <v>2017</v>
      </c>
    </row>
    <row r="238" spans="1:21" x14ac:dyDescent="0.25">
      <c r="A238" s="165">
        <v>69</v>
      </c>
      <c r="B238" s="173">
        <v>3442</v>
      </c>
      <c r="C238" s="174" t="s">
        <v>660</v>
      </c>
      <c r="D238" s="174" t="s">
        <v>143</v>
      </c>
      <c r="E238" s="168">
        <v>13</v>
      </c>
      <c r="F238" s="186" t="s">
        <v>37</v>
      </c>
      <c r="G238" s="170" t="s">
        <v>753</v>
      </c>
      <c r="H238" s="162" t="s">
        <v>368</v>
      </c>
      <c r="I238" s="162" t="s">
        <v>368</v>
      </c>
      <c r="J238" s="197">
        <v>41248</v>
      </c>
      <c r="K238" s="171" t="s">
        <v>704</v>
      </c>
      <c r="L238" s="187" t="s">
        <v>705</v>
      </c>
      <c r="M238" s="152">
        <v>42886</v>
      </c>
      <c r="N238" s="172">
        <v>4.49</v>
      </c>
      <c r="O238" s="149" t="s">
        <v>706</v>
      </c>
      <c r="P238" s="167" t="s">
        <v>904</v>
      </c>
      <c r="Q238" s="157" t="s">
        <v>415</v>
      </c>
      <c r="R238" s="167" t="s">
        <v>684</v>
      </c>
      <c r="S238" s="166">
        <v>6</v>
      </c>
      <c r="T238" s="167"/>
      <c r="U238" s="166">
        <v>2017</v>
      </c>
    </row>
    <row r="239" spans="1:21" x14ac:dyDescent="0.25">
      <c r="A239" s="165">
        <v>70</v>
      </c>
      <c r="B239" s="173">
        <v>3716</v>
      </c>
      <c r="C239" s="174" t="s">
        <v>661</v>
      </c>
      <c r="D239" s="174" t="s">
        <v>86</v>
      </c>
      <c r="E239" s="168">
        <v>11</v>
      </c>
      <c r="F239" s="186" t="s">
        <v>37</v>
      </c>
      <c r="G239" s="170" t="s">
        <v>39</v>
      </c>
      <c r="H239" s="162" t="s">
        <v>39</v>
      </c>
      <c r="I239" s="162" t="s">
        <v>230</v>
      </c>
      <c r="J239" s="197">
        <v>41898</v>
      </c>
      <c r="K239" s="171" t="s">
        <v>704</v>
      </c>
      <c r="L239" s="187" t="s">
        <v>705</v>
      </c>
      <c r="M239" s="152">
        <v>42901</v>
      </c>
      <c r="N239" s="172">
        <v>2.75</v>
      </c>
      <c r="O239" s="149" t="s">
        <v>729</v>
      </c>
      <c r="P239" s="167" t="s">
        <v>905</v>
      </c>
      <c r="Q239" s="157" t="s">
        <v>415</v>
      </c>
      <c r="R239" s="167" t="s">
        <v>684</v>
      </c>
      <c r="S239" s="166">
        <v>6</v>
      </c>
      <c r="T239" s="167"/>
      <c r="U239" s="166">
        <v>2017</v>
      </c>
    </row>
    <row r="240" spans="1:21" x14ac:dyDescent="0.25">
      <c r="A240" s="165">
        <v>71</v>
      </c>
      <c r="B240" s="173">
        <v>3940</v>
      </c>
      <c r="C240" s="174" t="s">
        <v>662</v>
      </c>
      <c r="D240" s="174" t="s">
        <v>84</v>
      </c>
      <c r="E240" s="168">
        <v>11</v>
      </c>
      <c r="F240" s="186" t="s">
        <v>37</v>
      </c>
      <c r="G240" s="170" t="s">
        <v>39</v>
      </c>
      <c r="H240" s="162" t="s">
        <v>39</v>
      </c>
      <c r="I240" s="162" t="s">
        <v>230</v>
      </c>
      <c r="J240" s="197">
        <v>42463</v>
      </c>
      <c r="K240" s="171" t="s">
        <v>704</v>
      </c>
      <c r="L240" s="187" t="s">
        <v>705</v>
      </c>
      <c r="M240" s="152">
        <v>42908</v>
      </c>
      <c r="N240" s="172">
        <v>1.22</v>
      </c>
      <c r="O240" s="149" t="s">
        <v>718</v>
      </c>
      <c r="P240" s="167" t="s">
        <v>687</v>
      </c>
      <c r="Q240" s="157" t="s">
        <v>414</v>
      </c>
      <c r="R240" s="167" t="s">
        <v>687</v>
      </c>
      <c r="S240" s="166">
        <v>6</v>
      </c>
      <c r="T240" s="167"/>
      <c r="U240" s="166">
        <v>2017</v>
      </c>
    </row>
    <row r="241" spans="1:21" x14ac:dyDescent="0.25">
      <c r="A241" s="165">
        <v>72</v>
      </c>
      <c r="B241" s="173">
        <v>3599</v>
      </c>
      <c r="C241" s="174" t="s">
        <v>369</v>
      </c>
      <c r="D241" s="174" t="s">
        <v>114</v>
      </c>
      <c r="E241" s="168">
        <v>14</v>
      </c>
      <c r="F241" s="186" t="s">
        <v>37</v>
      </c>
      <c r="G241" s="170" t="s">
        <v>753</v>
      </c>
      <c r="H241" s="162" t="s">
        <v>197</v>
      </c>
      <c r="I241" s="162" t="s">
        <v>876</v>
      </c>
      <c r="J241" s="197">
        <v>41588</v>
      </c>
      <c r="K241" s="171" t="s">
        <v>704</v>
      </c>
      <c r="L241" s="187" t="s">
        <v>705</v>
      </c>
      <c r="M241" s="152">
        <v>42890</v>
      </c>
      <c r="N241" s="172">
        <v>3.57</v>
      </c>
      <c r="O241" s="149" t="s">
        <v>706</v>
      </c>
      <c r="P241" s="167" t="s">
        <v>906</v>
      </c>
      <c r="Q241" s="157" t="s">
        <v>415</v>
      </c>
      <c r="R241" s="167" t="s">
        <v>684</v>
      </c>
      <c r="S241" s="166">
        <v>6</v>
      </c>
      <c r="T241" s="167"/>
      <c r="U241" s="166">
        <v>2017</v>
      </c>
    </row>
    <row r="242" spans="1:21" x14ac:dyDescent="0.25">
      <c r="A242" s="165">
        <v>73</v>
      </c>
      <c r="B242" s="173">
        <v>2620</v>
      </c>
      <c r="C242" s="174" t="s">
        <v>663</v>
      </c>
      <c r="D242" s="174" t="s">
        <v>160</v>
      </c>
      <c r="E242" s="168">
        <v>14</v>
      </c>
      <c r="F242" s="186" t="s">
        <v>37</v>
      </c>
      <c r="G242" s="170" t="s">
        <v>39</v>
      </c>
      <c r="H242" s="162" t="s">
        <v>39</v>
      </c>
      <c r="I242" s="162" t="s">
        <v>41</v>
      </c>
      <c r="J242" s="197">
        <v>39078</v>
      </c>
      <c r="K242" s="171" t="s">
        <v>704</v>
      </c>
      <c r="L242" s="187" t="s">
        <v>714</v>
      </c>
      <c r="M242" s="152">
        <v>42901</v>
      </c>
      <c r="N242" s="172">
        <v>10.47</v>
      </c>
      <c r="O242" s="149" t="s">
        <v>709</v>
      </c>
      <c r="P242" s="167" t="s">
        <v>907</v>
      </c>
      <c r="Q242" s="157" t="s">
        <v>415</v>
      </c>
      <c r="R242" s="167" t="s">
        <v>684</v>
      </c>
      <c r="S242" s="166">
        <v>6</v>
      </c>
      <c r="T242" s="167"/>
      <c r="U242" s="166">
        <v>2017</v>
      </c>
    </row>
    <row r="243" spans="1:21" x14ac:dyDescent="0.25">
      <c r="A243" s="165">
        <v>74</v>
      </c>
      <c r="B243" s="173">
        <v>3289</v>
      </c>
      <c r="C243" s="174" t="s">
        <v>664</v>
      </c>
      <c r="D243" s="174" t="s">
        <v>144</v>
      </c>
      <c r="E243" s="168">
        <v>13</v>
      </c>
      <c r="F243" s="186" t="s">
        <v>37</v>
      </c>
      <c r="G243" s="170" t="s">
        <v>753</v>
      </c>
      <c r="H243" s="162" t="s">
        <v>368</v>
      </c>
      <c r="I243" s="162" t="s">
        <v>368</v>
      </c>
      <c r="J243" s="197">
        <v>40818</v>
      </c>
      <c r="K243" s="171" t="s">
        <v>704</v>
      </c>
      <c r="L243" s="187" t="s">
        <v>705</v>
      </c>
      <c r="M243" s="152">
        <v>42908</v>
      </c>
      <c r="N243" s="172">
        <v>5.72</v>
      </c>
      <c r="O243" s="149" t="s">
        <v>728</v>
      </c>
      <c r="P243" s="167" t="s">
        <v>687</v>
      </c>
      <c r="Q243" s="157" t="s">
        <v>414</v>
      </c>
      <c r="R243" s="167" t="s">
        <v>687</v>
      </c>
      <c r="S243" s="166">
        <v>6</v>
      </c>
      <c r="T243" s="167"/>
      <c r="U243" s="166">
        <v>2017</v>
      </c>
    </row>
    <row r="244" spans="1:21" x14ac:dyDescent="0.25">
      <c r="A244" s="165">
        <v>75</v>
      </c>
      <c r="B244" s="173">
        <v>3746</v>
      </c>
      <c r="C244" s="174" t="s">
        <v>374</v>
      </c>
      <c r="D244" s="174" t="s">
        <v>125</v>
      </c>
      <c r="E244" s="168">
        <v>16</v>
      </c>
      <c r="F244" s="186" t="s">
        <v>37</v>
      </c>
      <c r="G244" s="170" t="s">
        <v>58</v>
      </c>
      <c r="H244" s="162" t="s">
        <v>58</v>
      </c>
      <c r="I244" s="162" t="s">
        <v>202</v>
      </c>
      <c r="J244" s="197">
        <v>41966</v>
      </c>
      <c r="K244" s="171" t="s">
        <v>45</v>
      </c>
      <c r="L244" s="187" t="s">
        <v>705</v>
      </c>
      <c r="M244" s="152">
        <v>42908</v>
      </c>
      <c r="N244" s="172">
        <v>2.58</v>
      </c>
      <c r="O244" s="149" t="s">
        <v>729</v>
      </c>
      <c r="P244" s="167" t="s">
        <v>908</v>
      </c>
      <c r="Q244" s="157" t="s">
        <v>414</v>
      </c>
      <c r="R244" s="167" t="s">
        <v>684</v>
      </c>
      <c r="S244" s="166">
        <v>6</v>
      </c>
      <c r="T244" s="167"/>
      <c r="U244" s="166">
        <v>2017</v>
      </c>
    </row>
    <row r="245" spans="1:21" x14ac:dyDescent="0.25">
      <c r="A245" s="165">
        <v>76</v>
      </c>
      <c r="B245" s="173">
        <v>135</v>
      </c>
      <c r="C245" s="174" t="s">
        <v>366</v>
      </c>
      <c r="D245" s="174" t="s">
        <v>132</v>
      </c>
      <c r="E245" s="168">
        <v>17.100000000000001</v>
      </c>
      <c r="F245" s="186" t="s">
        <v>37</v>
      </c>
      <c r="G245" s="170" t="s">
        <v>34</v>
      </c>
      <c r="H245" s="162" t="s">
        <v>34</v>
      </c>
      <c r="I245" s="162" t="s">
        <v>34</v>
      </c>
      <c r="J245" s="197">
        <v>28560</v>
      </c>
      <c r="K245" s="171" t="s">
        <v>704</v>
      </c>
      <c r="L245" s="187" t="s">
        <v>705</v>
      </c>
      <c r="M245" s="152">
        <v>42886</v>
      </c>
      <c r="N245" s="172">
        <v>39.229999999999997</v>
      </c>
      <c r="O245" s="149" t="s">
        <v>709</v>
      </c>
      <c r="P245" s="167" t="s">
        <v>824</v>
      </c>
      <c r="Q245" s="157" t="s">
        <v>415</v>
      </c>
      <c r="R245" s="167" t="s">
        <v>685</v>
      </c>
      <c r="S245" s="166">
        <v>6</v>
      </c>
      <c r="T245" s="167"/>
      <c r="U245" s="166">
        <v>2017</v>
      </c>
    </row>
    <row r="246" spans="1:21" x14ac:dyDescent="0.25">
      <c r="A246" s="165">
        <v>77</v>
      </c>
      <c r="B246" s="173">
        <v>3883</v>
      </c>
      <c r="C246" s="174" t="s">
        <v>665</v>
      </c>
      <c r="D246" s="174" t="s">
        <v>140</v>
      </c>
      <c r="E246" s="168">
        <v>12</v>
      </c>
      <c r="F246" s="186" t="s">
        <v>44</v>
      </c>
      <c r="G246" s="170" t="s">
        <v>753</v>
      </c>
      <c r="H246" s="162" t="s">
        <v>61</v>
      </c>
      <c r="I246" s="162" t="s">
        <v>222</v>
      </c>
      <c r="J246" s="197">
        <v>42302</v>
      </c>
      <c r="K246" s="171" t="s">
        <v>45</v>
      </c>
      <c r="L246" s="187" t="s">
        <v>705</v>
      </c>
      <c r="M246" s="152">
        <v>42913</v>
      </c>
      <c r="N246" s="172">
        <v>1.68</v>
      </c>
      <c r="O246" s="149" t="s">
        <v>718</v>
      </c>
      <c r="P246" s="167" t="s">
        <v>872</v>
      </c>
      <c r="Q246" s="157" t="s">
        <v>415</v>
      </c>
      <c r="R246" s="167" t="s">
        <v>684</v>
      </c>
      <c r="S246" s="166">
        <v>6</v>
      </c>
      <c r="T246" s="167"/>
      <c r="U246" s="166">
        <v>2017</v>
      </c>
    </row>
    <row r="247" spans="1:21" x14ac:dyDescent="0.25">
      <c r="A247" s="165">
        <v>78</v>
      </c>
      <c r="B247" s="173">
        <v>4029</v>
      </c>
      <c r="C247" s="174" t="s">
        <v>666</v>
      </c>
      <c r="D247" s="174" t="s">
        <v>162</v>
      </c>
      <c r="E247" s="168">
        <v>12</v>
      </c>
      <c r="F247" s="186" t="s">
        <v>37</v>
      </c>
      <c r="G247" s="170" t="s">
        <v>39</v>
      </c>
      <c r="H247" s="162" t="s">
        <v>794</v>
      </c>
      <c r="I247" s="162" t="s">
        <v>763</v>
      </c>
      <c r="J247" s="197">
        <v>42617</v>
      </c>
      <c r="K247" s="171" t="s">
        <v>704</v>
      </c>
      <c r="L247" s="187" t="s">
        <v>705</v>
      </c>
      <c r="M247" s="152">
        <v>42916</v>
      </c>
      <c r="N247" s="172">
        <v>0.82</v>
      </c>
      <c r="O247" s="149" t="s">
        <v>715</v>
      </c>
      <c r="P247" s="167" t="s">
        <v>872</v>
      </c>
      <c r="Q247" s="157" t="s">
        <v>415</v>
      </c>
      <c r="R247" s="167" t="s">
        <v>684</v>
      </c>
      <c r="S247" s="166">
        <v>7</v>
      </c>
      <c r="T247" s="167"/>
      <c r="U247" s="166">
        <v>2017</v>
      </c>
    </row>
    <row r="248" spans="1:21" x14ac:dyDescent="0.25">
      <c r="A248" s="165">
        <v>79</v>
      </c>
      <c r="B248" s="173">
        <v>3307</v>
      </c>
      <c r="C248" s="174" t="s">
        <v>667</v>
      </c>
      <c r="D248" s="174" t="s">
        <v>136</v>
      </c>
      <c r="E248" s="168">
        <v>14</v>
      </c>
      <c r="F248" s="186" t="s">
        <v>37</v>
      </c>
      <c r="G248" s="170" t="s">
        <v>213</v>
      </c>
      <c r="H248" s="162" t="s">
        <v>909</v>
      </c>
      <c r="I248" s="162" t="s">
        <v>214</v>
      </c>
      <c r="J248" s="197">
        <v>40870</v>
      </c>
      <c r="K248" s="171" t="s">
        <v>704</v>
      </c>
      <c r="L248" s="187" t="s">
        <v>705</v>
      </c>
      <c r="M248" s="152">
        <v>42916</v>
      </c>
      <c r="N248" s="172">
        <v>5.6</v>
      </c>
      <c r="O248" s="149" t="s">
        <v>728</v>
      </c>
      <c r="P248" s="167" t="s">
        <v>910</v>
      </c>
      <c r="Q248" s="157" t="s">
        <v>414</v>
      </c>
      <c r="R248" s="167" t="s">
        <v>687</v>
      </c>
      <c r="S248" s="166">
        <v>7</v>
      </c>
      <c r="T248" s="167"/>
      <c r="U248" s="166">
        <v>2017</v>
      </c>
    </row>
    <row r="249" spans="1:21" x14ac:dyDescent="0.25">
      <c r="A249" s="165">
        <v>80</v>
      </c>
      <c r="B249" s="173">
        <v>2026</v>
      </c>
      <c r="C249" s="174" t="s">
        <v>668</v>
      </c>
      <c r="D249" s="174" t="s">
        <v>138</v>
      </c>
      <c r="E249" s="168">
        <v>13</v>
      </c>
      <c r="F249" s="186" t="s">
        <v>44</v>
      </c>
      <c r="G249" s="170" t="s">
        <v>753</v>
      </c>
      <c r="H249" s="162" t="s">
        <v>61</v>
      </c>
      <c r="I249" s="162" t="s">
        <v>217</v>
      </c>
      <c r="J249" s="197">
        <v>33499</v>
      </c>
      <c r="K249" s="171" t="s">
        <v>45</v>
      </c>
      <c r="L249" s="187" t="s">
        <v>705</v>
      </c>
      <c r="M249" s="152">
        <v>42916</v>
      </c>
      <c r="N249" s="172">
        <v>25.79</v>
      </c>
      <c r="O249" s="149" t="s">
        <v>709</v>
      </c>
      <c r="P249" s="167" t="s">
        <v>824</v>
      </c>
      <c r="Q249" s="157" t="s">
        <v>415</v>
      </c>
      <c r="R249" s="167" t="s">
        <v>685</v>
      </c>
      <c r="S249" s="166">
        <v>7</v>
      </c>
      <c r="T249" s="167"/>
      <c r="U249" s="166">
        <v>2017</v>
      </c>
    </row>
    <row r="250" spans="1:21" x14ac:dyDescent="0.25">
      <c r="A250" s="165">
        <v>81</v>
      </c>
      <c r="B250" s="173">
        <v>4148</v>
      </c>
      <c r="C250" s="174" t="s">
        <v>419</v>
      </c>
      <c r="D250" s="174" t="s">
        <v>152</v>
      </c>
      <c r="E250" s="168">
        <v>11</v>
      </c>
      <c r="F250" s="186" t="s">
        <v>37</v>
      </c>
      <c r="G250" s="170" t="s">
        <v>39</v>
      </c>
      <c r="H250" s="162" t="s">
        <v>794</v>
      </c>
      <c r="I250" s="162" t="s">
        <v>712</v>
      </c>
      <c r="J250" s="197">
        <v>42856</v>
      </c>
      <c r="K250" s="171" t="s">
        <v>704</v>
      </c>
      <c r="L250" s="187" t="s">
        <v>705</v>
      </c>
      <c r="M250" s="152">
        <v>42927</v>
      </c>
      <c r="N250" s="172">
        <v>0.2</v>
      </c>
      <c r="O250" s="149" t="s">
        <v>715</v>
      </c>
      <c r="P250" s="167" t="s">
        <v>911</v>
      </c>
      <c r="Q250" s="157" t="s">
        <v>415</v>
      </c>
      <c r="R250" s="167" t="s">
        <v>684</v>
      </c>
      <c r="S250" s="166">
        <v>7</v>
      </c>
      <c r="T250" s="167"/>
      <c r="U250" s="166">
        <v>2017</v>
      </c>
    </row>
    <row r="251" spans="1:21" x14ac:dyDescent="0.25">
      <c r="A251" s="165">
        <v>82</v>
      </c>
      <c r="B251" s="173">
        <v>4133</v>
      </c>
      <c r="C251" s="174" t="s">
        <v>669</v>
      </c>
      <c r="D251" s="174" t="s">
        <v>84</v>
      </c>
      <c r="E251" s="168">
        <v>11</v>
      </c>
      <c r="F251" s="186" t="s">
        <v>37</v>
      </c>
      <c r="G251" s="170" t="s">
        <v>39</v>
      </c>
      <c r="H251" s="162" t="s">
        <v>230</v>
      </c>
      <c r="I251" s="162" t="s">
        <v>402</v>
      </c>
      <c r="J251" s="197">
        <v>42834</v>
      </c>
      <c r="K251" s="171" t="s">
        <v>704</v>
      </c>
      <c r="L251" s="187" t="s">
        <v>705</v>
      </c>
      <c r="M251" s="152">
        <v>42936</v>
      </c>
      <c r="N251" s="172">
        <v>0.28000000000000003</v>
      </c>
      <c r="O251" s="149" t="s">
        <v>715</v>
      </c>
      <c r="P251" s="167" t="s">
        <v>912</v>
      </c>
      <c r="Q251" s="166" t="s">
        <v>415</v>
      </c>
      <c r="R251" s="167" t="s">
        <v>687</v>
      </c>
      <c r="S251" s="166">
        <v>7</v>
      </c>
      <c r="T251" s="167"/>
      <c r="U251" s="166">
        <v>2017</v>
      </c>
    </row>
    <row r="252" spans="1:21" x14ac:dyDescent="0.25">
      <c r="A252" s="165">
        <v>83</v>
      </c>
      <c r="B252" s="173">
        <v>4031</v>
      </c>
      <c r="C252" s="174" t="s">
        <v>670</v>
      </c>
      <c r="D252" s="174" t="s">
        <v>107</v>
      </c>
      <c r="E252" s="168">
        <v>14</v>
      </c>
      <c r="F252" s="186" t="s">
        <v>37</v>
      </c>
      <c r="G252" s="170" t="s">
        <v>736</v>
      </c>
      <c r="H252" s="162" t="s">
        <v>185</v>
      </c>
      <c r="I252" s="162" t="s">
        <v>189</v>
      </c>
      <c r="J252" s="197">
        <v>42631</v>
      </c>
      <c r="K252" s="171" t="s">
        <v>704</v>
      </c>
      <c r="L252" s="187" t="s">
        <v>705</v>
      </c>
      <c r="M252" s="152">
        <v>42943</v>
      </c>
      <c r="N252" s="172">
        <v>0.86</v>
      </c>
      <c r="O252" s="149" t="s">
        <v>715</v>
      </c>
      <c r="P252" s="167" t="s">
        <v>913</v>
      </c>
      <c r="Q252" s="166" t="s">
        <v>415</v>
      </c>
      <c r="R252" s="167" t="s">
        <v>684</v>
      </c>
      <c r="S252" s="166">
        <v>7</v>
      </c>
      <c r="T252" s="167"/>
      <c r="U252" s="166">
        <v>2017</v>
      </c>
    </row>
    <row r="253" spans="1:21" x14ac:dyDescent="0.25">
      <c r="A253" s="165">
        <v>84</v>
      </c>
      <c r="B253" s="173">
        <v>3587</v>
      </c>
      <c r="C253" s="174" t="s">
        <v>417</v>
      </c>
      <c r="D253" s="174" t="s">
        <v>96</v>
      </c>
      <c r="E253" s="168">
        <v>14</v>
      </c>
      <c r="F253" s="186" t="s">
        <v>37</v>
      </c>
      <c r="G253" s="170" t="s">
        <v>59</v>
      </c>
      <c r="H253" s="162" t="s">
        <v>914</v>
      </c>
      <c r="I253" s="162" t="s">
        <v>173</v>
      </c>
      <c r="J253" s="197">
        <v>41568</v>
      </c>
      <c r="K253" s="171" t="s">
        <v>704</v>
      </c>
      <c r="L253" s="187" t="s">
        <v>705</v>
      </c>
      <c r="M253" s="152">
        <v>42943</v>
      </c>
      <c r="N253" s="172">
        <v>3.77</v>
      </c>
      <c r="O253" s="149" t="s">
        <v>706</v>
      </c>
      <c r="P253" s="167" t="s">
        <v>773</v>
      </c>
      <c r="Q253" s="166" t="s">
        <v>414</v>
      </c>
      <c r="R253" s="167" t="s">
        <v>684</v>
      </c>
      <c r="S253" s="166">
        <v>7</v>
      </c>
      <c r="T253" s="167"/>
      <c r="U253" s="166">
        <v>2017</v>
      </c>
    </row>
    <row r="254" spans="1:21" x14ac:dyDescent="0.25">
      <c r="A254" s="165">
        <v>85</v>
      </c>
      <c r="B254" s="173">
        <v>2238</v>
      </c>
      <c r="C254" s="174" t="s">
        <v>390</v>
      </c>
      <c r="D254" s="174" t="s">
        <v>83</v>
      </c>
      <c r="E254" s="168">
        <v>16</v>
      </c>
      <c r="F254" s="186" t="s">
        <v>37</v>
      </c>
      <c r="G254" s="170" t="s">
        <v>59</v>
      </c>
      <c r="H254" s="162" t="s">
        <v>914</v>
      </c>
      <c r="I254" s="162" t="s">
        <v>173</v>
      </c>
      <c r="J254" s="197">
        <v>38259</v>
      </c>
      <c r="K254" s="171" t="s">
        <v>704</v>
      </c>
      <c r="L254" s="187" t="s">
        <v>705</v>
      </c>
      <c r="M254" s="152">
        <v>42946</v>
      </c>
      <c r="N254" s="172">
        <v>12.84</v>
      </c>
      <c r="O254" s="149" t="s">
        <v>709</v>
      </c>
      <c r="P254" s="167" t="s">
        <v>687</v>
      </c>
      <c r="Q254" s="166" t="s">
        <v>414</v>
      </c>
      <c r="R254" s="167" t="s">
        <v>687</v>
      </c>
      <c r="S254" s="166">
        <v>7</v>
      </c>
      <c r="T254" s="167"/>
      <c r="U254" s="166">
        <v>2017</v>
      </c>
    </row>
    <row r="255" spans="1:21" x14ac:dyDescent="0.25">
      <c r="A255" s="165">
        <v>86</v>
      </c>
      <c r="B255" s="173">
        <v>2427</v>
      </c>
      <c r="C255" s="174" t="s">
        <v>671</v>
      </c>
      <c r="D255" s="174" t="s">
        <v>915</v>
      </c>
      <c r="E255" s="168">
        <v>12</v>
      </c>
      <c r="F255" s="186" t="s">
        <v>37</v>
      </c>
      <c r="G255" s="170" t="s">
        <v>753</v>
      </c>
      <c r="H255" s="162" t="s">
        <v>61</v>
      </c>
      <c r="I255" s="162" t="s">
        <v>216</v>
      </c>
      <c r="J255" s="197">
        <v>38672</v>
      </c>
      <c r="K255" s="171" t="s">
        <v>704</v>
      </c>
      <c r="L255" s="187" t="s">
        <v>705</v>
      </c>
      <c r="M255" s="152">
        <v>42916</v>
      </c>
      <c r="N255" s="172">
        <v>11.62</v>
      </c>
      <c r="O255" s="149" t="s">
        <v>709</v>
      </c>
      <c r="P255" s="167" t="s">
        <v>824</v>
      </c>
      <c r="Q255" s="166" t="s">
        <v>415</v>
      </c>
      <c r="R255" s="167" t="s">
        <v>685</v>
      </c>
      <c r="S255" s="166">
        <v>7</v>
      </c>
      <c r="T255" s="167"/>
      <c r="U255" s="166">
        <v>2017</v>
      </c>
    </row>
    <row r="256" spans="1:21" x14ac:dyDescent="0.25">
      <c r="A256" s="165">
        <v>87</v>
      </c>
      <c r="B256" s="173">
        <v>4168</v>
      </c>
      <c r="C256" s="174" t="s">
        <v>420</v>
      </c>
      <c r="D256" s="174" t="s">
        <v>167</v>
      </c>
      <c r="E256" s="168">
        <v>13</v>
      </c>
      <c r="F256" s="186" t="s">
        <v>37</v>
      </c>
      <c r="G256" s="162" t="s">
        <v>39</v>
      </c>
      <c r="H256" s="162" t="s">
        <v>39</v>
      </c>
      <c r="I256" s="162" t="s">
        <v>868</v>
      </c>
      <c r="J256" s="197">
        <v>42897</v>
      </c>
      <c r="K256" s="171" t="s">
        <v>704</v>
      </c>
      <c r="L256" s="187" t="s">
        <v>705</v>
      </c>
      <c r="M256" s="152">
        <v>42943</v>
      </c>
      <c r="N256" s="172">
        <v>0.13</v>
      </c>
      <c r="O256" s="149" t="s">
        <v>715</v>
      </c>
      <c r="P256" s="167" t="s">
        <v>916</v>
      </c>
      <c r="Q256" s="166" t="s">
        <v>415</v>
      </c>
      <c r="R256" s="167" t="s">
        <v>684</v>
      </c>
      <c r="S256" s="166">
        <v>7</v>
      </c>
      <c r="T256" s="167"/>
      <c r="U256" s="166">
        <v>2017</v>
      </c>
    </row>
    <row r="257" spans="1:21" x14ac:dyDescent="0.25">
      <c r="A257" s="165">
        <v>88</v>
      </c>
      <c r="B257" s="173">
        <v>771</v>
      </c>
      <c r="C257" s="174" t="s">
        <v>672</v>
      </c>
      <c r="D257" s="174" t="s">
        <v>134</v>
      </c>
      <c r="E257" s="168">
        <v>12</v>
      </c>
      <c r="F257" s="186" t="s">
        <v>44</v>
      </c>
      <c r="G257" s="162" t="s">
        <v>213</v>
      </c>
      <c r="H257" s="162" t="s">
        <v>213</v>
      </c>
      <c r="I257" s="162" t="s">
        <v>909</v>
      </c>
      <c r="J257" s="197">
        <v>39986</v>
      </c>
      <c r="K257" s="171" t="s">
        <v>45</v>
      </c>
      <c r="L257" s="187" t="s">
        <v>705</v>
      </c>
      <c r="M257" s="152">
        <v>42916</v>
      </c>
      <c r="N257" s="172">
        <v>8.02</v>
      </c>
      <c r="O257" s="149" t="s">
        <v>713</v>
      </c>
      <c r="P257" s="167" t="s">
        <v>824</v>
      </c>
      <c r="Q257" s="166" t="s">
        <v>415</v>
      </c>
      <c r="R257" s="167" t="s">
        <v>685</v>
      </c>
      <c r="S257" s="166">
        <v>7</v>
      </c>
      <c r="T257" s="167"/>
      <c r="U257" s="166">
        <v>2017</v>
      </c>
    </row>
    <row r="258" spans="1:21" x14ac:dyDescent="0.25">
      <c r="A258" s="165">
        <v>89</v>
      </c>
      <c r="B258" s="168">
        <v>3652</v>
      </c>
      <c r="C258" s="174" t="s">
        <v>673</v>
      </c>
      <c r="D258" s="174" t="s">
        <v>2</v>
      </c>
      <c r="E258" s="168"/>
      <c r="F258" s="186" t="s">
        <v>37</v>
      </c>
      <c r="G258" s="162" t="s">
        <v>39</v>
      </c>
      <c r="H258" s="162" t="s">
        <v>41</v>
      </c>
      <c r="I258" s="162" t="s">
        <v>39</v>
      </c>
      <c r="J258" s="197">
        <v>41729</v>
      </c>
      <c r="K258" s="171" t="s">
        <v>704</v>
      </c>
      <c r="L258" s="187" t="s">
        <v>705</v>
      </c>
      <c r="M258" s="152">
        <v>42957</v>
      </c>
      <c r="N258" s="172">
        <v>3.36</v>
      </c>
      <c r="O258" s="149" t="s">
        <v>706</v>
      </c>
      <c r="P258" s="167" t="s">
        <v>687</v>
      </c>
      <c r="Q258" s="166" t="s">
        <v>415</v>
      </c>
      <c r="R258" s="167"/>
      <c r="S258" s="166">
        <v>8</v>
      </c>
      <c r="T258" s="167" t="s">
        <v>703</v>
      </c>
      <c r="U258" s="166">
        <v>2017</v>
      </c>
    </row>
    <row r="259" spans="1:21" x14ac:dyDescent="0.25">
      <c r="A259" s="165">
        <v>90</v>
      </c>
      <c r="B259" s="168">
        <v>3201</v>
      </c>
      <c r="C259" s="174" t="s">
        <v>400</v>
      </c>
      <c r="D259" s="174" t="s">
        <v>145</v>
      </c>
      <c r="E259" s="168"/>
      <c r="F259" s="186" t="s">
        <v>37</v>
      </c>
      <c r="G259" s="162" t="s">
        <v>61</v>
      </c>
      <c r="H259" s="162" t="s">
        <v>61</v>
      </c>
      <c r="I259" s="162" t="s">
        <v>67</v>
      </c>
      <c r="J259" s="197">
        <v>40657</v>
      </c>
      <c r="K259" s="171" t="s">
        <v>704</v>
      </c>
      <c r="L259" s="187" t="s">
        <v>705</v>
      </c>
      <c r="M259" s="152">
        <v>42950</v>
      </c>
      <c r="N259" s="172">
        <v>6.28</v>
      </c>
      <c r="O259" s="149" t="s">
        <v>728</v>
      </c>
      <c r="P259" s="167" t="s">
        <v>814</v>
      </c>
      <c r="Q259" s="166" t="s">
        <v>415</v>
      </c>
      <c r="R259" s="167"/>
      <c r="S259" s="166">
        <v>8</v>
      </c>
      <c r="T259" s="167" t="s">
        <v>703</v>
      </c>
      <c r="U259" s="166">
        <v>2017</v>
      </c>
    </row>
    <row r="260" spans="1:21" x14ac:dyDescent="0.25">
      <c r="A260" s="165">
        <v>91</v>
      </c>
      <c r="B260" s="168">
        <v>2201</v>
      </c>
      <c r="C260" s="174" t="s">
        <v>674</v>
      </c>
      <c r="D260" s="174" t="s">
        <v>164</v>
      </c>
      <c r="E260" s="168"/>
      <c r="F260" s="186" t="s">
        <v>37</v>
      </c>
      <c r="G260" s="162" t="s">
        <v>39</v>
      </c>
      <c r="H260" s="162" t="s">
        <v>261</v>
      </c>
      <c r="I260" s="162" t="s">
        <v>39</v>
      </c>
      <c r="J260" s="197">
        <v>37969</v>
      </c>
      <c r="K260" s="171" t="s">
        <v>704</v>
      </c>
      <c r="L260" s="187" t="s">
        <v>705</v>
      </c>
      <c r="M260" s="152">
        <v>42948</v>
      </c>
      <c r="N260" s="172">
        <v>13.63</v>
      </c>
      <c r="O260" s="149" t="s">
        <v>709</v>
      </c>
      <c r="P260" s="167" t="s">
        <v>824</v>
      </c>
      <c r="Q260" s="166" t="s">
        <v>415</v>
      </c>
      <c r="R260" s="167"/>
      <c r="S260" s="166">
        <v>8</v>
      </c>
      <c r="T260" s="167" t="s">
        <v>703</v>
      </c>
      <c r="U260" s="166">
        <v>2017</v>
      </c>
    </row>
    <row r="261" spans="1:21" x14ac:dyDescent="0.25">
      <c r="A261" s="165">
        <v>92</v>
      </c>
      <c r="B261" s="168">
        <v>3898</v>
      </c>
      <c r="C261" s="174" t="s">
        <v>675</v>
      </c>
      <c r="D261" s="174" t="s">
        <v>84</v>
      </c>
      <c r="E261" s="168"/>
      <c r="F261" s="186" t="s">
        <v>37</v>
      </c>
      <c r="G261" s="162" t="s">
        <v>39</v>
      </c>
      <c r="H261" s="162" t="s">
        <v>230</v>
      </c>
      <c r="I261" s="162" t="s">
        <v>39</v>
      </c>
      <c r="J261" s="197">
        <v>42352</v>
      </c>
      <c r="K261" s="171" t="s">
        <v>704</v>
      </c>
      <c r="L261" s="187" t="s">
        <v>705</v>
      </c>
      <c r="M261" s="152">
        <v>42950</v>
      </c>
      <c r="N261" s="172">
        <v>1.64</v>
      </c>
      <c r="O261" s="149" t="s">
        <v>718</v>
      </c>
      <c r="P261" s="167" t="s">
        <v>814</v>
      </c>
      <c r="Q261" s="166" t="s">
        <v>414</v>
      </c>
      <c r="R261" s="167"/>
      <c r="S261" s="166">
        <v>8</v>
      </c>
      <c r="T261" s="167" t="s">
        <v>703</v>
      </c>
      <c r="U261" s="166">
        <v>2017</v>
      </c>
    </row>
    <row r="262" spans="1:21" x14ac:dyDescent="0.25">
      <c r="A262" s="165">
        <v>93</v>
      </c>
      <c r="B262" s="168">
        <v>4101</v>
      </c>
      <c r="C262" s="174" t="s">
        <v>676</v>
      </c>
      <c r="D262" s="174" t="s">
        <v>105</v>
      </c>
      <c r="E262" s="168"/>
      <c r="F262" s="186" t="s">
        <v>37</v>
      </c>
      <c r="G262" s="162" t="s">
        <v>871</v>
      </c>
      <c r="H262" s="162" t="s">
        <v>190</v>
      </c>
      <c r="I262" s="162" t="s">
        <v>73</v>
      </c>
      <c r="J262" s="197">
        <v>42766</v>
      </c>
      <c r="K262" s="171" t="s">
        <v>704</v>
      </c>
      <c r="L262" s="187" t="s">
        <v>705</v>
      </c>
      <c r="M262" s="152">
        <v>42949</v>
      </c>
      <c r="N262" s="172">
        <v>0.5</v>
      </c>
      <c r="O262" s="149" t="s">
        <v>715</v>
      </c>
      <c r="P262" s="167" t="s">
        <v>687</v>
      </c>
      <c r="Q262" s="166" t="s">
        <v>415</v>
      </c>
      <c r="R262" s="167"/>
      <c r="S262" s="166">
        <v>8</v>
      </c>
      <c r="T262" s="167" t="s">
        <v>703</v>
      </c>
      <c r="U262" s="166">
        <v>2017</v>
      </c>
    </row>
    <row r="263" spans="1:21" x14ac:dyDescent="0.25">
      <c r="A263" s="165">
        <v>94</v>
      </c>
      <c r="B263" s="168">
        <v>2946</v>
      </c>
      <c r="C263" s="174" t="s">
        <v>677</v>
      </c>
      <c r="D263" s="174" t="s">
        <v>124</v>
      </c>
      <c r="E263" s="168"/>
      <c r="F263" s="186" t="s">
        <v>37</v>
      </c>
      <c r="G263" s="162" t="s">
        <v>58</v>
      </c>
      <c r="H263" s="162" t="s">
        <v>58</v>
      </c>
      <c r="I263" s="162" t="s">
        <v>77</v>
      </c>
      <c r="J263" s="197">
        <v>39965</v>
      </c>
      <c r="K263" s="171" t="s">
        <v>704</v>
      </c>
      <c r="L263" s="187" t="s">
        <v>705</v>
      </c>
      <c r="M263" s="152">
        <v>42950</v>
      </c>
      <c r="N263" s="172">
        <v>8.18</v>
      </c>
      <c r="O263" s="149" t="s">
        <v>713</v>
      </c>
      <c r="P263" s="167" t="s">
        <v>824</v>
      </c>
      <c r="Q263" s="166" t="s">
        <v>415</v>
      </c>
      <c r="R263" s="167"/>
      <c r="S263" s="166">
        <v>8</v>
      </c>
      <c r="T263" s="167" t="s">
        <v>703</v>
      </c>
      <c r="U263" s="166">
        <v>2017</v>
      </c>
    </row>
    <row r="264" spans="1:21" x14ac:dyDescent="0.25">
      <c r="A264" s="165">
        <v>95</v>
      </c>
      <c r="B264" s="168">
        <v>4084</v>
      </c>
      <c r="C264" s="174" t="s">
        <v>678</v>
      </c>
      <c r="D264" s="174" t="s">
        <v>84</v>
      </c>
      <c r="E264" s="168"/>
      <c r="F264" s="186" t="s">
        <v>37</v>
      </c>
      <c r="G264" s="162" t="s">
        <v>39</v>
      </c>
      <c r="H264" s="162" t="s">
        <v>230</v>
      </c>
      <c r="I264" s="162" t="s">
        <v>39</v>
      </c>
      <c r="J264" s="197">
        <v>42715</v>
      </c>
      <c r="K264" s="171" t="s">
        <v>704</v>
      </c>
      <c r="L264" s="187" t="s">
        <v>705</v>
      </c>
      <c r="M264" s="152">
        <v>42977</v>
      </c>
      <c r="N264" s="172">
        <v>0.72</v>
      </c>
      <c r="O264" s="149" t="s">
        <v>715</v>
      </c>
      <c r="P264" s="167" t="s">
        <v>917</v>
      </c>
      <c r="Q264" s="166" t="s">
        <v>415</v>
      </c>
      <c r="R264" s="167"/>
      <c r="S264" s="166">
        <v>8</v>
      </c>
      <c r="T264" s="167" t="s">
        <v>703</v>
      </c>
      <c r="U264" s="166">
        <v>2017</v>
      </c>
    </row>
    <row r="265" spans="1:21" x14ac:dyDescent="0.25">
      <c r="A265" s="165">
        <v>96</v>
      </c>
      <c r="B265" s="168">
        <v>3282</v>
      </c>
      <c r="C265" s="174" t="s">
        <v>679</v>
      </c>
      <c r="D265" s="174" t="s">
        <v>2</v>
      </c>
      <c r="E265" s="168"/>
      <c r="F265" s="186" t="s">
        <v>37</v>
      </c>
      <c r="G265" s="162" t="s">
        <v>39</v>
      </c>
      <c r="H265" s="162" t="s">
        <v>41</v>
      </c>
      <c r="I265" s="162" t="s">
        <v>39</v>
      </c>
      <c r="J265" s="197">
        <v>40812</v>
      </c>
      <c r="K265" s="171" t="s">
        <v>704</v>
      </c>
      <c r="L265" s="187" t="s">
        <v>705</v>
      </c>
      <c r="M265" s="152">
        <v>42960</v>
      </c>
      <c r="N265" s="172">
        <v>5.88</v>
      </c>
      <c r="O265" s="149" t="s">
        <v>728</v>
      </c>
      <c r="P265" s="167" t="s">
        <v>872</v>
      </c>
      <c r="Q265" s="166" t="s">
        <v>415</v>
      </c>
      <c r="R265" s="167"/>
      <c r="S265" s="166">
        <v>8</v>
      </c>
      <c r="T265" s="167" t="s">
        <v>918</v>
      </c>
      <c r="U265" s="166">
        <v>2017</v>
      </c>
    </row>
    <row r="266" spans="1:21" x14ac:dyDescent="0.25">
      <c r="A266" s="165">
        <v>97</v>
      </c>
      <c r="B266" s="168">
        <v>4161</v>
      </c>
      <c r="C266" s="174" t="s">
        <v>680</v>
      </c>
      <c r="D266" s="174" t="s">
        <v>149</v>
      </c>
      <c r="E266" s="168"/>
      <c r="F266" s="186" t="s">
        <v>37</v>
      </c>
      <c r="G266" s="162" t="s">
        <v>39</v>
      </c>
      <c r="H266" s="162" t="s">
        <v>41</v>
      </c>
      <c r="I266" s="162" t="s">
        <v>39</v>
      </c>
      <c r="J266" s="197">
        <v>42889</v>
      </c>
      <c r="K266" s="171" t="s">
        <v>704</v>
      </c>
      <c r="L266" s="187" t="s">
        <v>705</v>
      </c>
      <c r="M266" s="152">
        <v>42960</v>
      </c>
      <c r="N266" s="172">
        <v>0.2</v>
      </c>
      <c r="O266" s="149" t="s">
        <v>715</v>
      </c>
      <c r="P266" s="167" t="s">
        <v>919</v>
      </c>
      <c r="Q266" s="166" t="s">
        <v>415</v>
      </c>
      <c r="R266" s="167"/>
      <c r="S266" s="166">
        <v>8</v>
      </c>
      <c r="T266" s="167" t="s">
        <v>703</v>
      </c>
      <c r="U266" s="166">
        <v>2017</v>
      </c>
    </row>
    <row r="267" spans="1:21" x14ac:dyDescent="0.25">
      <c r="A267" s="165">
        <v>98</v>
      </c>
      <c r="B267" s="168">
        <v>3129</v>
      </c>
      <c r="C267" s="174" t="s">
        <v>406</v>
      </c>
      <c r="D267" s="174" t="s">
        <v>149</v>
      </c>
      <c r="E267" s="168"/>
      <c r="F267" s="186" t="s">
        <v>37</v>
      </c>
      <c r="G267" s="162" t="s">
        <v>39</v>
      </c>
      <c r="H267" s="162" t="s">
        <v>41</v>
      </c>
      <c r="I267" s="162" t="s">
        <v>39</v>
      </c>
      <c r="J267" s="197">
        <v>40483</v>
      </c>
      <c r="K267" s="171" t="s">
        <v>704</v>
      </c>
      <c r="L267" s="187" t="s">
        <v>705</v>
      </c>
      <c r="M267" s="152">
        <v>42977</v>
      </c>
      <c r="N267" s="172">
        <v>6.83</v>
      </c>
      <c r="O267" s="149" t="s">
        <v>728</v>
      </c>
      <c r="P267" s="167" t="s">
        <v>814</v>
      </c>
      <c r="Q267" s="166" t="s">
        <v>415</v>
      </c>
      <c r="R267" s="167"/>
      <c r="S267" s="166">
        <v>8</v>
      </c>
      <c r="T267" s="167" t="s">
        <v>703</v>
      </c>
      <c r="U267" s="166">
        <v>2017</v>
      </c>
    </row>
    <row r="268" spans="1:21" x14ac:dyDescent="0.25">
      <c r="A268" s="165">
        <v>99</v>
      </c>
      <c r="B268" s="168">
        <v>3914</v>
      </c>
      <c r="C268" s="174" t="s">
        <v>681</v>
      </c>
      <c r="D268" s="174" t="s">
        <v>142</v>
      </c>
      <c r="E268" s="168"/>
      <c r="F268" s="186" t="s">
        <v>37</v>
      </c>
      <c r="G268" s="162" t="s">
        <v>61</v>
      </c>
      <c r="H268" s="162" t="s">
        <v>61</v>
      </c>
      <c r="I268" s="162" t="s">
        <v>67</v>
      </c>
      <c r="J268" s="197">
        <v>42385</v>
      </c>
      <c r="K268" s="171" t="s">
        <v>704</v>
      </c>
      <c r="L268" s="187" t="s">
        <v>705</v>
      </c>
      <c r="M268" s="152">
        <v>42970</v>
      </c>
      <c r="N268" s="172">
        <v>1.6</v>
      </c>
      <c r="O268" s="149" t="s">
        <v>718</v>
      </c>
      <c r="P268" s="167" t="s">
        <v>917</v>
      </c>
      <c r="Q268" s="166" t="s">
        <v>415</v>
      </c>
      <c r="R268" s="167"/>
      <c r="S268" s="166">
        <v>8</v>
      </c>
      <c r="T268" s="167" t="s">
        <v>703</v>
      </c>
      <c r="U268" s="166">
        <v>2017</v>
      </c>
    </row>
    <row r="269" spans="1:21" x14ac:dyDescent="0.25">
      <c r="A269" s="165">
        <v>100</v>
      </c>
      <c r="B269" s="168">
        <v>357</v>
      </c>
      <c r="C269" s="174" t="s">
        <v>165</v>
      </c>
      <c r="D269" s="174" t="s">
        <v>166</v>
      </c>
      <c r="E269" s="168"/>
      <c r="F269" s="186" t="s">
        <v>37</v>
      </c>
      <c r="G269" s="162" t="s">
        <v>39</v>
      </c>
      <c r="H269" s="162" t="s">
        <v>230</v>
      </c>
      <c r="I269" s="162" t="s">
        <v>39</v>
      </c>
      <c r="J269" s="197">
        <v>33912</v>
      </c>
      <c r="K269" s="171" t="s">
        <v>45</v>
      </c>
      <c r="L269" s="187" t="s">
        <v>705</v>
      </c>
      <c r="M269" s="152">
        <v>42977</v>
      </c>
      <c r="N269" s="172">
        <v>24.82</v>
      </c>
      <c r="O269" s="149" t="s">
        <v>709</v>
      </c>
      <c r="P269" s="167" t="s">
        <v>824</v>
      </c>
      <c r="Q269" s="166" t="s">
        <v>415</v>
      </c>
      <c r="R269" s="167"/>
      <c r="S269" s="166">
        <v>8</v>
      </c>
      <c r="T269" s="167" t="s">
        <v>703</v>
      </c>
      <c r="U269" s="166">
        <v>2017</v>
      </c>
    </row>
    <row r="270" spans="1:21" x14ac:dyDescent="0.25">
      <c r="A270" s="165">
        <v>101</v>
      </c>
      <c r="B270" s="168">
        <v>4181</v>
      </c>
      <c r="C270" s="174" t="s">
        <v>150</v>
      </c>
      <c r="D270" s="174" t="s">
        <v>84</v>
      </c>
      <c r="E270" s="168"/>
      <c r="F270" s="186" t="s">
        <v>37</v>
      </c>
      <c r="G270" s="162" t="s">
        <v>39</v>
      </c>
      <c r="H270" s="162" t="s">
        <v>230</v>
      </c>
      <c r="I270" s="162" t="s">
        <v>39</v>
      </c>
      <c r="J270" s="197">
        <v>42925</v>
      </c>
      <c r="K270" s="171" t="s">
        <v>704</v>
      </c>
      <c r="L270" s="187" t="s">
        <v>705</v>
      </c>
      <c r="M270" s="152">
        <v>42970</v>
      </c>
      <c r="N270" s="172">
        <v>0.13</v>
      </c>
      <c r="O270" s="149" t="s">
        <v>715</v>
      </c>
      <c r="P270" s="167" t="s">
        <v>919</v>
      </c>
      <c r="Q270" s="166" t="s">
        <v>415</v>
      </c>
      <c r="R270" s="167"/>
      <c r="S270" s="166">
        <v>8</v>
      </c>
      <c r="T270" s="167" t="s">
        <v>703</v>
      </c>
      <c r="U270" s="166">
        <v>2017</v>
      </c>
    </row>
    <row r="271" spans="1:21" x14ac:dyDescent="0.25">
      <c r="A271" s="165">
        <v>102</v>
      </c>
      <c r="B271" s="168">
        <v>3950</v>
      </c>
      <c r="C271" s="174" t="s">
        <v>157</v>
      </c>
      <c r="D271" s="174" t="s">
        <v>86</v>
      </c>
      <c r="E271" s="168"/>
      <c r="F271" s="186" t="s">
        <v>37</v>
      </c>
      <c r="G271" s="162" t="s">
        <v>39</v>
      </c>
      <c r="H271" s="162" t="s">
        <v>230</v>
      </c>
      <c r="I271" s="162" t="s">
        <v>39</v>
      </c>
      <c r="J271" s="197">
        <v>42462</v>
      </c>
      <c r="K271" s="171" t="s">
        <v>704</v>
      </c>
      <c r="L271" s="187" t="s">
        <v>705</v>
      </c>
      <c r="M271" s="152">
        <v>42975</v>
      </c>
      <c r="N271" s="172">
        <v>1.41</v>
      </c>
      <c r="O271" s="149" t="s">
        <v>718</v>
      </c>
      <c r="P271" s="167" t="s">
        <v>814</v>
      </c>
      <c r="Q271" s="166" t="s">
        <v>415</v>
      </c>
      <c r="R271" s="167"/>
      <c r="S271" s="166">
        <v>8</v>
      </c>
      <c r="T271" s="167" t="s">
        <v>703</v>
      </c>
      <c r="U271" s="166">
        <v>2017</v>
      </c>
    </row>
    <row r="272" spans="1:21" x14ac:dyDescent="0.25">
      <c r="A272" s="165">
        <v>103</v>
      </c>
      <c r="B272" s="168">
        <v>2798</v>
      </c>
      <c r="C272" s="174" t="s">
        <v>403</v>
      </c>
      <c r="D272" s="174" t="s">
        <v>161</v>
      </c>
      <c r="E272" s="168"/>
      <c r="F272" s="186" t="s">
        <v>44</v>
      </c>
      <c r="G272" s="162" t="s">
        <v>39</v>
      </c>
      <c r="H272" s="162" t="s">
        <v>41</v>
      </c>
      <c r="I272" s="162" t="s">
        <v>39</v>
      </c>
      <c r="J272" s="197">
        <v>39593</v>
      </c>
      <c r="K272" s="171" t="s">
        <v>704</v>
      </c>
      <c r="L272" s="187" t="s">
        <v>714</v>
      </c>
      <c r="M272" s="152">
        <v>42957</v>
      </c>
      <c r="N272" s="172">
        <v>9.2100000000000009</v>
      </c>
      <c r="O272" s="149" t="s">
        <v>713</v>
      </c>
      <c r="P272" s="167" t="s">
        <v>882</v>
      </c>
      <c r="Q272" s="166" t="s">
        <v>415</v>
      </c>
      <c r="R272" s="167"/>
      <c r="S272" s="166">
        <v>8</v>
      </c>
      <c r="T272" s="167" t="s">
        <v>918</v>
      </c>
      <c r="U272" s="166">
        <v>2017</v>
      </c>
    </row>
    <row r="273" spans="1:21" x14ac:dyDescent="0.25">
      <c r="A273" s="165">
        <v>104</v>
      </c>
      <c r="B273" s="173">
        <v>2698</v>
      </c>
      <c r="C273" s="199" t="s">
        <v>112</v>
      </c>
      <c r="D273" s="200" t="s">
        <v>113</v>
      </c>
      <c r="E273" s="168"/>
      <c r="F273" s="186" t="s">
        <v>37</v>
      </c>
      <c r="G273" s="162" t="s">
        <v>56</v>
      </c>
      <c r="H273" s="162" t="s">
        <v>56</v>
      </c>
      <c r="I273" s="162" t="s">
        <v>56</v>
      </c>
      <c r="J273" s="197">
        <v>39449</v>
      </c>
      <c r="K273" s="171" t="s">
        <v>45</v>
      </c>
      <c r="L273" s="187" t="s">
        <v>705</v>
      </c>
      <c r="M273" s="152">
        <v>42957</v>
      </c>
      <c r="N273" s="172">
        <v>9.61</v>
      </c>
      <c r="O273" s="149" t="s">
        <v>713</v>
      </c>
      <c r="P273" s="167" t="s">
        <v>814</v>
      </c>
      <c r="Q273" s="166" t="s">
        <v>414</v>
      </c>
      <c r="R273" s="167"/>
      <c r="S273" s="166">
        <v>8</v>
      </c>
      <c r="T273" s="167"/>
      <c r="U273" s="166">
        <v>2017</v>
      </c>
    </row>
    <row r="274" spans="1:21" x14ac:dyDescent="0.25">
      <c r="A274" s="165">
        <v>105</v>
      </c>
      <c r="B274" s="201">
        <v>3795</v>
      </c>
      <c r="C274" s="199" t="s">
        <v>682</v>
      </c>
      <c r="D274" s="200" t="s">
        <v>722</v>
      </c>
      <c r="E274" s="202"/>
      <c r="F274" s="186" t="s">
        <v>37</v>
      </c>
      <c r="G274" s="162" t="s">
        <v>39</v>
      </c>
      <c r="H274" s="162" t="s">
        <v>794</v>
      </c>
      <c r="I274" s="203" t="s">
        <v>712</v>
      </c>
      <c r="J274" s="197">
        <v>42106</v>
      </c>
      <c r="K274" s="171" t="s">
        <v>704</v>
      </c>
      <c r="L274" s="187" t="s">
        <v>705</v>
      </c>
      <c r="M274" s="152">
        <v>42947</v>
      </c>
      <c r="N274" s="172">
        <v>2.31</v>
      </c>
      <c r="O274" s="149" t="s">
        <v>729</v>
      </c>
      <c r="P274" s="166" t="s">
        <v>920</v>
      </c>
      <c r="Q274" s="166" t="s">
        <v>414</v>
      </c>
      <c r="R274" s="166"/>
      <c r="S274" s="166">
        <v>8</v>
      </c>
      <c r="T274" s="204"/>
      <c r="U274" s="166">
        <v>2017</v>
      </c>
    </row>
    <row r="275" spans="1:21" x14ac:dyDescent="0.25">
      <c r="A275" s="165">
        <v>106</v>
      </c>
      <c r="B275" s="201">
        <v>4051</v>
      </c>
      <c r="C275" s="199" t="s">
        <v>418</v>
      </c>
      <c r="D275" s="200" t="s">
        <v>84</v>
      </c>
      <c r="E275" s="203"/>
      <c r="F275" s="186" t="s">
        <v>37</v>
      </c>
      <c r="G275" s="162" t="s">
        <v>39</v>
      </c>
      <c r="H275" s="162" t="s">
        <v>230</v>
      </c>
      <c r="I275" s="162" t="s">
        <v>230</v>
      </c>
      <c r="J275" s="197">
        <v>42631</v>
      </c>
      <c r="K275" s="171" t="s">
        <v>704</v>
      </c>
      <c r="L275" s="187" t="s">
        <v>705</v>
      </c>
      <c r="M275" s="152">
        <v>42947</v>
      </c>
      <c r="N275" s="172">
        <v>0.87</v>
      </c>
      <c r="O275" s="149" t="s">
        <v>715</v>
      </c>
      <c r="P275" s="167" t="s">
        <v>687</v>
      </c>
      <c r="Q275" s="204" t="s">
        <v>416</v>
      </c>
      <c r="R275" s="204"/>
      <c r="S275" s="166">
        <v>8</v>
      </c>
      <c r="T275" s="204"/>
      <c r="U275" s="166">
        <v>2017</v>
      </c>
    </row>
    <row r="276" spans="1:21" x14ac:dyDescent="0.25">
      <c r="A276" s="165">
        <v>107</v>
      </c>
      <c r="B276" s="201">
        <v>4153</v>
      </c>
      <c r="C276" s="199" t="s">
        <v>391</v>
      </c>
      <c r="D276" s="200" t="s">
        <v>129</v>
      </c>
      <c r="E276" s="203"/>
      <c r="F276" s="186" t="s">
        <v>37</v>
      </c>
      <c r="G276" s="162" t="s">
        <v>717</v>
      </c>
      <c r="H276" s="162" t="s">
        <v>840</v>
      </c>
      <c r="I276" s="203" t="s">
        <v>208</v>
      </c>
      <c r="J276" s="197">
        <v>42876</v>
      </c>
      <c r="K276" s="171" t="s">
        <v>704</v>
      </c>
      <c r="L276" s="187" t="s">
        <v>705</v>
      </c>
      <c r="M276" s="152">
        <v>42947</v>
      </c>
      <c r="N276" s="172">
        <v>0.2</v>
      </c>
      <c r="O276" s="149" t="s">
        <v>715</v>
      </c>
      <c r="P276" s="204" t="s">
        <v>921</v>
      </c>
      <c r="Q276" s="204" t="s">
        <v>416</v>
      </c>
      <c r="R276" s="204"/>
      <c r="S276" s="166">
        <v>8</v>
      </c>
      <c r="T276" s="204"/>
      <c r="U276" s="166">
        <v>2017</v>
      </c>
    </row>
  </sheetData>
  <autoFilter ref="A1:G90">
    <filterColumn colId="6">
      <filters>
        <filter val="3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Masters</vt:lpstr>
      <vt:lpstr>Data</vt:lpstr>
      <vt:lpstr>Log</vt:lpstr>
      <vt:lpstr>FilteredData</vt:lpstr>
      <vt:lpstr>Reporting</vt:lpstr>
      <vt:lpstr>Presentation</vt:lpstr>
      <vt:lpstr>Emp_Reg</vt:lpstr>
      <vt:lpstr>Reg_NotReg</vt:lpstr>
      <vt:lpstr>Data!Criteria</vt:lpstr>
      <vt:lpstr>year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Rowland Williams</dc:creator>
  <cp:lastModifiedBy>Stephen Rowland Williams</cp:lastModifiedBy>
  <cp:lastPrinted>2017-09-17T10:20:28Z</cp:lastPrinted>
  <dcterms:created xsi:type="dcterms:W3CDTF">2011-09-19T00:32:21Z</dcterms:created>
  <dcterms:modified xsi:type="dcterms:W3CDTF">2019-04-14T08:02:24Z</dcterms:modified>
</cp:coreProperties>
</file>